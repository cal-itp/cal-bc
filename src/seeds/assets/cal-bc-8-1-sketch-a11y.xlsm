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backupFile="1" codeName="ThisWorkbook"/>
  <mc:AlternateContent xmlns:mc="http://schemas.openxmlformats.org/markup-compatibility/2006">
    <mc:Choice Requires="x15">
      <x15ac:absPath xmlns:x15ac="http://schemas.microsoft.com/office/spreadsheetml/2010/11/ac" url="T:\Offices\Transportation Economics\BENEFIT-COST\2. Cal-BC v8.1\1 Final Version\Final ADA 2022\Updated\Updated 3-24-22\Updated 2-22-23\"/>
    </mc:Choice>
  </mc:AlternateContent>
  <xr:revisionPtr revIDLastSave="0" documentId="13_ncr:1_{8DF35F67-4044-4C46-9F06-C8FCCD746C44}" xr6:coauthVersionLast="47" xr6:coauthVersionMax="47" xr10:uidLastSave="{00000000-0000-0000-0000-000000000000}"/>
  <bookViews>
    <workbookView xWindow="-110" yWindow="-110" windowWidth="19420" windowHeight="10420" tabRatio="793" firstSheet="4" activeTab="11" xr2:uid="{00000000-000D-0000-FFFF-FFFF00000000}"/>
  </bookViews>
  <sheets>
    <sheet name="Title" sheetId="14" r:id="rId1"/>
    <sheet name="Instructions" sheetId="17" r:id="rId2"/>
    <sheet name="1) Project Information" sheetId="2" r:id="rId3"/>
    <sheet name="2) Model Inputs" sheetId="3" r:id="rId4"/>
    <sheet name="3) Results" sheetId="4" r:id="rId5"/>
    <sheet name="Travel Time" sheetId="5" r:id="rId6"/>
    <sheet name="Reliability" sheetId="18" r:id="rId7"/>
    <sheet name="Vehicle Operating Costs" sheetId="6" r:id="rId8"/>
    <sheet name="Accident Costs" sheetId="7" r:id="rId9"/>
    <sheet name="Emissions" sheetId="8" r:id="rId10"/>
    <sheet name="Final Calculations" sheetId="9" r:id="rId11"/>
    <sheet name="PARAMETERS" sheetId="16" r:id="rId12"/>
    <sheet name="Original" sheetId="11" state="veryHidden" r:id=""/>
  </sheets>
  <definedNames>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2</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001" hidden="1">"Scenario 1"</definedName>
    <definedName name="_AtRisk_SimSetting_SimName002" hidden="1">"Scenario 2"</definedName>
    <definedName name="_AtRisk_SimSetting_SimName003" hidden="1">"Scenario 3"</definedName>
    <definedName name="_AtRisk_SimSetting_SimNameCount" hidden="1">0</definedName>
    <definedName name="_AtRisk_SimSetting_SmartSensitivityAnalysisEnabled" hidden="1">FALSE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Fill" hidden="1">#REF!</definedName>
    <definedName name="_Order1" hidden="1">255</definedName>
    <definedName name="_Order2" hidden="1">255</definedName>
    <definedName name="Accidents">'3) Results'!$H$33</definedName>
    <definedName name="AccReduceFac">'2) Model Inputs'!$T$12</definedName>
    <definedName name="AccStAvgB">'1) Project Information'!$Q$19</definedName>
    <definedName name="AccStAvgNB">'1) Project Information'!$P$19</definedName>
    <definedName name="ADT0">'1) Project Information'!$G$36</definedName>
    <definedName name="ADT1B">'1) Project Information'!$H$38</definedName>
    <definedName name="ADT1NB">'1) Project Information'!$G$38</definedName>
    <definedName name="ADT20B">'1) Project Information'!$H$39</definedName>
    <definedName name="ADT20NB">'1) Project Information'!$G$39</definedName>
    <definedName name="AlphaSTD">PARAMETERS!$EL$12</definedName>
    <definedName name="AlphaTTI">PARAMETERS!$EJ$12</definedName>
    <definedName name="AM">PARAMETERS!$AA$38</definedName>
    <definedName name="AnnSickDays">PARAMETERS!$U$57</definedName>
    <definedName name="AnnualFactor">PARAMETERS!$M$24</definedName>
    <definedName name="ArrRate1">'1) Project Information'!$G$51</definedName>
    <definedName name="ArrRate20">'1) Project Information'!$H$51</definedName>
    <definedName name="ASM">PARAMETERS!$AA$41</definedName>
    <definedName name="AuxLane">PARAMETERS!$AA$27</definedName>
    <definedName name="AvgAccCost">PARAMETERS!$E$74</definedName>
    <definedName name="AvgAccCostA">PARAMETERS!$BC$67</definedName>
    <definedName name="AvgAccCostR">PARAMETERS!$BB$67</definedName>
    <definedName name="AvgAccCostS">PARAMETERS!$BA$67</definedName>
    <definedName name="AvgAccCostU">PARAMETERS!$AZ$67</definedName>
    <definedName name="AVL">PARAMETERS!$AA$42</definedName>
    <definedName name="AVLCapSaving">PARAMETERS!$EA$37</definedName>
    <definedName name="AvlOMsaving">PARAMETERS!$EB$37</definedName>
    <definedName name="AVLTTsaving">PARAMETERS!$DZ$37</definedName>
    <definedName name="AVOHovB">'1) Project Information'!$H$61</definedName>
    <definedName name="AVOHovNB">'1) Project Information'!$G$61</definedName>
    <definedName name="AVONonB">'1) Project Information'!$H$59</definedName>
    <definedName name="AVONonNB">'1) Project Information'!$G$59</definedName>
    <definedName name="AVOPeakB">'1) Project Information'!$H$60</definedName>
    <definedName name="AVOPeakNB">'1) Project Information'!$G$60</definedName>
    <definedName name="BeneCostRatio">'3) Results'!$H$17</definedName>
    <definedName name="BetaSTD">PARAMETERS!$EM$12</definedName>
    <definedName name="BetaTTI">PARAMETERS!$EK$12</definedName>
    <definedName name="BIG" hidden="1">{#N/A,#N/A,FALSE,"Pricing";#N/A,#N/A,FALSE,"Summary";#N/A,#N/A,FALSE,"CompProd";#N/A,#N/A,FALSE,"CompJobhrs";#N/A,#N/A,FALSE,"Escalation";#N/A,#N/A,FALSE,"Contingency";#N/A,#N/A,FALSE,"GM";#N/A,#N/A,FALSE,"CompWage";#N/A,#N/A,FALSE,"costSum"}</definedName>
    <definedName name="BRT">PARAMETERS!$AA$44</definedName>
    <definedName name="BrtTTsaving">PARAMETERS!$DZ$39</definedName>
    <definedName name="Bus">PARAMETERS!$AA$23</definedName>
    <definedName name="BusAccCost">PARAMETERS!$BJ$39</definedName>
    <definedName name="Bypass">PARAMETERS!$AA$16</definedName>
    <definedName name="CHUCK" hidden="1">{#N/A,#N/A,FALSE,"Pricing";#N/A,#N/A,FALSE,"Summary";#N/A,#N/A,FALSE,"CompProd";#N/A,#N/A,FALSE,"CompJobhrs";#N/A,#N/A,FALSE,"Escalation";#N/A,#N/A,FALSE,"Contingency";#N/A,#N/A,FALSE,"GM";#N/A,#N/A,FALSE,"CompWage";#N/A,#N/A,FALSE,"costSum"}</definedName>
    <definedName name="CLASS1MRS">PARAMETERS!$U$41</definedName>
    <definedName name="CLASS2MRS">PARAMETERS!$U$42</definedName>
    <definedName name="CLASS3MRS">PARAMETERS!$U$43</definedName>
    <definedName name="CLASS4MRS">PARAMETERS!$U$44</definedName>
    <definedName name="CO2Uprater">PARAMETERS!$CR$16</definedName>
    <definedName name="Construct">'1) Project Information'!$F$14</definedName>
    <definedName name="CycDistPerTrip">PARAMETERS!$AJ$60:$AL$61</definedName>
    <definedName name="CycleDays">PARAMETERS!$U$20</definedName>
    <definedName name="CycSpeed">PARAMETERS!$U$29</definedName>
    <definedName name="CycTripPurpose">PARAMETERS!$AJ$71:$AL$73</definedName>
    <definedName name="DepRate1">'1) Project Information'!$G$52</definedName>
    <definedName name="DepRate20">'1) Project Information'!$H$52</definedName>
    <definedName name="DepRateConv">PARAMETERS!$O$30</definedName>
    <definedName name="DepRateExp">PARAMETERS!$O$29</definedName>
    <definedName name="DepRateFwy">PARAMETERS!$O$28</definedName>
    <definedName name="DiscRate">PARAMETERS!$F$12</definedName>
    <definedName name="DivCycAutoNB">PARAMETERS!$U$33</definedName>
    <definedName name="DivPedAutoNB">PARAMETERS!$U$34</definedName>
    <definedName name="EmAuto1">PARAMETERS!$BQ$12:$BX$78</definedName>
    <definedName name="EmAuto20">PARAMETERS!$CC$12:$CJ$78</definedName>
    <definedName name="EmBus1">PARAMETERS!$BQ$148:$BX$214</definedName>
    <definedName name="EmBus20">PARAMETERS!$CC$148:$CJ$214</definedName>
    <definedName name="EmCost">PARAMETERS!$CP$12:$CV$14</definedName>
    <definedName name="EmFreightTrain">PARAMETERS!$CP$44:$CW$45</definedName>
    <definedName name="Emissions">'3) Results'!$H$35</definedName>
    <definedName name="EmLRT">PARAMETERS!$CP$36:$CW$37</definedName>
    <definedName name="EmPassTrain">PARAMETERS!$CP$28:$CW$29</definedName>
    <definedName name="EmTruck1">PARAMETERS!$BQ$80:$BX$146</definedName>
    <definedName name="EmTruck20">PARAMETERS!$CC$80:$CJ$146</definedName>
    <definedName name="ExciseTaxDieselFed">PARAMETERS!$E$45</definedName>
    <definedName name="ExciseTaxDieselState">PARAMETERS!$E$47</definedName>
    <definedName name="ExciseTaxGasFed">PARAMETERS!$E$44</definedName>
    <definedName name="ExciseTaxGasState">PARAMETERS!$E$46</definedName>
    <definedName name="Exclusive">'1) Project Information'!$G$28</definedName>
    <definedName name="Fat3Yr">'1) Project Information'!$Q$12</definedName>
    <definedName name="FatalRateB">'2) Model Inputs'!$U$20</definedName>
    <definedName name="FatalRateNB">'2) Model Inputs'!$U$7</definedName>
    <definedName name="FatValue">PARAMETERS!$E$61</definedName>
    <definedName name="FFSpeedB">'1) Project Information'!$H$30</definedName>
    <definedName name="FFSpeedNB">'1) Project Information'!$G$30</definedName>
    <definedName name="FreeConn">PARAMETERS!$AA$28</definedName>
    <definedName name="FreightRailAccCost">PARAMETERS!$BK$39</definedName>
    <definedName name="FringeTruck">PARAMETERS!$E$23</definedName>
    <definedName name="FuelAuto">PARAMETERS!$E$50</definedName>
    <definedName name="FuelCon">PARAMETERS!$AR$12:$AT$77</definedName>
    <definedName name="FuelConPavAdj">PARAMETERS!$DB$42:$DD$60</definedName>
    <definedName name="FuelFreightRail">PARAMETERS!$CS$47</definedName>
    <definedName name="FuelPriceAuto">PARAMETERS!$E$37</definedName>
    <definedName name="FuelPriceTruck">PARAMETERS!$E$38</definedName>
    <definedName name="FuelTruck">PARAMETERS!$E$51</definedName>
    <definedName name="GateTime0">'1) Project Information'!$O$49</definedName>
    <definedName name="GateTime1">'1) Project Information'!$P$49</definedName>
    <definedName name="GateTime20">'1) Project Information'!$Q$49</definedName>
    <definedName name="GenAlphaB">PARAMETERS!$L$36</definedName>
    <definedName name="GenAlphaNB">PARAMETERS!$L$35</definedName>
    <definedName name="GenBetaB">PARAMETERS!$M$36</definedName>
    <definedName name="GenBetaNB">PARAMETERS!$M$35</definedName>
    <definedName name="GenHwy">PARAMETERS!$AA$10</definedName>
    <definedName name="GenLaneCapB">PARAMETERS!$N$36</definedName>
    <definedName name="GenLaneCapNB">PARAMETERS!$N$35</definedName>
    <definedName name="GenLanesB">'1) Project Information'!$H$25</definedName>
    <definedName name="GenLanesNB">'1) Project Information'!$G$25</definedName>
    <definedName name="HOT">PARAMETERS!$AA$12</definedName>
    <definedName name="HOTConv">PARAMETERS!$AA$34</definedName>
    <definedName name="HOV">PARAMETERS!$AA$11</definedName>
    <definedName name="HOV2to3">PARAMETERS!$AA$33</definedName>
    <definedName name="HOVAlpha">PARAMETERS!$L$31</definedName>
    <definedName name="HOVBeta">PARAMETERS!$M$31</definedName>
    <definedName name="HOVConn">PARAMETERS!$AA$29</definedName>
    <definedName name="HOVDrop">PARAMETERS!$AA$30</definedName>
    <definedName name="HOVLaneCap">PARAMETERS!$N$31</definedName>
    <definedName name="HOVLanesB">'1) Project Information'!$H$26</definedName>
    <definedName name="HOVLanesNB">'1) Project Information'!$G$26</definedName>
    <definedName name="HOVRest">'1) Project Information'!$G$27</definedName>
    <definedName name="HOVvolB">'1) Project Information'!$H$40</definedName>
    <definedName name="HOVvolNB">'1) Project Information'!$G$40</definedName>
    <definedName name="HTML_CodePage" hidden="1">1252</definedName>
    <definedName name="HTML_Control" hidden="1">{"'2-17'!$A$1:$Q$34"}</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"C:\WINNT\Profiles\dmegret\Desktop\current tasks\nts2000\nts2000\HTML\Ch2_web\2-17.htm"</definedName>
    <definedName name="HTML_Title" hidden="1">"Table 2-17"</definedName>
    <definedName name="HwyFatCost">PARAMETERS!$E$71</definedName>
    <definedName name="HwyFatCostA">PARAMETERS!$BC$64</definedName>
    <definedName name="HwyFatCostR">PARAMETERS!$BB$64</definedName>
    <definedName name="HwyFatCostS">PARAMETERS!$BA$64</definedName>
    <definedName name="HwyFatCostU">PARAMETERS!$AZ$64</definedName>
    <definedName name="HwyInjCost">PARAMETERS!$E$72</definedName>
    <definedName name="HwyInjCostA">PARAMETERS!$BC$65</definedName>
    <definedName name="HwyInjCostR">PARAMETERS!$BB$65</definedName>
    <definedName name="HwyInjCostS">PARAMETERS!$BA$65</definedName>
    <definedName name="HwyInjCostU">PARAMETERS!$AZ$65</definedName>
    <definedName name="HwyPDOCost">PARAMETERS!$E$73</definedName>
    <definedName name="HwyPDOCostA">PARAMETERS!$BC$66</definedName>
    <definedName name="HwyPDOCostR">PARAMETERS!$BB$66</definedName>
    <definedName name="HwyPDOCostS">PARAMETERS!$BA$66</definedName>
    <definedName name="HwyPDOCostU">PARAMETERS!$AZ$66</definedName>
    <definedName name="HwyRail">PARAMETERS!$AA$24</definedName>
    <definedName name="IdleFreightRail">PARAMETERS!$CS$48</definedName>
    <definedName name="IdleSpeed">PARAMETERS!$E$57</definedName>
    <definedName name="IM">PARAMETERS!$AA$39</definedName>
    <definedName name="ImpactedB">'1) Project Information'!$H$33</definedName>
    <definedName name="ImpactedNB">'1) Project Information'!$G$33</definedName>
    <definedName name="Induced">'3) Results'!$H$27</definedName>
    <definedName name="Inj3Yr">'1) Project Information'!$Q$13</definedName>
    <definedName name="InjAValue">PARAMETERS!$E$64</definedName>
    <definedName name="InjBValue">PARAMETERS!$E$65</definedName>
    <definedName name="InjCValue">PARAMETERS!$E$66</definedName>
    <definedName name="InjuryRateB">'2) Model Inputs'!$U$21</definedName>
    <definedName name="InjuryRateNB">'2) Model Inputs'!$U$8</definedName>
    <definedName name="Intersect">PARAMETERS!$AA$14</definedName>
    <definedName name="IQ_ADDIN" hidden="1">"AUTO"</definedName>
    <definedName name="IQ_CH" hidden="1">110000</definedName>
    <definedName name="IQ_CQ" hidden="1">5000</definedName>
    <definedName name="IQ_CY" hidden="1">10000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MONTH" hidden="1">15000</definedName>
    <definedName name="IQ_NAMES_REVISION_DATE_" hidden="1">39926.455</definedName>
    <definedName name="IQ_NTM" hidden="1">6000</definedName>
    <definedName name="IQ_TODAY" hidden="1">0</definedName>
    <definedName name="IQ_WEEK" hidden="1">50000</definedName>
    <definedName name="IQ_YTD" hidden="1">3000</definedName>
    <definedName name="IRI1B">'1) Project Information'!$H$55</definedName>
    <definedName name="IRI1NB">'1) Project Information'!$G$55</definedName>
    <definedName name="IRI20B">'1) Project Information'!$H$56</definedName>
    <definedName name="IRI20NB">'1) Project Information'!$G$56</definedName>
    <definedName name="JANA" hidden="1">{#N/A,#N/A,FALSE,"Pricing";#N/A,#N/A,FALSE,"Summary";#N/A,#N/A,FALSE,"CompProd";#N/A,#N/A,FALSE,"CompJobhrs";#N/A,#N/A,FALSE,"Escalation";#N/A,#N/A,FALSE,"Contingency";#N/A,#N/A,FALSE,"GM";#N/A,#N/A,FALSE,"CompWage";#N/A,#N/A,FALSE,"costSum"}</definedName>
    <definedName name="JQValCyc">PARAMETERS!$U$41:$U$44</definedName>
    <definedName name="JQValPed">PARAMETERS!$U$48:$U$54</definedName>
    <definedName name="LifeCycleAcc">'3) Results'!$Q$17</definedName>
    <definedName name="LifeCycleBene">'Final Calculations'!$R$55</definedName>
    <definedName name="LifeCycleCO2">'3) Results'!#REF!</definedName>
    <definedName name="LifeCycleCO2Tons">'3) Results'!#REF!</definedName>
    <definedName name="LifeCycleCost">'Final Calculations'!$S$55</definedName>
    <definedName name="LifeCycleEm">'3) Results'!$Q$18</definedName>
    <definedName name="LifeCycleRel">'3) Results'!$Q$15</definedName>
    <definedName name="LifeCycleTT">'3) Results'!$Q$14</definedName>
    <definedName name="LifeCycleTTHrs">'3) Results'!$Q$21</definedName>
    <definedName name="LifeCycleVOC">'3) Results'!$Q$16</definedName>
    <definedName name="LRT">PARAMETERS!$AA$22</definedName>
    <definedName name="LRTAccCost">PARAMETERS!$BI$39</definedName>
    <definedName name="MaxVC">PARAMETERS!$M$19</definedName>
    <definedName name="MeterStrat">'1) Project Information'!$G$48</definedName>
    <definedName name="Modes">PARAMETERS!$J$9:$J$12</definedName>
    <definedName name="MortRateCyc">PARAMETERS!$U$68</definedName>
    <definedName name="MortRatePed">PARAMETERS!$U$69</definedName>
    <definedName name="NetPresentValue">'Final Calculations'!$T$55</definedName>
    <definedName name="NNRAdj">'2) Model Inputs'!$AS$27</definedName>
    <definedName name="NNS1B">'2) Model Inputs'!$I$62</definedName>
    <definedName name="NNS1NB">'2) Model Inputs'!$I$22</definedName>
    <definedName name="NNS20B">'2) Model Inputs'!$I$81</definedName>
    <definedName name="NNS20NB">'2) Model Inputs'!$I$41</definedName>
    <definedName name="NNT1Ind">'2) Model Inputs'!$AG$14</definedName>
    <definedName name="NNT20Ind">'2) Model Inputs'!$AG$29</definedName>
    <definedName name="NNV1B">'2) Model Inputs'!$I$59</definedName>
    <definedName name="NNV1NB">'2) Model Inputs'!$I$19</definedName>
    <definedName name="NNV20B">'2) Model Inputs'!$I$78</definedName>
    <definedName name="NNV20NB">'2) Model Inputs'!$I$38</definedName>
    <definedName name="NoInjValue">PARAMETERS!$E$68</definedName>
    <definedName name="NonFuelAuto">PARAMETERS!$E$54</definedName>
    <definedName name="NonFuelPavAdj">PARAMETERS!$DI$42:$DK$60</definedName>
    <definedName name="NonFuelTruck">PARAMETERS!$E$55</definedName>
    <definedName name="NonFwyAccRate">PARAMETERS!$E$80</definedName>
    <definedName name="NTRAdj">'2) Model Inputs'!$AS$29</definedName>
    <definedName name="NTS1B">'2) Model Inputs'!$I$64</definedName>
    <definedName name="NTS1NB">'2) Model Inputs'!$I$24</definedName>
    <definedName name="NTS20B">'2) Model Inputs'!$I$83</definedName>
    <definedName name="NTS20NB">'2) Model Inputs'!$I$43</definedName>
    <definedName name="NTT1Ind">'2) Model Inputs'!$AG$15</definedName>
    <definedName name="NTT20Ind">'2) Model Inputs'!$AG$30</definedName>
    <definedName name="NTV1B">'2) Model Inputs'!$I$61</definedName>
    <definedName name="NTV1NB">'2) Model Inputs'!$I$21</definedName>
    <definedName name="NTV20B">'2) Model Inputs'!$I$80</definedName>
    <definedName name="NTV20NB">'2) Model Inputs'!$I$40</definedName>
    <definedName name="NumDirections">'1) Project Information'!$F$15</definedName>
    <definedName name="NumTrain0">'1) Project Information'!$O$48</definedName>
    <definedName name="NumTrain1">'1) Project Information'!$P$48</definedName>
    <definedName name="NumTrain20">'1) Project Information'!$Q$48</definedName>
    <definedName name="NWRAdj">'2) Model Inputs'!$AS$28</definedName>
    <definedName name="NWS1B">'2) Model Inputs'!$I$63</definedName>
    <definedName name="NWS1NB">'2) Model Inputs'!$I$23</definedName>
    <definedName name="NWS20B">'2) Model Inputs'!$I$82</definedName>
    <definedName name="NWS20NB">'2) Model Inputs'!$I$42</definedName>
    <definedName name="NWV1B">'2) Model Inputs'!$I$60</definedName>
    <definedName name="NWV1NB">'2) Model Inputs'!$I$20</definedName>
    <definedName name="NWV20B">'2) Model Inputs'!$I$79</definedName>
    <definedName name="NWV20NB">'2) Model Inputs'!$I$39</definedName>
    <definedName name="OffRamp">PARAMETERS!$AA$31</definedName>
    <definedName name="OLE_LINK6" localSheetId="1">Instructions!$F$1</definedName>
    <definedName name="OnRamp">PARAMETERS!$AA$32</definedName>
    <definedName name="Pal_Workbook_GUID" hidden="1">"3XHXXQSLF67LVVUJ7F3SICY8"</definedName>
    <definedName name="PAS1B">'2) Model Inputs'!$U$68</definedName>
    <definedName name="PAS1NB">'2) Model Inputs'!$U$54</definedName>
    <definedName name="PAS20B">'2) Model Inputs'!$U$74</definedName>
    <definedName name="PAS20NB">'2) Model Inputs'!$U$60</definedName>
    <definedName name="PassAccReduce">PARAMETERS!$BG$64:$BJ$66</definedName>
    <definedName name="Passing">PARAMETERS!$AA$13</definedName>
    <definedName name="PassRail">PARAMETERS!$AA$21</definedName>
    <definedName name="PassRailAccCost">PARAMETERS!$BH$39</definedName>
    <definedName name="PAV1B">'2) Model Inputs'!$U$66</definedName>
    <definedName name="PAV1NB">'2) Model Inputs'!$U$52</definedName>
    <definedName name="PAV20B">'2) Model Inputs'!$U$72</definedName>
    <definedName name="PAV20NB">'2) Model Inputs'!$U$58</definedName>
    <definedName name="PaveDet">PARAMETERS!$DB$13:$DE$31</definedName>
    <definedName name="Pavement">PARAMETERS!$AA$18</definedName>
    <definedName name="Payback">'Final Calculations'!$AP$58</definedName>
    <definedName name="Pdo3Yr">'1) Project Information'!$Q$14</definedName>
    <definedName name="PDORateB">'2) Model Inputs'!$U$22</definedName>
    <definedName name="PDORateNB">'2) Model Inputs'!$U$9</definedName>
    <definedName name="PeakLngthNB">'1) Project Information'!$F$17</definedName>
    <definedName name="PedDistPerTrip">PARAMETERS!$AJ$62:$AL$63</definedName>
    <definedName name="PedSpeed">PARAMETERS!$U$30</definedName>
    <definedName name="PedTripPurpose">PARAMETERS!$AJ$74:$AL$76</definedName>
    <definedName name="PerCycAge">PARAMETERS!$U$62</definedName>
    <definedName name="PerCycRiskRed">PARAMETERS!$U$65</definedName>
    <definedName name="PerIndHOV">'1) Project Information'!$H$41</definedName>
    <definedName name="PerPeakADT">PARAMETERS!$M$21</definedName>
    <definedName name="PerPeakAvgHr">PARAMETERS!$M$22</definedName>
    <definedName name="PerPeakTable">PARAMETERS!$AG$14:$AM$37</definedName>
    <definedName name="PerPedAge">PARAMETERS!$U$63</definedName>
    <definedName name="PerPedRiskRed">PARAMETERS!$U$66</definedName>
    <definedName name="PerSickDaysLeave">PARAMETERS!$U$58</definedName>
    <definedName name="PerSickDaysRed">PARAMETERS!$U$59</definedName>
    <definedName name="PerTruckB">'1) Project Information'!$H$43</definedName>
    <definedName name="PerTruckNB">'1) Project Information'!$G$43</definedName>
    <definedName name="PerWeaveB">'1) Project Information'!$H$42</definedName>
    <definedName name="PerWeaveNB">'1) Project Information'!$G$42</definedName>
    <definedName name="PFatStAvgB">'1) Project Information'!$Q$20</definedName>
    <definedName name="PFatStAvgNB">'1) Project Information'!$P$20</definedName>
    <definedName name="PHRAdj">'2) Model Inputs'!$AS$21</definedName>
    <definedName name="PHS1B">'2) Model Inputs'!$I$53</definedName>
    <definedName name="PHS1NB">'2) Model Inputs'!$I$13</definedName>
    <definedName name="PHS20B">'2) Model Inputs'!$I$72</definedName>
    <definedName name="PHS20NB">'2) Model Inputs'!$I$32</definedName>
    <definedName name="PHV1B">'2) Model Inputs'!$I$49</definedName>
    <definedName name="PHV1NB">'2) Model Inputs'!$I$9</definedName>
    <definedName name="PHV20B">'2) Model Inputs'!$I$68</definedName>
    <definedName name="PHV20NB">'2) Model Inputs'!$I$28</definedName>
    <definedName name="PInjStAvgB">'1) Project Information'!$Q$21</definedName>
    <definedName name="PInjStAvgNB">'1) Project Information'!$P$21</definedName>
    <definedName name="PNRAdj">'2) Model Inputs'!$AS$22</definedName>
    <definedName name="PNS1B">'2) Model Inputs'!$I$54</definedName>
    <definedName name="PNS1NB">'2) Model Inputs'!$I$14</definedName>
    <definedName name="PNS20B">'2) Model Inputs'!$I$73</definedName>
    <definedName name="PNS20NB">'2) Model Inputs'!$I$33</definedName>
    <definedName name="PNT1Ind">'2) Model Inputs'!$AG$10</definedName>
    <definedName name="PNT20Ind">'2) Model Inputs'!$AG$25</definedName>
    <definedName name="PNV1B">'2) Model Inputs'!$I$50</definedName>
    <definedName name="PNV1NB">'2) Model Inputs'!$I$10</definedName>
    <definedName name="PNV20B">'2) Model Inputs'!$I$69</definedName>
    <definedName name="PNV20NB">'2) Model Inputs'!$I$29</definedName>
    <definedName name="_xlnm.Print_Area" localSheetId="2">'1) Project Information'!$A$1:$AG$62</definedName>
    <definedName name="_xlnm.Print_Area" localSheetId="4">'3) Results'!$B$1:$T$38</definedName>
    <definedName name="_xlnm.Print_Area" localSheetId="8">'Accident Costs'!$T$15:$AF$48</definedName>
    <definedName name="_xlnm.Print_Area" localSheetId="9">Emissions!$BB$15:$CF$48</definedName>
    <definedName name="_xlnm.Print_Area" localSheetId="10">'Final Calculations'!$A$14:$BC$68</definedName>
    <definedName name="_xlnm.Print_Area" localSheetId="1">Instructions!$A$1:$H$52</definedName>
    <definedName name="_xlnm.Print_Area" localSheetId="11">PARAMETERS!$A$1:$BM$88,PARAMETERS!$BN$1:$CL$219,PARAMETERS!$CM$1:$EO$63</definedName>
    <definedName name="_xlnm.Print_Area" localSheetId="0">Title!$B$2:$C$29</definedName>
    <definedName name="_xlnm.Print_Area" localSheetId="5">'Travel Time'!$AC$15:$AU$48</definedName>
    <definedName name="_xlnm.Print_Area" localSheetId="7">'Vehicle Operating Costs'!$Z$15:$AM$48</definedName>
    <definedName name="_xlnm.Print_Titles" localSheetId="9">Emissions!$BB:$BB</definedName>
    <definedName name="_xlnm.Print_Titles" localSheetId="11">PARAMETERS!$1:$16</definedName>
    <definedName name="_xlnm.Print_Titles" localSheetId="5">'Travel Time'!$AC:$AC</definedName>
    <definedName name="ProjLoc">'1) Project Information'!$H$12</definedName>
    <definedName name="ProjName">'1) Project Information'!$E$4</definedName>
    <definedName name="ProjType">'1) Project Information'!$F$10</definedName>
    <definedName name="ProjTypeList">PARAMETERS!$Z$8:$Z$44</definedName>
    <definedName name="PRS1B">'2) Model Inputs'!$U$67</definedName>
    <definedName name="PRS1NB">'2) Model Inputs'!$U$53</definedName>
    <definedName name="PRS20B">'2) Model Inputs'!$U$73</definedName>
    <definedName name="PRS20NB">'2) Model Inputs'!$U$59</definedName>
    <definedName name="PRV1B">'2) Model Inputs'!$U$65</definedName>
    <definedName name="PRV1NB">'2) Model Inputs'!$U$51</definedName>
    <definedName name="PRV20B">'2) Model Inputs'!$U$71</definedName>
    <definedName name="PRV20NB">'2) Model Inputs'!$U$57</definedName>
    <definedName name="PTRAdj">'2) Model Inputs'!$AS$24</definedName>
    <definedName name="PTS1B">'2) Model Inputs'!$I$56</definedName>
    <definedName name="PTS1NB">'2) Model Inputs'!$I$16</definedName>
    <definedName name="PTS20B">'2) Model Inputs'!$I$75</definedName>
    <definedName name="PTS20NB">'2) Model Inputs'!$I$35</definedName>
    <definedName name="PTT1Ind">'2) Model Inputs'!$AG$11</definedName>
    <definedName name="PTT20Ind">'2) Model Inputs'!$AG$26</definedName>
    <definedName name="PTV1B">'2) Model Inputs'!$I$52</definedName>
    <definedName name="PTV1NB">'2) Model Inputs'!$I$12</definedName>
    <definedName name="PTV20B">'2) Model Inputs'!$I$71</definedName>
    <definedName name="PTV20NB">'2) Model Inputs'!$I$31</definedName>
    <definedName name="PWRAdj">'2) Model Inputs'!$AS$23</definedName>
    <definedName name="PWS1B">'2) Model Inputs'!$I$55</definedName>
    <definedName name="PWS1NB">'2) Model Inputs'!$I$15</definedName>
    <definedName name="PWS20B">'2) Model Inputs'!$I$74</definedName>
    <definedName name="PWS20NB">'2) Model Inputs'!$I$34</definedName>
    <definedName name="PWV1B">'2) Model Inputs'!$I$51</definedName>
    <definedName name="PWV1NB">'2) Model Inputs'!$I$11</definedName>
    <definedName name="PWV20B">'2) Model Inputs'!$I$70</definedName>
    <definedName name="PWV20NB">'2) Model Inputs'!$I$30</definedName>
    <definedName name="Queuing">PARAMETERS!$AA$17</definedName>
    <definedName name="RADataAvail">'2) Model Inputs'!$T$40</definedName>
    <definedName name="RailFatCost">PARAMETERS!$BI$52</definedName>
    <definedName name="RailGradeFatRate">PARAMETERS!$BI$51</definedName>
    <definedName name="RailGradeInjRate">PARAMETERS!$BJ$51</definedName>
    <definedName name="RailInjCost">PARAMETERS!$BJ$52</definedName>
    <definedName name="RampFFSpdB">'1) Project Information'!$H$31</definedName>
    <definedName name="RampFFSpdNB">'1) Project Information'!$G$31</definedName>
    <definedName name="RampVolNP">'1) Project Information'!$H$47</definedName>
    <definedName name="RampVolP">'1) Project Information'!$G$47</definedName>
    <definedName name="RateGroupB">'1) Project Information'!$Q$18</definedName>
    <definedName name="RateGroupNB">'1) Project Information'!$P$18</definedName>
    <definedName name="Reliability">'3) Results'!$H$29</definedName>
    <definedName name="ReturnOnInvest">'Final Calculations'!$AS$54</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1917</definedName>
    <definedName name="RiskHasSettings" hidden="1">7</definedName>
    <definedName name="RiskMinimizeOnStart" hidden="1">FALSE</definedName>
    <definedName name="RiskMonitorConvergence" hidden="1">FALSE</definedName>
    <definedName name="RiskMultipleCPUSupportEnabled" hidden="1">FALSE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SwapState" hidden="1">FALSE</definedName>
    <definedName name="RiskUpdateDisplay" hidden="1">FALSE</definedName>
    <definedName name="RiskUseDifferentSeedForEachSim" hidden="1">FALSE</definedName>
    <definedName name="RiskUseFixedSeed" hidden="1">TRUE</definedName>
    <definedName name="RiskUseMultipleCPUs" hidden="1">FALSE</definedName>
    <definedName name="RM">PARAMETERS!$AA$37</definedName>
    <definedName name="RoadTypeB">'1) Project Information'!$H$24</definedName>
    <definedName name="RoadTypeNB">'1) Project Information'!$G$24</definedName>
    <definedName name="RTCycNB">PARAMETERS!$U$31</definedName>
    <definedName name="RTPedNB">PARAMETERS!$U$32</definedName>
    <definedName name="SalesTaxDieselState">PARAMETERS!$E$42</definedName>
    <definedName name="SalesTaxGasState">PARAMETERS!$E$41</definedName>
    <definedName name="SalesTaxLocal">PARAMETERS!$E$43</definedName>
    <definedName name="SchDays">PARAMETERS!$U$22</definedName>
    <definedName name="SegmentA">'2) Model Inputs'!$T$44</definedName>
    <definedName name="SegmentB">'1) Project Information'!$H$32</definedName>
    <definedName name="SegmentNB">'1) Project Information'!$G$32</definedName>
    <definedName name="SegmentR">'2) Model Inputs'!$T$43</definedName>
    <definedName name="Services2" hidden="1">{#N/A,#N/A,FALSE,"Pricing";#N/A,#N/A,FALSE,"Summary";#N/A,#N/A,FALSE,"CompProd";#N/A,#N/A,FALSE,"CompJobhrs";#N/A,#N/A,FALSE,"Escalation";#N/A,#N/A,FALSE,"Contingency";#N/A,#N/A,FALSE,"GM";#N/A,#N/A,FALSE,"CompWage";#N/A,#N/A,FALSE,"costSum"}</definedName>
    <definedName name="SigPriority">PARAMETERS!$AA$43</definedName>
    <definedName name="SigTTsaving">PARAMETERS!$DZ$38</definedName>
    <definedName name="SpeedPavAdj">PARAMETERS!$DI$13:$DK$31</definedName>
    <definedName name="SpeedWeaveAdj">PARAMETERS!$DP$13:$DR$53</definedName>
    <definedName name="StateFatRate">PARAMETERS!$E$77</definedName>
    <definedName name="StateInjRate">PARAMETERS!$E$78</definedName>
    <definedName name="StatePDORate">PARAMETERS!$E$79</definedName>
    <definedName name="TAccReductPer">'1) Project Information'!$P$39</definedName>
    <definedName name="TAPT1B">'1) Project Information'!$Q$28</definedName>
    <definedName name="TAPT1NB">'1) Project Information'!$P$28</definedName>
    <definedName name="TAPT20B">'1) Project Information'!$Q$29</definedName>
    <definedName name="TAPT20NB">'1) Project Information'!$P$29</definedName>
    <definedName name="TCapCostB">'1) Project Information'!$Q$52</definedName>
    <definedName name="TCapCostNB">'1) Project Information'!$P$52</definedName>
    <definedName name="temp" hidden="1">{#N/A,#N/A,FALSE,"Pricing";#N/A,#N/A,FALSE,"Summary";#N/A,#N/A,FALSE,"CompProd";#N/A,#N/A,FALSE,"CompJobhrs";#N/A,#N/A,FALSE,"Escalation";#N/A,#N/A,FALSE,"Contingency";#N/A,#N/A,FALSE,"GM";#N/A,#N/A,FALSE,"CompWage";#N/A,#N/A,FALSE,"costSum"}</definedName>
    <definedName name="test" hidden="1">{#N/A,#N/A,FALSE,"Pricing";#N/A,#N/A,FALSE,"Summary";#N/A,#N/A,FALSE,"CompProd";#N/A,#N/A,FALSE,"CompJobhrs";#N/A,#N/A,FALSE,"Escalation";#N/A,#N/A,FALSE,"Contingency";#N/A,#N/A,FALSE,"GM";#N/A,#N/A,FALSE,"CompWage";#N/A,#N/A,FALSE,"costSum"}</definedName>
    <definedName name="TI">PARAMETERS!$AA$40</definedName>
    <definedName name="TInTimeBN">'1) Project Information'!$Q$42</definedName>
    <definedName name="TInTimeBP">'1) Project Information'!$Q$43</definedName>
    <definedName name="TInTimeNBN">'1) Project Information'!$P$42</definedName>
    <definedName name="TInTimeNBP">'1) Project Information'!$P$43</definedName>
    <definedName name="TMSAdj">PARAMETERS!$DW$13:$EE$23</definedName>
    <definedName name="TMSLookup">PARAMETERS!$AA$46</definedName>
    <definedName name="TOMCostB">'1) Project Information'!$Q$53</definedName>
    <definedName name="TOMCostNB">'1) Project Information'!$P$53</definedName>
    <definedName name="Tot3Yr">'1) Project Information'!$Q$11</definedName>
    <definedName name="TOutTimeBN">'1) Project Information'!$Q$44</definedName>
    <definedName name="TOutTimeBP">'1) Project Information'!$Q$45</definedName>
    <definedName name="TOutTimeNBN">'1) Project Information'!$P$44</definedName>
    <definedName name="TOutTimeNBP">'1) Project Information'!$P$45</definedName>
    <definedName name="TPerHwy">'1) Project Information'!$Q$31</definedName>
    <definedName name="TPerPeak">'1) Project Information'!$P$30</definedName>
    <definedName name="TruckLane">PARAMETERS!$AA$15</definedName>
    <definedName name="TruckSpeed">'1) Project Information'!$G$44</definedName>
    <definedName name="TTUprater">PARAMETERS!$E$32</definedName>
    <definedName name="TVehMi1B">'1) Project Information'!$Q$34</definedName>
    <definedName name="TVehMi1NB">'1) Project Information'!$P$34</definedName>
    <definedName name="TVehMi20B">'1) Project Information'!$Q$35</definedName>
    <definedName name="TVehMi20NB">'1) Project Information'!$P$35</definedName>
    <definedName name="TVehPerTrainB">'1) Project Information'!$Q$36</definedName>
    <definedName name="TVehPerTrainNB">'1) Project Information'!$P$36</definedName>
    <definedName name="UserAdjInputs">PARAMETERS!$AA$47</definedName>
    <definedName name="ValRelAuto">PARAMETERS!$EK$24</definedName>
    <definedName name="ValRelTruck">PARAMETERS!$EK$25</definedName>
    <definedName name="ValTimeAT">PARAMETERS!$U$37</definedName>
    <definedName name="ValTimeAuto">PARAMETERS!$E$26</definedName>
    <definedName name="ValTimeChild">PARAMETERS!$U$38</definedName>
    <definedName name="ValTimeIMFactor">PARAMETERS!$E$31</definedName>
    <definedName name="ValTimeOVFactor">PARAMETERS!$E$30</definedName>
    <definedName name="ValTimeTransit">PARAMETERS!$E$29</definedName>
    <definedName name="ValTimeTruck">PARAMETERS!$E$27</definedName>
    <definedName name="ValueUpdate">PARAMETERS!$F$10</definedName>
    <definedName name="VehOcc">PARAMETERS!$U$26</definedName>
    <definedName name="VehOp">'3) Results'!$H$31</definedName>
    <definedName name="VehSpeed">PARAMETERS!$U$25</definedName>
    <definedName name="WageStatewide">PARAMETERS!$E$19</definedName>
    <definedName name="WageTruck">PARAMETERS!$E$22</definedName>
    <definedName name="WalkDays">PARAMETERS!$U$21</definedName>
    <definedName name="wrn.all." hidden="1">{#N/A,#N/A,FALSE,"Pricing";#N/A,#N/A,FALSE,"Summary";#N/A,#N/A,FALSE,"CompProd";#N/A,#N/A,FALSE,"CompJobhrs";#N/A,#N/A,FALSE,"Escalation";#N/A,#N/A,FALSE,"Contingency";#N/A,#N/A,FALSE,"GM";#N/A,#N/A,FALSE,"CompWage";#N/A,#N/A,FALSE,"costSum"}</definedName>
    <definedName name="wrn.ESTIMATE." hidden="1">{#N/A,#N/A,FALSE,"SUM";#N/A,#N/A,FALSE,"MECH.";#N/A,#N/A,FALSE,"PIPE";#N/A,#N/A,FALSE,"ELECT";#N/A,#N/A,FALSE,"PR CONT";#N/A,#N/A,FALSE,"STRUCT"}</definedName>
    <definedName name="wrn.Labor._.Cost._.Workbook." hidden="1">{#N/A,#N/A,FALSE,"RATES";#N/A,#N/A,FALSE,"LOADED RATES"}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2" i="16" l="1"/>
  <c r="E19" i="16"/>
  <c r="E68" i="16"/>
  <c r="AT125" i="8"/>
  <c r="AS125" i="8"/>
  <c r="AR125" i="8"/>
  <c r="AQ125" i="8"/>
  <c r="AP125" i="8"/>
  <c r="AO125" i="8"/>
  <c r="AN125" i="8"/>
  <c r="AJ125" i="8"/>
  <c r="AI125" i="8"/>
  <c r="AT124" i="8"/>
  <c r="AS124" i="8"/>
  <c r="AR124" i="8"/>
  <c r="AQ124" i="8"/>
  <c r="AP124" i="8"/>
  <c r="AO124" i="8"/>
  <c r="AN124" i="8"/>
  <c r="AJ124" i="8"/>
  <c r="AI124" i="8"/>
  <c r="AT123" i="8"/>
  <c r="AS123" i="8"/>
  <c r="AR123" i="8"/>
  <c r="AQ123" i="8"/>
  <c r="AP123" i="8"/>
  <c r="AO123" i="8"/>
  <c r="AN123" i="8"/>
  <c r="AJ123" i="8"/>
  <c r="AI123" i="8"/>
  <c r="AT122" i="8"/>
  <c r="AS122" i="8"/>
  <c r="AR122" i="8"/>
  <c r="AQ122" i="8"/>
  <c r="AP122" i="8"/>
  <c r="AO122" i="8"/>
  <c r="AN122" i="8"/>
  <c r="AJ122" i="8"/>
  <c r="AI122" i="8"/>
  <c r="AT121" i="8"/>
  <c r="AS121" i="8"/>
  <c r="AR121" i="8"/>
  <c r="AQ121" i="8"/>
  <c r="AP121" i="8"/>
  <c r="AO121" i="8"/>
  <c r="AN121" i="8"/>
  <c r="AJ121" i="8"/>
  <c r="AI121" i="8"/>
  <c r="AT120" i="8"/>
  <c r="AS120" i="8"/>
  <c r="AR120" i="8"/>
  <c r="AQ120" i="8"/>
  <c r="AP120" i="8"/>
  <c r="AO120" i="8"/>
  <c r="AN120" i="8"/>
  <c r="AJ120" i="8"/>
  <c r="AI120" i="8"/>
  <c r="AT117" i="8"/>
  <c r="AS117" i="8"/>
  <c r="AR117" i="8"/>
  <c r="AQ117" i="8"/>
  <c r="AP117" i="8"/>
  <c r="AO117" i="8"/>
  <c r="AN117" i="8"/>
  <c r="AJ117" i="8"/>
  <c r="AI117" i="8"/>
  <c r="AT106" i="8"/>
  <c r="AS106" i="8"/>
  <c r="AR106" i="8"/>
  <c r="AQ106" i="8"/>
  <c r="AP106" i="8"/>
  <c r="AO106" i="8"/>
  <c r="AN106" i="8"/>
  <c r="AJ106" i="8"/>
  <c r="AI106" i="8"/>
  <c r="AT105" i="8"/>
  <c r="AS105" i="8"/>
  <c r="AR105" i="8"/>
  <c r="AQ105" i="8"/>
  <c r="AP105" i="8"/>
  <c r="AO105" i="8"/>
  <c r="AN105" i="8"/>
  <c r="AJ105" i="8"/>
  <c r="AI105" i="8"/>
  <c r="AT104" i="8"/>
  <c r="AS104" i="8"/>
  <c r="AR104" i="8"/>
  <c r="AQ104" i="8"/>
  <c r="AP104" i="8"/>
  <c r="AO104" i="8"/>
  <c r="AN104" i="8"/>
  <c r="AJ104" i="8"/>
  <c r="AI104" i="8"/>
  <c r="AT103" i="8"/>
  <c r="AS103" i="8"/>
  <c r="AR103" i="8"/>
  <c r="AQ103" i="8"/>
  <c r="AP103" i="8"/>
  <c r="AO103" i="8"/>
  <c r="AN103" i="8"/>
  <c r="AJ103" i="8"/>
  <c r="AI103" i="8"/>
  <c r="AT102" i="8"/>
  <c r="AS102" i="8"/>
  <c r="AR102" i="8"/>
  <c r="AQ102" i="8"/>
  <c r="AP102" i="8"/>
  <c r="AO102" i="8"/>
  <c r="AN102" i="8"/>
  <c r="AJ102" i="8"/>
  <c r="AI102" i="8"/>
  <c r="AT101" i="8"/>
  <c r="AS101" i="8"/>
  <c r="AR101" i="8"/>
  <c r="AQ101" i="8"/>
  <c r="AP101" i="8"/>
  <c r="AO101" i="8"/>
  <c r="AN101" i="8"/>
  <c r="AJ101" i="8"/>
  <c r="AI101" i="8"/>
  <c r="AT100" i="8"/>
  <c r="AS100" i="8"/>
  <c r="AR100" i="8"/>
  <c r="AQ100" i="8"/>
  <c r="AP100" i="8"/>
  <c r="AO100" i="8"/>
  <c r="AN100" i="8"/>
  <c r="AJ100" i="8"/>
  <c r="AI100" i="8"/>
  <c r="AT99" i="8"/>
  <c r="AS99" i="8"/>
  <c r="AR99" i="8"/>
  <c r="AQ99" i="8"/>
  <c r="AP99" i="8"/>
  <c r="AO99" i="8"/>
  <c r="AN99" i="8"/>
  <c r="AJ99" i="8"/>
  <c r="AI99" i="8"/>
  <c r="AT98" i="8"/>
  <c r="AS98" i="8"/>
  <c r="AR98" i="8"/>
  <c r="AQ98" i="8"/>
  <c r="AP98" i="8"/>
  <c r="AO98" i="8"/>
  <c r="AN98" i="8"/>
  <c r="AJ98" i="8"/>
  <c r="AI98" i="8"/>
  <c r="AT97" i="8"/>
  <c r="AS97" i="8"/>
  <c r="AR97" i="8"/>
  <c r="AQ97" i="8"/>
  <c r="AP97" i="8"/>
  <c r="AO97" i="8"/>
  <c r="AN97" i="8"/>
  <c r="AJ97" i="8"/>
  <c r="AI97" i="8"/>
  <c r="AT96" i="8"/>
  <c r="AS96" i="8"/>
  <c r="AR96" i="8"/>
  <c r="AQ96" i="8"/>
  <c r="AP96" i="8"/>
  <c r="AO96" i="8"/>
  <c r="AN96" i="8"/>
  <c r="AJ96" i="8"/>
  <c r="AI96" i="8"/>
  <c r="AT95" i="8"/>
  <c r="AS95" i="8"/>
  <c r="AR95" i="8"/>
  <c r="AQ95" i="8"/>
  <c r="AP95" i="8"/>
  <c r="AO95" i="8"/>
  <c r="AN95" i="8"/>
  <c r="AJ95" i="8"/>
  <c r="AI95" i="8"/>
  <c r="AT87" i="8"/>
  <c r="AS87" i="8"/>
  <c r="AR87" i="8"/>
  <c r="AQ87" i="8"/>
  <c r="AP87" i="8"/>
  <c r="AO87" i="8"/>
  <c r="AN87" i="8"/>
  <c r="AJ87" i="8"/>
  <c r="AI87" i="8"/>
  <c r="AT94" i="8"/>
  <c r="AS94" i="8"/>
  <c r="AR94" i="8"/>
  <c r="AQ94" i="8"/>
  <c r="AP94" i="8"/>
  <c r="AO94" i="8"/>
  <c r="AN94" i="8"/>
  <c r="AJ94" i="8"/>
  <c r="AI94" i="8"/>
  <c r="AT93" i="8"/>
  <c r="AS93" i="8"/>
  <c r="AR93" i="8"/>
  <c r="AQ93" i="8"/>
  <c r="AP93" i="8"/>
  <c r="AO93" i="8"/>
  <c r="AN93" i="8"/>
  <c r="AJ93" i="8"/>
  <c r="AI93" i="8"/>
  <c r="AT92" i="8"/>
  <c r="AS92" i="8"/>
  <c r="AR92" i="8"/>
  <c r="AQ92" i="8"/>
  <c r="AP92" i="8"/>
  <c r="AO92" i="8"/>
  <c r="AN92" i="8"/>
  <c r="AJ92" i="8"/>
  <c r="AI92" i="8"/>
  <c r="AT91" i="8"/>
  <c r="AS91" i="8"/>
  <c r="AR91" i="8"/>
  <c r="AQ91" i="8"/>
  <c r="AP91" i="8"/>
  <c r="AO91" i="8"/>
  <c r="AN91" i="8"/>
  <c r="AJ91" i="8"/>
  <c r="AI91" i="8"/>
  <c r="AT90" i="8"/>
  <c r="AS90" i="8"/>
  <c r="AR90" i="8"/>
  <c r="AQ90" i="8"/>
  <c r="AP90" i="8"/>
  <c r="AO90" i="8"/>
  <c r="AN90" i="8"/>
  <c r="AJ90" i="8"/>
  <c r="AI90" i="8"/>
  <c r="AT89" i="8"/>
  <c r="AS89" i="8"/>
  <c r="AR89" i="8"/>
  <c r="AQ89" i="8"/>
  <c r="AP89" i="8"/>
  <c r="AO89" i="8"/>
  <c r="AN89" i="8"/>
  <c r="AJ89" i="8"/>
  <c r="AI89" i="8"/>
  <c r="AT86" i="8"/>
  <c r="AS86" i="8"/>
  <c r="AR86" i="8"/>
  <c r="AQ86" i="8"/>
  <c r="AP86" i="8"/>
  <c r="AO86" i="8"/>
  <c r="AN86" i="8"/>
  <c r="AJ86" i="8"/>
  <c r="AI86" i="8"/>
  <c r="E54" i="16"/>
  <c r="E55" i="16" l="1"/>
  <c r="CR14" i="16"/>
  <c r="CR13" i="16"/>
  <c r="CR12" i="16"/>
  <c r="CV14" i="16" l="1"/>
  <c r="CV13" i="16"/>
  <c r="CV12" i="16"/>
  <c r="CU14" i="16"/>
  <c r="CU13" i="16"/>
  <c r="CU12" i="16"/>
  <c r="CT14" i="16"/>
  <c r="CT13" i="16"/>
  <c r="CT12" i="16"/>
  <c r="CS14" i="16"/>
  <c r="CS13" i="16"/>
  <c r="CS12" i="16"/>
  <c r="CQ14" i="16"/>
  <c r="CQ13" i="16"/>
  <c r="CQ12" i="16"/>
  <c r="BC52" i="16" l="1"/>
  <c r="BC51" i="16"/>
  <c r="BC50" i="16"/>
  <c r="BB52" i="16"/>
  <c r="BB51" i="16"/>
  <c r="BB50" i="16"/>
  <c r="BA52" i="16"/>
  <c r="BA51" i="16"/>
  <c r="BA50" i="16"/>
  <c r="AZ52" i="16"/>
  <c r="AZ51" i="16"/>
  <c r="AZ50" i="16"/>
  <c r="BC14" i="16"/>
  <c r="BB14" i="16"/>
  <c r="BA14" i="16"/>
  <c r="AZ14" i="16"/>
  <c r="BC13" i="16"/>
  <c r="BB13" i="16"/>
  <c r="BA13" i="16"/>
  <c r="AZ13" i="16"/>
  <c r="BC12" i="16"/>
  <c r="BB12" i="16"/>
  <c r="BA12" i="16"/>
  <c r="AZ12" i="16"/>
  <c r="E79" i="16" l="1"/>
  <c r="E78" i="16"/>
  <c r="E77" i="16"/>
  <c r="E66" i="16"/>
  <c r="E65" i="16"/>
  <c r="E64" i="16"/>
  <c r="E61" i="16"/>
  <c r="E38" i="16" l="1"/>
  <c r="E37" i="16"/>
  <c r="E23" i="16"/>
  <c r="AS51" i="9" l="1"/>
  <c r="AS50" i="9"/>
  <c r="AS49" i="9"/>
  <c r="AS48" i="9"/>
  <c r="AS47" i="9"/>
  <c r="AS46" i="9"/>
  <c r="AS45" i="9"/>
  <c r="AI55" i="9" l="1"/>
  <c r="AD55" i="9"/>
  <c r="N55" i="9"/>
  <c r="I55" i="9"/>
  <c r="H55" i="9"/>
  <c r="AC50" i="18"/>
  <c r="AM25" i="18"/>
  <c r="CS48" i="16" l="1"/>
  <c r="AA15" i="16" l="1"/>
  <c r="H9" i="2"/>
  <c r="H43" i="2" l="1"/>
  <c r="H39" i="2"/>
  <c r="U63" i="16" l="1"/>
  <c r="U62" i="16"/>
  <c r="EE19" i="16"/>
  <c r="EE18" i="16"/>
  <c r="AA47" i="16"/>
  <c r="AA44" i="16"/>
  <c r="AA43" i="16"/>
  <c r="AA42" i="16"/>
  <c r="AC40" i="2" s="1"/>
  <c r="AD40" i="2" s="1"/>
  <c r="AE40" i="2" s="1"/>
  <c r="S50" i="9" s="1"/>
  <c r="AA41" i="16"/>
  <c r="AA40" i="16"/>
  <c r="AA39" i="16"/>
  <c r="AA38" i="16"/>
  <c r="AA37" i="16"/>
  <c r="AA34" i="16"/>
  <c r="AA33" i="16"/>
  <c r="AA32" i="16"/>
  <c r="AA31" i="16"/>
  <c r="AA30" i="16"/>
  <c r="AA29" i="16"/>
  <c r="AA28" i="16"/>
  <c r="AA27" i="16"/>
  <c r="AA24" i="16"/>
  <c r="AA23" i="16"/>
  <c r="AE25" i="8" s="1"/>
  <c r="AA22" i="16"/>
  <c r="AE117" i="8" s="1"/>
  <c r="AA21" i="16"/>
  <c r="AE87" i="8" s="1"/>
  <c r="AA18" i="16"/>
  <c r="G56" i="2" s="1"/>
  <c r="AA17" i="16"/>
  <c r="AA16" i="16"/>
  <c r="AA14" i="16"/>
  <c r="AA13" i="16"/>
  <c r="AA12" i="16"/>
  <c r="AA11" i="16"/>
  <c r="AA10" i="16"/>
  <c r="BB66" i="16"/>
  <c r="BK26" i="16"/>
  <c r="BJ51" i="16"/>
  <c r="BI51" i="16"/>
  <c r="U44" i="16"/>
  <c r="DY19" i="16"/>
  <c r="DX19" i="16"/>
  <c r="E29" i="16"/>
  <c r="DY18" i="16"/>
  <c r="DX18" i="16"/>
  <c r="G38" i="2"/>
  <c r="H38" i="2" s="1"/>
  <c r="H32" i="2"/>
  <c r="T117" i="5"/>
  <c r="T118" i="5"/>
  <c r="T86" i="5"/>
  <c r="T89" i="5" s="1"/>
  <c r="T87" i="5"/>
  <c r="T55" i="5"/>
  <c r="T68" i="5" s="1"/>
  <c r="T56" i="5"/>
  <c r="T24" i="5"/>
  <c r="T25" i="5"/>
  <c r="T38" i="5" s="1"/>
  <c r="H59" i="2"/>
  <c r="AC48" i="5"/>
  <c r="AQ23" i="5"/>
  <c r="AD23" i="7"/>
  <c r="Z48" i="6"/>
  <c r="T48" i="7"/>
  <c r="AK23" i="6"/>
  <c r="L55" i="9"/>
  <c r="Q55" i="9"/>
  <c r="K55" i="9"/>
  <c r="P55" i="9"/>
  <c r="J55" i="9"/>
  <c r="O55" i="9"/>
  <c r="M55" i="9"/>
  <c r="U74" i="3"/>
  <c r="F180" i="5" s="1"/>
  <c r="U73" i="3"/>
  <c r="F149" i="5" s="1"/>
  <c r="J149" i="5" s="1"/>
  <c r="U68" i="3"/>
  <c r="U67" i="3"/>
  <c r="F148" i="5" s="1"/>
  <c r="U60" i="3"/>
  <c r="U59" i="3"/>
  <c r="E149" i="5" s="1"/>
  <c r="U54" i="3"/>
  <c r="U53" i="3"/>
  <c r="E148" i="8" s="1"/>
  <c r="P49" i="2"/>
  <c r="P48" i="2"/>
  <c r="Z15" i="2"/>
  <c r="AD15" i="2" s="1"/>
  <c r="AM25" i="9"/>
  <c r="Z16" i="2"/>
  <c r="AD16" i="2" s="1"/>
  <c r="AN26" i="9" s="1"/>
  <c r="AM26" i="9"/>
  <c r="Z17" i="2"/>
  <c r="AD17" i="2" s="1"/>
  <c r="AE17" i="2" s="1"/>
  <c r="S27" i="9" s="1"/>
  <c r="AM27" i="9"/>
  <c r="Z18" i="2"/>
  <c r="AD18" i="2" s="1"/>
  <c r="AN28" i="9" s="1"/>
  <c r="AM28" i="9"/>
  <c r="Z19" i="2"/>
  <c r="AD19" i="2" s="1"/>
  <c r="AE19" i="2" s="1"/>
  <c r="S29" i="9" s="1"/>
  <c r="AM29" i="9"/>
  <c r="Z20" i="2"/>
  <c r="AD20" i="2" s="1"/>
  <c r="AN30" i="9" s="1"/>
  <c r="AM30" i="9"/>
  <c r="Z21" i="2"/>
  <c r="AD21" i="2" s="1"/>
  <c r="AM31" i="9"/>
  <c r="Z22" i="2"/>
  <c r="AD22" i="2" s="1"/>
  <c r="AM32" i="9"/>
  <c r="AG55" i="9"/>
  <c r="AF55" i="9"/>
  <c r="AE55" i="9"/>
  <c r="AC55" i="9"/>
  <c r="D180" i="8"/>
  <c r="H180" i="8" s="1"/>
  <c r="T40" i="3"/>
  <c r="U66" i="3"/>
  <c r="D148" i="6" s="1"/>
  <c r="H148" i="6" s="1"/>
  <c r="U72" i="3"/>
  <c r="D149" i="7" s="1"/>
  <c r="F149" i="7" s="1"/>
  <c r="U52" i="3"/>
  <c r="C148" i="7" s="1"/>
  <c r="U58" i="3"/>
  <c r="C180" i="8" s="1"/>
  <c r="U65" i="3"/>
  <c r="D148" i="5" s="1"/>
  <c r="U71" i="3"/>
  <c r="D149" i="5" s="1"/>
  <c r="U51" i="3"/>
  <c r="C148" i="5" s="1"/>
  <c r="U57" i="3"/>
  <c r="C149" i="5" s="1"/>
  <c r="H31" i="2"/>
  <c r="H30" i="2"/>
  <c r="W44" i="2"/>
  <c r="X44" i="2"/>
  <c r="Y44" i="2"/>
  <c r="AA44" i="2"/>
  <c r="AB44" i="2"/>
  <c r="R4" i="4"/>
  <c r="R3" i="4"/>
  <c r="E2" i="4"/>
  <c r="E4" i="4"/>
  <c r="R25" i="9"/>
  <c r="R26" i="9"/>
  <c r="R27" i="9"/>
  <c r="R28" i="9"/>
  <c r="R29" i="9"/>
  <c r="R30" i="9"/>
  <c r="R31" i="9"/>
  <c r="R32" i="9"/>
  <c r="BB48" i="8"/>
  <c r="BP23" i="8"/>
  <c r="AL55" i="9"/>
  <c r="AK55" i="9"/>
  <c r="AJ55" i="9"/>
  <c r="AH55" i="9"/>
  <c r="I164" i="8"/>
  <c r="J168" i="8"/>
  <c r="J160" i="8"/>
  <c r="J153" i="8"/>
  <c r="L148" i="8"/>
  <c r="K149" i="5"/>
  <c r="H157" i="7"/>
  <c r="G167" i="7"/>
  <c r="G151" i="7"/>
  <c r="E148" i="5"/>
  <c r="T105" i="5"/>
  <c r="T32" i="5"/>
  <c r="T41" i="5"/>
  <c r="T36" i="5"/>
  <c r="T28" i="5"/>
  <c r="T93" i="5"/>
  <c r="I166" i="8"/>
  <c r="I158" i="8"/>
  <c r="K161" i="8"/>
  <c r="K154" i="8"/>
  <c r="K153" i="8"/>
  <c r="K165" i="5"/>
  <c r="H156" i="7"/>
  <c r="G166" i="7"/>
  <c r="G149" i="7"/>
  <c r="L161" i="8"/>
  <c r="I149" i="8"/>
  <c r="I161" i="8"/>
  <c r="I154" i="8"/>
  <c r="K151" i="8"/>
  <c r="K154" i="5"/>
  <c r="H159" i="7"/>
  <c r="K148" i="5"/>
  <c r="G153" i="7"/>
  <c r="G152" i="7"/>
  <c r="H158" i="7"/>
  <c r="I155" i="8"/>
  <c r="K163" i="8"/>
  <c r="J165" i="8"/>
  <c r="G163" i="7"/>
  <c r="K153" i="5"/>
  <c r="I152" i="8"/>
  <c r="I167" i="8"/>
  <c r="BJ26" i="16"/>
  <c r="M14" i="2" l="1"/>
  <c r="M13" i="2"/>
  <c r="M12" i="2"/>
  <c r="L9" i="2"/>
  <c r="M7" i="2"/>
  <c r="M11" i="2"/>
  <c r="G51" i="2"/>
  <c r="Q13" i="2"/>
  <c r="S8" i="3" s="1"/>
  <c r="U8" i="3" s="1"/>
  <c r="P14" i="2"/>
  <c r="Q14" i="2" s="1"/>
  <c r="S9" i="3" s="1"/>
  <c r="U9" i="3" s="1"/>
  <c r="T106" i="5"/>
  <c r="E149" i="8"/>
  <c r="D179" i="8"/>
  <c r="T95" i="5"/>
  <c r="T103" i="5"/>
  <c r="T92" i="5"/>
  <c r="G24" i="2"/>
  <c r="H24" i="2" s="1"/>
  <c r="N36" i="16" s="1"/>
  <c r="T126" i="5"/>
  <c r="T91" i="5"/>
  <c r="T99" i="5"/>
  <c r="T100" i="5"/>
  <c r="AN29" i="9"/>
  <c r="AO29" i="9" s="1"/>
  <c r="T90" i="5"/>
  <c r="F149" i="8"/>
  <c r="E50" i="16"/>
  <c r="T104" i="5"/>
  <c r="T102" i="5"/>
  <c r="T101" i="5"/>
  <c r="T94" i="5"/>
  <c r="T98" i="5"/>
  <c r="T96" i="5"/>
  <c r="T97" i="5"/>
  <c r="C149" i="7"/>
  <c r="E149" i="7" s="1"/>
  <c r="BH27" i="16"/>
  <c r="BJ52" i="16" s="1"/>
  <c r="BK27" i="16"/>
  <c r="BK39" i="16" s="1"/>
  <c r="C149" i="6"/>
  <c r="G149" i="6" s="1"/>
  <c r="C180" i="5"/>
  <c r="G180" i="5" s="1"/>
  <c r="H61" i="2"/>
  <c r="AO28" i="9"/>
  <c r="D148" i="7"/>
  <c r="D168" i="7" s="1"/>
  <c r="F168" i="7" s="1"/>
  <c r="D149" i="6"/>
  <c r="D158" i="6" s="1"/>
  <c r="H158" i="6" s="1"/>
  <c r="D179" i="5"/>
  <c r="D148" i="8"/>
  <c r="H148" i="8" s="1"/>
  <c r="AO30" i="9"/>
  <c r="AO26" i="9"/>
  <c r="D191" i="8"/>
  <c r="H191" i="8" s="1"/>
  <c r="Q11" i="2"/>
  <c r="D185" i="8"/>
  <c r="H185" i="8" s="1"/>
  <c r="D156" i="5"/>
  <c r="D153" i="5"/>
  <c r="AN25" i="9"/>
  <c r="AO25" i="9" s="1"/>
  <c r="AE15" i="2"/>
  <c r="S25" i="9" s="1"/>
  <c r="T25" i="9" s="1"/>
  <c r="S168" i="8"/>
  <c r="Z168" i="8" s="1"/>
  <c r="V167" i="8"/>
  <c r="R167" i="8"/>
  <c r="Y167" i="8" s="1"/>
  <c r="U166" i="8"/>
  <c r="AB166" i="8" s="1"/>
  <c r="Q166" i="8"/>
  <c r="X166" i="8" s="1"/>
  <c r="T165" i="8"/>
  <c r="AA165" i="8" s="1"/>
  <c r="P165" i="8"/>
  <c r="W165" i="8" s="1"/>
  <c r="S164" i="8"/>
  <c r="Z164" i="8" s="1"/>
  <c r="V163" i="8"/>
  <c r="R163" i="8"/>
  <c r="Y163" i="8" s="1"/>
  <c r="U162" i="8"/>
  <c r="AB162" i="8" s="1"/>
  <c r="Q162" i="8"/>
  <c r="X162" i="8" s="1"/>
  <c r="T161" i="8"/>
  <c r="AA161" i="8" s="1"/>
  <c r="P161" i="8"/>
  <c r="W161" i="8" s="1"/>
  <c r="S160" i="8"/>
  <c r="Z160" i="8" s="1"/>
  <c r="V159" i="8"/>
  <c r="R159" i="8"/>
  <c r="Y159" i="8" s="1"/>
  <c r="U158" i="8"/>
  <c r="AB158" i="8" s="1"/>
  <c r="Q158" i="8"/>
  <c r="X158" i="8" s="1"/>
  <c r="T157" i="8"/>
  <c r="AA157" i="8" s="1"/>
  <c r="P157" i="8"/>
  <c r="W157" i="8" s="1"/>
  <c r="S149" i="8"/>
  <c r="Z149" i="8" s="1"/>
  <c r="U156" i="8"/>
  <c r="AB156" i="8" s="1"/>
  <c r="Q156" i="8"/>
  <c r="X156" i="8" s="1"/>
  <c r="T155" i="8"/>
  <c r="AA155" i="8" s="1"/>
  <c r="P155" i="8"/>
  <c r="W155" i="8" s="1"/>
  <c r="S154" i="8"/>
  <c r="Z154" i="8" s="1"/>
  <c r="V153" i="8"/>
  <c r="R153" i="8"/>
  <c r="Y153" i="8" s="1"/>
  <c r="U152" i="8"/>
  <c r="AB152" i="8" s="1"/>
  <c r="Q152" i="8"/>
  <c r="X152" i="8" s="1"/>
  <c r="T151" i="8"/>
  <c r="AA151" i="8" s="1"/>
  <c r="P151" i="8"/>
  <c r="W151" i="8" s="1"/>
  <c r="S148" i="8"/>
  <c r="Q148" i="8"/>
  <c r="X148" i="8" s="1"/>
  <c r="Q168" i="8"/>
  <c r="X168" i="8" s="1"/>
  <c r="S166" i="8"/>
  <c r="Z166" i="8" s="1"/>
  <c r="R165" i="8"/>
  <c r="Y165" i="8" s="1"/>
  <c r="Q164" i="8"/>
  <c r="X164" i="8" s="1"/>
  <c r="P163" i="8"/>
  <c r="W163" i="8" s="1"/>
  <c r="V161" i="8"/>
  <c r="Q160" i="8"/>
  <c r="X160" i="8" s="1"/>
  <c r="P159" i="8"/>
  <c r="W159" i="8" s="1"/>
  <c r="V157" i="8"/>
  <c r="U149" i="8"/>
  <c r="AB149" i="8" s="1"/>
  <c r="S156" i="8"/>
  <c r="Z156" i="8" s="1"/>
  <c r="V155" i="8"/>
  <c r="U154" i="8"/>
  <c r="AB154" i="8" s="1"/>
  <c r="Q154" i="8"/>
  <c r="X154" i="8" s="1"/>
  <c r="P153" i="8"/>
  <c r="W153" i="8" s="1"/>
  <c r="V151" i="8"/>
  <c r="U148" i="8"/>
  <c r="P168" i="8"/>
  <c r="W168" i="8" s="1"/>
  <c r="V166" i="8"/>
  <c r="U165" i="8"/>
  <c r="AB165" i="8" s="1"/>
  <c r="T164" i="8"/>
  <c r="AA164" i="8" s="1"/>
  <c r="S163" i="8"/>
  <c r="Z163" i="8" s="1"/>
  <c r="R162" i="8"/>
  <c r="Y162" i="8" s="1"/>
  <c r="Q161" i="8"/>
  <c r="X161" i="8" s="1"/>
  <c r="P160" i="8"/>
  <c r="W160" i="8" s="1"/>
  <c r="R158" i="8"/>
  <c r="Y158" i="8" s="1"/>
  <c r="Q157" i="8"/>
  <c r="X157" i="8" s="1"/>
  <c r="V156" i="8"/>
  <c r="R156" i="8"/>
  <c r="Y156" i="8" s="1"/>
  <c r="Q155" i="8"/>
  <c r="X155" i="8" s="1"/>
  <c r="P154" i="8"/>
  <c r="W154" i="8" s="1"/>
  <c r="V152" i="8"/>
  <c r="U151" i="8"/>
  <c r="AB151" i="8" s="1"/>
  <c r="T148" i="8"/>
  <c r="V168" i="8"/>
  <c r="R168" i="8"/>
  <c r="Y168" i="8" s="1"/>
  <c r="U167" i="8"/>
  <c r="AB167" i="8" s="1"/>
  <c r="Q167" i="8"/>
  <c r="X167" i="8" s="1"/>
  <c r="T166" i="8"/>
  <c r="AA166" i="8" s="1"/>
  <c r="P166" i="8"/>
  <c r="W166" i="8" s="1"/>
  <c r="S165" i="8"/>
  <c r="Z165" i="8" s="1"/>
  <c r="V164" i="8"/>
  <c r="R164" i="8"/>
  <c r="Y164" i="8" s="1"/>
  <c r="U163" i="8"/>
  <c r="AB163" i="8" s="1"/>
  <c r="Q163" i="8"/>
  <c r="X163" i="8" s="1"/>
  <c r="T162" i="8"/>
  <c r="AA162" i="8" s="1"/>
  <c r="P162" i="8"/>
  <c r="W162" i="8" s="1"/>
  <c r="S161" i="8"/>
  <c r="Z161" i="8" s="1"/>
  <c r="V160" i="8"/>
  <c r="R160" i="8"/>
  <c r="Y160" i="8" s="1"/>
  <c r="U159" i="8"/>
  <c r="AB159" i="8" s="1"/>
  <c r="Q159" i="8"/>
  <c r="X159" i="8" s="1"/>
  <c r="T158" i="8"/>
  <c r="AA158" i="8" s="1"/>
  <c r="P158" i="8"/>
  <c r="W158" i="8" s="1"/>
  <c r="S157" i="8"/>
  <c r="Z157" i="8" s="1"/>
  <c r="V149" i="8"/>
  <c r="R149" i="8"/>
  <c r="Y149" i="8" s="1"/>
  <c r="T156" i="8"/>
  <c r="AA156" i="8" s="1"/>
  <c r="P156" i="8"/>
  <c r="W156" i="8" s="1"/>
  <c r="S155" i="8"/>
  <c r="Z155" i="8" s="1"/>
  <c r="V154" i="8"/>
  <c r="R154" i="8"/>
  <c r="Y154" i="8" s="1"/>
  <c r="U153" i="8"/>
  <c r="AB153" i="8" s="1"/>
  <c r="Q153" i="8"/>
  <c r="X153" i="8" s="1"/>
  <c r="T152" i="8"/>
  <c r="AA152" i="8" s="1"/>
  <c r="P152" i="8"/>
  <c r="W152" i="8" s="1"/>
  <c r="S151" i="8"/>
  <c r="Z151" i="8" s="1"/>
  <c r="V148" i="8"/>
  <c r="R148" i="8"/>
  <c r="U168" i="8"/>
  <c r="AB168" i="8" s="1"/>
  <c r="T167" i="8"/>
  <c r="AA167" i="8" s="1"/>
  <c r="P167" i="8"/>
  <c r="W167" i="8" s="1"/>
  <c r="V165" i="8"/>
  <c r="U164" i="8"/>
  <c r="AB164" i="8" s="1"/>
  <c r="T163" i="8"/>
  <c r="AA163" i="8" s="1"/>
  <c r="S162" i="8"/>
  <c r="Z162" i="8" s="1"/>
  <c r="R161" i="8"/>
  <c r="Y161" i="8" s="1"/>
  <c r="U160" i="8"/>
  <c r="AB160" i="8" s="1"/>
  <c r="T159" i="8"/>
  <c r="AA159" i="8" s="1"/>
  <c r="S158" i="8"/>
  <c r="Z158" i="8" s="1"/>
  <c r="R157" i="8"/>
  <c r="Y157" i="8" s="1"/>
  <c r="P149" i="8"/>
  <c r="W149" i="8" s="1"/>
  <c r="R155" i="8"/>
  <c r="Y155" i="8" s="1"/>
  <c r="T153" i="8"/>
  <c r="AA153" i="8" s="1"/>
  <c r="S152" i="8"/>
  <c r="Z152" i="8" s="1"/>
  <c r="R151" i="8"/>
  <c r="Y151" i="8" s="1"/>
  <c r="P148" i="8"/>
  <c r="T168" i="8"/>
  <c r="AA168" i="8" s="1"/>
  <c r="S167" i="8"/>
  <c r="Z167" i="8" s="1"/>
  <c r="R166" i="8"/>
  <c r="Y166" i="8" s="1"/>
  <c r="Q165" i="8"/>
  <c r="X165" i="8" s="1"/>
  <c r="P164" i="8"/>
  <c r="W164" i="8" s="1"/>
  <c r="V162" i="8"/>
  <c r="U161" i="8"/>
  <c r="AB161" i="8" s="1"/>
  <c r="T160" i="8"/>
  <c r="AA160" i="8" s="1"/>
  <c r="S159" i="8"/>
  <c r="Z159" i="8" s="1"/>
  <c r="V158" i="8"/>
  <c r="U157" i="8"/>
  <c r="AB157" i="8" s="1"/>
  <c r="T149" i="8"/>
  <c r="AA149" i="8" s="1"/>
  <c r="U155" i="8"/>
  <c r="AB155" i="8" s="1"/>
  <c r="T154" i="8"/>
  <c r="AA154" i="8" s="1"/>
  <c r="S153" i="8"/>
  <c r="Z153" i="8" s="1"/>
  <c r="R152" i="8"/>
  <c r="Y152" i="8" s="1"/>
  <c r="Q151" i="8"/>
  <c r="X151" i="8" s="1"/>
  <c r="Q149" i="8"/>
  <c r="X149" i="8" s="1"/>
  <c r="J164" i="8"/>
  <c r="H161" i="7"/>
  <c r="G155" i="7"/>
  <c r="I160" i="8"/>
  <c r="L160" i="8"/>
  <c r="K168" i="5"/>
  <c r="H149" i="7"/>
  <c r="I149" i="7" s="1"/>
  <c r="J149" i="7" s="1"/>
  <c r="Y25" i="7" s="1"/>
  <c r="G157" i="7"/>
  <c r="I157" i="7" s="1"/>
  <c r="J157" i="7" s="1"/>
  <c r="Y33" i="7" s="1"/>
  <c r="K163" i="5"/>
  <c r="H163" i="7"/>
  <c r="I163" i="7" s="1"/>
  <c r="J163" i="7" s="1"/>
  <c r="Y39" i="7" s="1"/>
  <c r="K162" i="5"/>
  <c r="L154" i="8"/>
  <c r="J155" i="8"/>
  <c r="J162" i="8"/>
  <c r="K149" i="8"/>
  <c r="K164" i="8"/>
  <c r="G154" i="7"/>
  <c r="K151" i="5"/>
  <c r="H160" i="7"/>
  <c r="K156" i="5"/>
  <c r="J152" i="8"/>
  <c r="L155" i="8"/>
  <c r="L162" i="8"/>
  <c r="J159" i="8"/>
  <c r="J167" i="8"/>
  <c r="E26" i="16"/>
  <c r="U37" i="16" s="1"/>
  <c r="T44" i="5"/>
  <c r="T37" i="5"/>
  <c r="T42" i="5"/>
  <c r="T33" i="5"/>
  <c r="T40" i="5"/>
  <c r="T43" i="5"/>
  <c r="G156" i="7"/>
  <c r="I156" i="7" s="1"/>
  <c r="J156" i="7" s="1"/>
  <c r="Y32" i="7" s="1"/>
  <c r="K159" i="5"/>
  <c r="H162" i="7"/>
  <c r="K160" i="5"/>
  <c r="I153" i="8"/>
  <c r="I156" i="8"/>
  <c r="I163" i="8"/>
  <c r="L159" i="8"/>
  <c r="L167" i="8"/>
  <c r="C153" i="5"/>
  <c r="G153" i="5" s="1"/>
  <c r="T34" i="5"/>
  <c r="K166" i="8"/>
  <c r="J156" i="8"/>
  <c r="T123" i="5"/>
  <c r="J157" i="8"/>
  <c r="K156" i="8"/>
  <c r="K152" i="5"/>
  <c r="G168" i="7"/>
  <c r="H151" i="7"/>
  <c r="I151" i="7" s="1"/>
  <c r="J151" i="7" s="1"/>
  <c r="Y27" i="7" s="1"/>
  <c r="J148" i="8"/>
  <c r="I165" i="8"/>
  <c r="G158" i="7"/>
  <c r="I158" i="7" s="1"/>
  <c r="J158" i="7" s="1"/>
  <c r="Y34" i="7" s="1"/>
  <c r="H164" i="7"/>
  <c r="K164" i="5"/>
  <c r="K155" i="8"/>
  <c r="K165" i="8"/>
  <c r="I162" i="8"/>
  <c r="C148" i="6"/>
  <c r="C161" i="6" s="1"/>
  <c r="G161" i="6" s="1"/>
  <c r="T27" i="5"/>
  <c r="T35" i="5"/>
  <c r="AE20" i="2"/>
  <c r="S30" i="9" s="1"/>
  <c r="T30" i="9" s="1"/>
  <c r="T30" i="5"/>
  <c r="T31" i="5"/>
  <c r="T132" i="5"/>
  <c r="C179" i="5"/>
  <c r="G159" i="7"/>
  <c r="I159" i="7" s="1"/>
  <c r="J159" i="7" s="1"/>
  <c r="Y35" i="7" s="1"/>
  <c r="H148" i="7"/>
  <c r="H165" i="7"/>
  <c r="K166" i="5"/>
  <c r="I148" i="8"/>
  <c r="L149" i="8"/>
  <c r="L164" i="8"/>
  <c r="J161" i="8"/>
  <c r="M161" i="8" s="1"/>
  <c r="N161" i="8" s="1"/>
  <c r="BG37" i="8" s="1"/>
  <c r="D167" i="5"/>
  <c r="V65" i="3"/>
  <c r="L163" i="8"/>
  <c r="I159" i="8"/>
  <c r="L156" i="8"/>
  <c r="H153" i="7"/>
  <c r="I153" i="7" s="1"/>
  <c r="J153" i="7" s="1"/>
  <c r="Y29" i="7" s="1"/>
  <c r="G161" i="7"/>
  <c r="I161" i="7" s="1"/>
  <c r="J161" i="7" s="1"/>
  <c r="Y37" i="7" s="1"/>
  <c r="H167" i="7"/>
  <c r="I167" i="7" s="1"/>
  <c r="J167" i="7" s="1"/>
  <c r="Y43" i="7" s="1"/>
  <c r="K148" i="8"/>
  <c r="I157" i="8"/>
  <c r="L157" i="8"/>
  <c r="L165" i="8"/>
  <c r="K167" i="5"/>
  <c r="K157" i="8"/>
  <c r="AE16" i="2"/>
  <c r="S26" i="9" s="1"/>
  <c r="T26" i="9" s="1"/>
  <c r="K158" i="8"/>
  <c r="J149" i="8"/>
  <c r="K158" i="5"/>
  <c r="K155" i="5"/>
  <c r="I168" i="8"/>
  <c r="L168" i="8"/>
  <c r="L153" i="8"/>
  <c r="H166" i="7"/>
  <c r="I166" i="7" s="1"/>
  <c r="J166" i="7" s="1"/>
  <c r="Y42" i="7" s="1"/>
  <c r="G160" i="7"/>
  <c r="I160" i="7" s="1"/>
  <c r="J160" i="7" s="1"/>
  <c r="Y36" i="7" s="1"/>
  <c r="G148" i="7"/>
  <c r="G165" i="7"/>
  <c r="H155" i="7"/>
  <c r="K161" i="5"/>
  <c r="L152" i="8"/>
  <c r="J151" i="8"/>
  <c r="J158" i="8"/>
  <c r="J166" i="8"/>
  <c r="K160" i="8"/>
  <c r="K168" i="8"/>
  <c r="G162" i="7"/>
  <c r="H152" i="7"/>
  <c r="I152" i="7" s="1"/>
  <c r="J152" i="7" s="1"/>
  <c r="Y28" i="7" s="1"/>
  <c r="H168" i="7"/>
  <c r="I151" i="8"/>
  <c r="L151" i="8"/>
  <c r="L158" i="8"/>
  <c r="L166" i="8"/>
  <c r="J163" i="8"/>
  <c r="C179" i="8"/>
  <c r="C197" i="8" s="1"/>
  <c r="G197" i="8" s="1"/>
  <c r="T29" i="5"/>
  <c r="T39" i="5"/>
  <c r="T71" i="5"/>
  <c r="G164" i="7"/>
  <c r="H154" i="7"/>
  <c r="K157" i="5"/>
  <c r="J154" i="8"/>
  <c r="K152" i="8"/>
  <c r="K159" i="8"/>
  <c r="K167" i="8"/>
  <c r="K162" i="8"/>
  <c r="C149" i="8"/>
  <c r="G149" i="8" s="1"/>
  <c r="BJ27" i="16"/>
  <c r="BJ39" i="16" s="1"/>
  <c r="Q12" i="2"/>
  <c r="S7" i="3" s="1"/>
  <c r="U7" i="3" s="1"/>
  <c r="AN32" i="9"/>
  <c r="AO32" i="9" s="1"/>
  <c r="AE22" i="2"/>
  <c r="S32" i="9" s="1"/>
  <c r="T32" i="9" s="1"/>
  <c r="T27" i="9"/>
  <c r="AN27" i="9"/>
  <c r="AO27" i="9" s="1"/>
  <c r="Z44" i="2"/>
  <c r="F155" i="5"/>
  <c r="J155" i="5" s="1"/>
  <c r="F158" i="5"/>
  <c r="J158" i="5" s="1"/>
  <c r="J148" i="5"/>
  <c r="F166" i="5"/>
  <c r="J166" i="5" s="1"/>
  <c r="F157" i="5"/>
  <c r="J157" i="5" s="1"/>
  <c r="F160" i="5"/>
  <c r="J160" i="5" s="1"/>
  <c r="F162" i="5"/>
  <c r="J162" i="5" s="1"/>
  <c r="F159" i="5"/>
  <c r="J159" i="5" s="1"/>
  <c r="F154" i="5"/>
  <c r="J154" i="5" s="1"/>
  <c r="F152" i="5"/>
  <c r="J152" i="5" s="1"/>
  <c r="F167" i="5"/>
  <c r="J167" i="5" s="1"/>
  <c r="F165" i="5"/>
  <c r="J165" i="5" s="1"/>
  <c r="F164" i="5"/>
  <c r="J164" i="5" s="1"/>
  <c r="F156" i="5"/>
  <c r="J156" i="5" s="1"/>
  <c r="F161" i="5"/>
  <c r="J161" i="5" s="1"/>
  <c r="F168" i="5"/>
  <c r="J168" i="5" s="1"/>
  <c r="F151" i="5"/>
  <c r="J151" i="5" s="1"/>
  <c r="F153" i="5"/>
  <c r="J153" i="5" s="1"/>
  <c r="F163" i="5"/>
  <c r="J163" i="5" s="1"/>
  <c r="D151" i="7"/>
  <c r="F151" i="7" s="1"/>
  <c r="D161" i="7"/>
  <c r="F161" i="7" s="1"/>
  <c r="F148" i="8"/>
  <c r="F164" i="8" s="1"/>
  <c r="E51" i="16"/>
  <c r="D166" i="5"/>
  <c r="D166" i="7"/>
  <c r="F166" i="7" s="1"/>
  <c r="D162" i="7"/>
  <c r="F162" i="7" s="1"/>
  <c r="D184" i="8"/>
  <c r="H184" i="8" s="1"/>
  <c r="AC34" i="2"/>
  <c r="AD34" i="2" s="1"/>
  <c r="AE34" i="2" s="1"/>
  <c r="S44" i="9" s="1"/>
  <c r="V73" i="3"/>
  <c r="V52" i="3"/>
  <c r="AF117" i="8"/>
  <c r="AW117" i="8" s="1"/>
  <c r="AC25" i="2"/>
  <c r="AD25" i="2" s="1"/>
  <c r="AE25" i="2" s="1"/>
  <c r="S35" i="9" s="1"/>
  <c r="Q52" i="2"/>
  <c r="AN50" i="9"/>
  <c r="V60" i="3"/>
  <c r="AA46" i="16"/>
  <c r="V43" i="3"/>
  <c r="V74" i="3"/>
  <c r="V72" i="3"/>
  <c r="V44" i="3"/>
  <c r="V53" i="3"/>
  <c r="V71" i="3"/>
  <c r="AC27" i="2"/>
  <c r="AD27" i="2" s="1"/>
  <c r="AN37" i="9" s="1"/>
  <c r="AE118" i="8"/>
  <c r="AE124" i="8" s="1"/>
  <c r="AF118" i="8"/>
  <c r="Q45" i="2"/>
  <c r="U55" i="5" s="1"/>
  <c r="V59" i="3"/>
  <c r="V68" i="3"/>
  <c r="V51" i="3"/>
  <c r="V66" i="3"/>
  <c r="H56" i="2"/>
  <c r="G9" i="3"/>
  <c r="I9" i="3" s="1"/>
  <c r="V67" i="3"/>
  <c r="V58" i="3"/>
  <c r="V57" i="3"/>
  <c r="V54" i="3"/>
  <c r="AC38" i="2"/>
  <c r="AD38" i="2" s="1"/>
  <c r="AN48" i="9" s="1"/>
  <c r="AC28" i="2"/>
  <c r="AD28" i="2" s="1"/>
  <c r="AE28" i="2" s="1"/>
  <c r="S38" i="9" s="1"/>
  <c r="AC41" i="2"/>
  <c r="AD41" i="2" s="1"/>
  <c r="AN51" i="9" s="1"/>
  <c r="Q44" i="2"/>
  <c r="U118" i="5" s="1"/>
  <c r="AC35" i="2"/>
  <c r="AD35" i="2" s="1"/>
  <c r="AC24" i="2"/>
  <c r="AD24" i="2" s="1"/>
  <c r="AE24" i="2" s="1"/>
  <c r="S34" i="9" s="1"/>
  <c r="AC42" i="2"/>
  <c r="AD42" i="2" s="1"/>
  <c r="AE42" i="2" s="1"/>
  <c r="S52" i="9" s="1"/>
  <c r="AC33" i="2"/>
  <c r="AD33" i="2" s="1"/>
  <c r="AN43" i="9" s="1"/>
  <c r="AC36" i="2"/>
  <c r="AD36" i="2" s="1"/>
  <c r="AN46" i="9" s="1"/>
  <c r="AC39" i="2"/>
  <c r="AD39" i="2" s="1"/>
  <c r="AE39" i="2" s="1"/>
  <c r="S49" i="9" s="1"/>
  <c r="AC29" i="2"/>
  <c r="AD29" i="2" s="1"/>
  <c r="Q43" i="2"/>
  <c r="AC43" i="2"/>
  <c r="AD43" i="2" s="1"/>
  <c r="AE43" i="2" s="1"/>
  <c r="S53" i="9" s="1"/>
  <c r="AC32" i="2"/>
  <c r="AD32" i="2" s="1"/>
  <c r="AN42" i="9" s="1"/>
  <c r="AC37" i="2"/>
  <c r="AD37" i="2" s="1"/>
  <c r="AN47" i="9" s="1"/>
  <c r="AC30" i="2"/>
  <c r="AD30" i="2" s="1"/>
  <c r="AN40" i="9" s="1"/>
  <c r="Q42" i="2"/>
  <c r="AC26" i="2"/>
  <c r="AD26" i="2" s="1"/>
  <c r="AC31" i="2"/>
  <c r="AD31" i="2" s="1"/>
  <c r="AE31" i="2" s="1"/>
  <c r="S41" i="9" s="1"/>
  <c r="Q53" i="2"/>
  <c r="G33" i="2"/>
  <c r="H51" i="2"/>
  <c r="T12" i="3"/>
  <c r="G47" i="2"/>
  <c r="BB64" i="16"/>
  <c r="D197" i="8"/>
  <c r="H197" i="8" s="1"/>
  <c r="D192" i="8"/>
  <c r="H192" i="8" s="1"/>
  <c r="D186" i="8"/>
  <c r="H186" i="8" s="1"/>
  <c r="E167" i="5"/>
  <c r="I167" i="5" s="1"/>
  <c r="E162" i="5"/>
  <c r="I162" i="5" s="1"/>
  <c r="E166" i="5"/>
  <c r="I166" i="5" s="1"/>
  <c r="G149" i="5"/>
  <c r="C159" i="5"/>
  <c r="G159" i="5" s="1"/>
  <c r="C157" i="5"/>
  <c r="G157" i="5" s="1"/>
  <c r="C167" i="5"/>
  <c r="G167" i="5" s="1"/>
  <c r="C163" i="5"/>
  <c r="G163" i="5" s="1"/>
  <c r="C158" i="5"/>
  <c r="G158" i="5" s="1"/>
  <c r="C167" i="7"/>
  <c r="E167" i="7" s="1"/>
  <c r="C165" i="7"/>
  <c r="E165" i="7" s="1"/>
  <c r="C160" i="7"/>
  <c r="E160" i="7" s="1"/>
  <c r="C158" i="7"/>
  <c r="E158" i="7" s="1"/>
  <c r="C164" i="7"/>
  <c r="E164" i="7" s="1"/>
  <c r="E161" i="8"/>
  <c r="E155" i="8"/>
  <c r="E149" i="6"/>
  <c r="E180" i="5"/>
  <c r="I180" i="5" s="1"/>
  <c r="F149" i="6"/>
  <c r="F180" i="8"/>
  <c r="AF55" i="8"/>
  <c r="AE24" i="8"/>
  <c r="AE30" i="8" s="1"/>
  <c r="AZ65" i="16"/>
  <c r="E72" i="16" s="1"/>
  <c r="C161" i="7"/>
  <c r="E161" i="7" s="1"/>
  <c r="I148" i="5"/>
  <c r="E180" i="8"/>
  <c r="E159" i="5"/>
  <c r="I159" i="5" s="1"/>
  <c r="E165" i="8"/>
  <c r="H40" i="2"/>
  <c r="G49" i="3" s="1"/>
  <c r="I49" i="3" s="1"/>
  <c r="D26" i="18" s="1"/>
  <c r="AE24" i="3"/>
  <c r="I149" i="5"/>
  <c r="E157" i="5"/>
  <c r="I157" i="5" s="1"/>
  <c r="E153" i="5"/>
  <c r="I153" i="5" s="1"/>
  <c r="E163" i="5"/>
  <c r="I163" i="5" s="1"/>
  <c r="E165" i="5"/>
  <c r="I165" i="5" s="1"/>
  <c r="E151" i="5"/>
  <c r="I151" i="5" s="1"/>
  <c r="E154" i="5"/>
  <c r="I154" i="5" s="1"/>
  <c r="E164" i="5"/>
  <c r="I164" i="5" s="1"/>
  <c r="E161" i="5"/>
  <c r="I161" i="5" s="1"/>
  <c r="E152" i="5"/>
  <c r="I152" i="5" s="1"/>
  <c r="E158" i="5"/>
  <c r="I158" i="5" s="1"/>
  <c r="E155" i="5"/>
  <c r="I155" i="5" s="1"/>
  <c r="E160" i="5"/>
  <c r="I160" i="5" s="1"/>
  <c r="E168" i="5"/>
  <c r="I168" i="5" s="1"/>
  <c r="D156" i="6"/>
  <c r="H156" i="6" s="1"/>
  <c r="D167" i="6"/>
  <c r="H167" i="6" s="1"/>
  <c r="D154" i="6"/>
  <c r="H154" i="6" s="1"/>
  <c r="D164" i="6"/>
  <c r="H164" i="6" s="1"/>
  <c r="D161" i="6"/>
  <c r="H161" i="6" s="1"/>
  <c r="D151" i="6"/>
  <c r="H151" i="6" s="1"/>
  <c r="D163" i="6"/>
  <c r="H163" i="6" s="1"/>
  <c r="D161" i="5"/>
  <c r="D152" i="5"/>
  <c r="D168" i="5"/>
  <c r="D157" i="5"/>
  <c r="D162" i="5"/>
  <c r="D154" i="5"/>
  <c r="D164" i="5"/>
  <c r="D151" i="5"/>
  <c r="F179" i="5"/>
  <c r="F183" i="5" s="1"/>
  <c r="J183" i="5" s="1"/>
  <c r="F179" i="8"/>
  <c r="F184" i="8" s="1"/>
  <c r="F148" i="6"/>
  <c r="E27" i="16"/>
  <c r="BB65" i="16"/>
  <c r="BC65" i="16"/>
  <c r="BC64" i="16"/>
  <c r="BA64" i="16"/>
  <c r="BA65" i="16"/>
  <c r="BI27" i="16"/>
  <c r="AZ64" i="16"/>
  <c r="E71" i="16" s="1"/>
  <c r="N25" i="7"/>
  <c r="P25" i="7" s="1"/>
  <c r="AE86" i="8"/>
  <c r="AE101" i="8" s="1"/>
  <c r="AF86" i="8"/>
  <c r="AF87" i="8"/>
  <c r="D153" i="6"/>
  <c r="H153" i="6" s="1"/>
  <c r="E156" i="5"/>
  <c r="I156" i="5" s="1"/>
  <c r="D187" i="8"/>
  <c r="H187" i="8" s="1"/>
  <c r="D188" i="8"/>
  <c r="H188" i="8" s="1"/>
  <c r="D198" i="8"/>
  <c r="H198" i="8" s="1"/>
  <c r="C186" i="8"/>
  <c r="G186" i="8" s="1"/>
  <c r="G180" i="8"/>
  <c r="C190" i="8"/>
  <c r="G190" i="8" s="1"/>
  <c r="C196" i="8"/>
  <c r="G196" i="8" s="1"/>
  <c r="C187" i="8"/>
  <c r="G187" i="8" s="1"/>
  <c r="C198" i="8"/>
  <c r="G198" i="8" s="1"/>
  <c r="E162" i="8"/>
  <c r="E164" i="8"/>
  <c r="E168" i="8"/>
  <c r="E166" i="8"/>
  <c r="E157" i="8"/>
  <c r="E163" i="8"/>
  <c r="E160" i="8"/>
  <c r="E151" i="8"/>
  <c r="D194" i="8"/>
  <c r="H194" i="8" s="1"/>
  <c r="D189" i="8"/>
  <c r="H189" i="8" s="1"/>
  <c r="D183" i="8"/>
  <c r="H183" i="8" s="1"/>
  <c r="D196" i="8"/>
  <c r="H196" i="8" s="1"/>
  <c r="D182" i="8"/>
  <c r="H182" i="8" s="1"/>
  <c r="D193" i="8"/>
  <c r="H193" i="8" s="1"/>
  <c r="D195" i="8"/>
  <c r="H195" i="8" s="1"/>
  <c r="H179" i="8"/>
  <c r="D190" i="8"/>
  <c r="H190" i="8" s="1"/>
  <c r="D199" i="8"/>
  <c r="H199" i="8" s="1"/>
  <c r="C199" i="8"/>
  <c r="G199" i="8" s="1"/>
  <c r="C183" i="8"/>
  <c r="G183" i="8" s="1"/>
  <c r="T29" i="9"/>
  <c r="C195" i="8"/>
  <c r="G195" i="8" s="1"/>
  <c r="C193" i="8"/>
  <c r="G193" i="8" s="1"/>
  <c r="C155" i="7"/>
  <c r="E155" i="7" s="1"/>
  <c r="C154" i="7"/>
  <c r="E154" i="7" s="1"/>
  <c r="C152" i="7"/>
  <c r="E152" i="7" s="1"/>
  <c r="C166" i="7"/>
  <c r="E166" i="7" s="1"/>
  <c r="C162" i="7"/>
  <c r="E162" i="7" s="1"/>
  <c r="C153" i="7"/>
  <c r="E153" i="7" s="1"/>
  <c r="C156" i="7"/>
  <c r="E156" i="7" s="1"/>
  <c r="C159" i="7"/>
  <c r="E159" i="7" s="1"/>
  <c r="C168" i="7"/>
  <c r="E168" i="7" s="1"/>
  <c r="C151" i="7"/>
  <c r="E151" i="7" s="1"/>
  <c r="C157" i="7"/>
  <c r="E157" i="7" s="1"/>
  <c r="C163" i="7"/>
  <c r="E163" i="7" s="1"/>
  <c r="E159" i="8"/>
  <c r="E152" i="8"/>
  <c r="E167" i="8"/>
  <c r="E153" i="8"/>
  <c r="E156" i="8"/>
  <c r="E158" i="8"/>
  <c r="E154" i="8"/>
  <c r="T61" i="5"/>
  <c r="T70" i="5"/>
  <c r="T66" i="5"/>
  <c r="T63" i="5"/>
  <c r="T62" i="5"/>
  <c r="T69" i="5"/>
  <c r="T58" i="5"/>
  <c r="T74" i="5"/>
  <c r="T73" i="5"/>
  <c r="T64" i="5"/>
  <c r="T67" i="5"/>
  <c r="T59" i="5"/>
  <c r="T75" i="5"/>
  <c r="T72" i="5"/>
  <c r="T65" i="5"/>
  <c r="T60" i="5"/>
  <c r="T127" i="5"/>
  <c r="T124" i="5"/>
  <c r="T121" i="5"/>
  <c r="T125" i="5"/>
  <c r="T120" i="5"/>
  <c r="T136" i="5"/>
  <c r="T134" i="5"/>
  <c r="T129" i="5"/>
  <c r="T133" i="5"/>
  <c r="T122" i="5"/>
  <c r="T128" i="5"/>
  <c r="T130" i="5"/>
  <c r="T131" i="5"/>
  <c r="T137" i="5"/>
  <c r="T135" i="5"/>
  <c r="D159" i="6"/>
  <c r="H159" i="6" s="1"/>
  <c r="D162" i="6"/>
  <c r="H162" i="6" s="1"/>
  <c r="D160" i="6"/>
  <c r="H160" i="6" s="1"/>
  <c r="D152" i="6"/>
  <c r="H152" i="6" s="1"/>
  <c r="D168" i="6"/>
  <c r="H168" i="6" s="1"/>
  <c r="D155" i="6"/>
  <c r="H155" i="6" s="1"/>
  <c r="D165" i="6"/>
  <c r="H165" i="6" s="1"/>
  <c r="D157" i="6"/>
  <c r="H157" i="6" s="1"/>
  <c r="G148" i="5"/>
  <c r="C161" i="5"/>
  <c r="G161" i="5" s="1"/>
  <c r="C162" i="5"/>
  <c r="G162" i="5" s="1"/>
  <c r="C165" i="5"/>
  <c r="G165" i="5" s="1"/>
  <c r="C156" i="5"/>
  <c r="G156" i="5" s="1"/>
  <c r="C168" i="5"/>
  <c r="G168" i="5" s="1"/>
  <c r="C164" i="5"/>
  <c r="G164" i="5" s="1"/>
  <c r="C151" i="5"/>
  <c r="G151" i="5" s="1"/>
  <c r="C160" i="5"/>
  <c r="G160" i="5" s="1"/>
  <c r="C155" i="5"/>
  <c r="G155" i="5" s="1"/>
  <c r="C154" i="5"/>
  <c r="G154" i="5" s="1"/>
  <c r="C166" i="5"/>
  <c r="G166" i="5" s="1"/>
  <c r="C152" i="5"/>
  <c r="G152" i="5" s="1"/>
  <c r="J180" i="5"/>
  <c r="D166" i="6"/>
  <c r="H166" i="6" s="1"/>
  <c r="E148" i="7"/>
  <c r="D165" i="5"/>
  <c r="AE21" i="2"/>
  <c r="S31" i="9" s="1"/>
  <c r="T31" i="9" s="1"/>
  <c r="AN31" i="9"/>
  <c r="BH26" i="16"/>
  <c r="BI26" i="16"/>
  <c r="N24" i="7"/>
  <c r="AF25" i="8"/>
  <c r="AE55" i="8"/>
  <c r="AF24" i="8"/>
  <c r="AE56" i="8"/>
  <c r="AF56" i="8"/>
  <c r="M24" i="7"/>
  <c r="M25" i="7"/>
  <c r="O25" i="7" s="1"/>
  <c r="D163" i="5"/>
  <c r="D159" i="5"/>
  <c r="D155" i="5"/>
  <c r="D158" i="5"/>
  <c r="D160" i="5"/>
  <c r="E179" i="5"/>
  <c r="E148" i="6"/>
  <c r="E179" i="8"/>
  <c r="BA66" i="16"/>
  <c r="BC66" i="16"/>
  <c r="AZ66" i="16"/>
  <c r="G42" i="2"/>
  <c r="H33" i="2"/>
  <c r="AE18" i="2"/>
  <c r="C148" i="8"/>
  <c r="D149" i="8"/>
  <c r="D152" i="8" s="1"/>
  <c r="H152" i="8" s="1"/>
  <c r="D180" i="5"/>
  <c r="M36" i="16" l="1"/>
  <c r="L36" i="16"/>
  <c r="L35" i="16"/>
  <c r="M35" i="16"/>
  <c r="N35" i="16"/>
  <c r="G52" i="2"/>
  <c r="H52" i="2" s="1"/>
  <c r="S15" i="3"/>
  <c r="U15" i="3" s="1"/>
  <c r="S20" i="3" s="1"/>
  <c r="U20" i="3" s="1"/>
  <c r="C188" i="8"/>
  <c r="G188" i="8" s="1"/>
  <c r="C24" i="7"/>
  <c r="E24" i="7" s="1"/>
  <c r="C26" i="18"/>
  <c r="H149" i="6"/>
  <c r="U87" i="5"/>
  <c r="F160" i="8"/>
  <c r="D159" i="7"/>
  <c r="F159" i="7" s="1"/>
  <c r="I154" i="7"/>
  <c r="J154" i="7" s="1"/>
  <c r="Y30" i="7" s="1"/>
  <c r="D163" i="7"/>
  <c r="F163" i="7" s="1"/>
  <c r="F148" i="7"/>
  <c r="D165" i="7"/>
  <c r="F165" i="7" s="1"/>
  <c r="D155" i="7"/>
  <c r="F155" i="7" s="1"/>
  <c r="D160" i="7"/>
  <c r="F160" i="7" s="1"/>
  <c r="M167" i="8"/>
  <c r="N167" i="8" s="1"/>
  <c r="BG43" i="8" s="1"/>
  <c r="D167" i="7"/>
  <c r="F167" i="7" s="1"/>
  <c r="D157" i="7"/>
  <c r="F157" i="7" s="1"/>
  <c r="D152" i="7"/>
  <c r="F152" i="7" s="1"/>
  <c r="D153" i="7"/>
  <c r="F153" i="7" s="1"/>
  <c r="D156" i="7"/>
  <c r="F156" i="7" s="1"/>
  <c r="D164" i="7"/>
  <c r="F164" i="7" s="1"/>
  <c r="M155" i="8"/>
  <c r="N155" i="8" s="1"/>
  <c r="BG31" i="8" s="1"/>
  <c r="F163" i="8"/>
  <c r="E28" i="16"/>
  <c r="C191" i="5"/>
  <c r="G191" i="5" s="1"/>
  <c r="C182" i="5"/>
  <c r="G182" i="5" s="1"/>
  <c r="BI39" i="16"/>
  <c r="AE9" i="3"/>
  <c r="M151" i="8"/>
  <c r="N151" i="8" s="1"/>
  <c r="BG27" i="8" s="1"/>
  <c r="M166" i="8"/>
  <c r="N166" i="8" s="1"/>
  <c r="BG42" i="8" s="1"/>
  <c r="M162" i="8"/>
  <c r="N162" i="8" s="1"/>
  <c r="BG38" i="8" s="1"/>
  <c r="M158" i="8"/>
  <c r="N158" i="8" s="1"/>
  <c r="BG34" i="8" s="1"/>
  <c r="C187" i="5"/>
  <c r="G187" i="5" s="1"/>
  <c r="I148" i="7"/>
  <c r="J148" i="7" s="1"/>
  <c r="Y24" i="7" s="1"/>
  <c r="M157" i="8"/>
  <c r="N157" i="8" s="1"/>
  <c r="BG33" i="8" s="1"/>
  <c r="I165" i="7"/>
  <c r="J165" i="7" s="1"/>
  <c r="Y41" i="7" s="1"/>
  <c r="D158" i="7"/>
  <c r="F158" i="7" s="1"/>
  <c r="D154" i="7"/>
  <c r="F154" i="7" s="1"/>
  <c r="I162" i="7"/>
  <c r="J162" i="7" s="1"/>
  <c r="Y38" i="7" s="1"/>
  <c r="I155" i="7"/>
  <c r="J155" i="7" s="1"/>
  <c r="Y31" i="7" s="1"/>
  <c r="I164" i="7"/>
  <c r="J164" i="7" s="1"/>
  <c r="Y40" i="7" s="1"/>
  <c r="F196" i="5"/>
  <c r="J196" i="5" s="1"/>
  <c r="C192" i="5"/>
  <c r="G192" i="5" s="1"/>
  <c r="C183" i="5"/>
  <c r="G183" i="5" s="1"/>
  <c r="C196" i="5"/>
  <c r="G196" i="5" s="1"/>
  <c r="C194" i="5"/>
  <c r="G194" i="5" s="1"/>
  <c r="F199" i="5"/>
  <c r="J199" i="5" s="1"/>
  <c r="C192" i="8"/>
  <c r="G192" i="8" s="1"/>
  <c r="G179" i="8"/>
  <c r="C191" i="8"/>
  <c r="G191" i="8" s="1"/>
  <c r="C182" i="8"/>
  <c r="G182" i="8" s="1"/>
  <c r="C197" i="5"/>
  <c r="G197" i="5" s="1"/>
  <c r="F186" i="8"/>
  <c r="M153" i="8"/>
  <c r="N153" i="8" s="1"/>
  <c r="BG29" i="8" s="1"/>
  <c r="C195" i="5"/>
  <c r="G195" i="5" s="1"/>
  <c r="C193" i="5"/>
  <c r="G193" i="5" s="1"/>
  <c r="C189" i="8"/>
  <c r="G189" i="8" s="1"/>
  <c r="C185" i="8"/>
  <c r="G185" i="8" s="1"/>
  <c r="C194" i="8"/>
  <c r="G194" i="8" s="1"/>
  <c r="C184" i="8"/>
  <c r="G184" i="8" s="1"/>
  <c r="U38" i="16"/>
  <c r="M159" i="8"/>
  <c r="N159" i="8" s="1"/>
  <c r="BG35" i="8" s="1"/>
  <c r="I168" i="7"/>
  <c r="J168" i="7" s="1"/>
  <c r="Y44" i="7" s="1"/>
  <c r="M152" i="8"/>
  <c r="N152" i="8" s="1"/>
  <c r="BG28" i="8" s="1"/>
  <c r="M168" i="8"/>
  <c r="N168" i="8" s="1"/>
  <c r="BG44" i="8" s="1"/>
  <c r="M149" i="8"/>
  <c r="N149" i="8" s="1"/>
  <c r="BG25" i="8" s="1"/>
  <c r="M164" i="8"/>
  <c r="N164" i="8" s="1"/>
  <c r="BG40" i="8" s="1"/>
  <c r="M154" i="8"/>
  <c r="N154" i="8" s="1"/>
  <c r="BG30" i="8" s="1"/>
  <c r="F199" i="8"/>
  <c r="F192" i="5"/>
  <c r="J192" i="5" s="1"/>
  <c r="F197" i="5"/>
  <c r="J197" i="5" s="1"/>
  <c r="F193" i="5"/>
  <c r="J193" i="5" s="1"/>
  <c r="C162" i="6"/>
  <c r="G162" i="6" s="1"/>
  <c r="F198" i="5"/>
  <c r="J198" i="5" s="1"/>
  <c r="F186" i="5"/>
  <c r="J186" i="5" s="1"/>
  <c r="F189" i="5"/>
  <c r="J189" i="5" s="1"/>
  <c r="F182" i="5"/>
  <c r="J182" i="5" s="1"/>
  <c r="C152" i="6"/>
  <c r="G152" i="6" s="1"/>
  <c r="S10" i="3"/>
  <c r="M160" i="8"/>
  <c r="N160" i="8" s="1"/>
  <c r="BG36" i="8" s="1"/>
  <c r="M148" i="8"/>
  <c r="N148" i="8" s="1"/>
  <c r="BG24" i="8" s="1"/>
  <c r="M163" i="8"/>
  <c r="N163" i="8" s="1"/>
  <c r="BG39" i="8" s="1"/>
  <c r="M156" i="8"/>
  <c r="N156" i="8" s="1"/>
  <c r="BG32" i="8" s="1"/>
  <c r="M165" i="8"/>
  <c r="N165" i="8" s="1"/>
  <c r="BG41" i="8" s="1"/>
  <c r="AU117" i="8"/>
  <c r="AB148" i="8"/>
  <c r="AB170" i="8" s="1"/>
  <c r="U170" i="8"/>
  <c r="C168" i="6"/>
  <c r="G168" i="6" s="1"/>
  <c r="C155" i="6"/>
  <c r="G155" i="6" s="1"/>
  <c r="G179" i="5"/>
  <c r="C188" i="5"/>
  <c r="G188" i="5" s="1"/>
  <c r="V170" i="8"/>
  <c r="X170" i="8"/>
  <c r="C199" i="5"/>
  <c r="G199" i="5" s="1"/>
  <c r="C186" i="5"/>
  <c r="G186" i="5" s="1"/>
  <c r="C184" i="5"/>
  <c r="G184" i="5" s="1"/>
  <c r="F152" i="8"/>
  <c r="F193" i="8"/>
  <c r="F197" i="8"/>
  <c r="F182" i="8"/>
  <c r="F158" i="8"/>
  <c r="BB67" i="16"/>
  <c r="C151" i="6"/>
  <c r="G151" i="6" s="1"/>
  <c r="C158" i="6"/>
  <c r="G158" i="6" s="1"/>
  <c r="W148" i="8"/>
  <c r="W170" i="8" s="1"/>
  <c r="P170" i="8"/>
  <c r="Z148" i="8"/>
  <c r="Z170" i="8" s="1"/>
  <c r="S170" i="8"/>
  <c r="C164" i="6"/>
  <c r="G164" i="6" s="1"/>
  <c r="C167" i="6"/>
  <c r="G167" i="6" s="1"/>
  <c r="G148" i="6"/>
  <c r="C156" i="6"/>
  <c r="G156" i="6" s="1"/>
  <c r="C165" i="6"/>
  <c r="G165" i="6" s="1"/>
  <c r="C157" i="6"/>
  <c r="G157" i="6" s="1"/>
  <c r="C166" i="6"/>
  <c r="G166" i="6" s="1"/>
  <c r="C154" i="6"/>
  <c r="G154" i="6" s="1"/>
  <c r="C159" i="6"/>
  <c r="G159" i="6" s="1"/>
  <c r="C163" i="6"/>
  <c r="G163" i="6" s="1"/>
  <c r="Y148" i="8"/>
  <c r="Y170" i="8" s="1"/>
  <c r="R170" i="8"/>
  <c r="F183" i="8"/>
  <c r="C190" i="5"/>
  <c r="G190" i="5" s="1"/>
  <c r="C185" i="5"/>
  <c r="G185" i="5" s="1"/>
  <c r="C189" i="5"/>
  <c r="G189" i="5" s="1"/>
  <c r="F191" i="8"/>
  <c r="F196" i="8"/>
  <c r="Q170" i="8"/>
  <c r="C198" i="5"/>
  <c r="G198" i="5" s="1"/>
  <c r="C160" i="6"/>
  <c r="G160" i="6" s="1"/>
  <c r="C153" i="6"/>
  <c r="G153" i="6" s="1"/>
  <c r="AA148" i="8"/>
  <c r="AA170" i="8" s="1"/>
  <c r="T170" i="8"/>
  <c r="AV117" i="8"/>
  <c r="AF127" i="8"/>
  <c r="AJ127" i="8" s="1"/>
  <c r="AY117" i="8"/>
  <c r="AF130" i="8"/>
  <c r="AJ130" i="8" s="1"/>
  <c r="F156" i="8"/>
  <c r="F162" i="8"/>
  <c r="AN44" i="9"/>
  <c r="F187" i="8"/>
  <c r="F198" i="8"/>
  <c r="F192" i="8"/>
  <c r="F165" i="8"/>
  <c r="F161" i="8"/>
  <c r="F157" i="8"/>
  <c r="BC67" i="16"/>
  <c r="F189" i="8"/>
  <c r="F190" i="8"/>
  <c r="F195" i="8"/>
  <c r="F167" i="8"/>
  <c r="F166" i="8"/>
  <c r="F151" i="8"/>
  <c r="F155" i="8"/>
  <c r="F188" i="8"/>
  <c r="F159" i="8"/>
  <c r="F168" i="8"/>
  <c r="BA67" i="16"/>
  <c r="F153" i="8"/>
  <c r="F154" i="8"/>
  <c r="F185" i="8"/>
  <c r="AN35" i="9"/>
  <c r="AF123" i="8"/>
  <c r="AE120" i="8"/>
  <c r="AX117" i="8"/>
  <c r="AZ117" i="8"/>
  <c r="AK117" i="8"/>
  <c r="AL117" i="8" s="1"/>
  <c r="BO24" i="8" s="1"/>
  <c r="AF129" i="8"/>
  <c r="AJ129" i="8" s="1"/>
  <c r="AF128" i="8"/>
  <c r="AJ128" i="8" s="1"/>
  <c r="AF133" i="8"/>
  <c r="AJ133" i="8" s="1"/>
  <c r="AN52" i="9"/>
  <c r="AF137" i="8"/>
  <c r="AJ137" i="8" s="1"/>
  <c r="AF136" i="8"/>
  <c r="AJ136" i="8" s="1"/>
  <c r="AF124" i="8"/>
  <c r="AU124" i="8" s="1"/>
  <c r="AF9" i="3"/>
  <c r="C24" i="8"/>
  <c r="K24" i="8" s="1"/>
  <c r="C24" i="5"/>
  <c r="G24" i="5" s="1"/>
  <c r="AE27" i="2"/>
  <c r="S37" i="9" s="1"/>
  <c r="AE130" i="8"/>
  <c r="AR118" i="8"/>
  <c r="AY118" i="8" s="1"/>
  <c r="U56" i="5"/>
  <c r="U66" i="5" s="1"/>
  <c r="AF120" i="8"/>
  <c r="AF121" i="8"/>
  <c r="AF132" i="8"/>
  <c r="AF126" i="8"/>
  <c r="AJ126" i="8" s="1"/>
  <c r="AF131" i="8"/>
  <c r="AJ131" i="8" s="1"/>
  <c r="AF134" i="8"/>
  <c r="AJ134" i="8" s="1"/>
  <c r="AJ118" i="8"/>
  <c r="AF125" i="8"/>
  <c r="AF122" i="8"/>
  <c r="AF135" i="8"/>
  <c r="AJ135" i="8" s="1"/>
  <c r="AE137" i="8"/>
  <c r="AI137" i="8" s="1"/>
  <c r="AE125" i="8"/>
  <c r="AE122" i="8"/>
  <c r="AQ118" i="8"/>
  <c r="AX118" i="8" s="1"/>
  <c r="AE123" i="8"/>
  <c r="AE131" i="8"/>
  <c r="AN118" i="8"/>
  <c r="AU118" i="8" s="1"/>
  <c r="AE136" i="8"/>
  <c r="AS118" i="8"/>
  <c r="AZ118" i="8" s="1"/>
  <c r="AE134" i="8"/>
  <c r="AI134" i="8" s="1"/>
  <c r="AP118" i="8"/>
  <c r="AW118" i="8" s="1"/>
  <c r="AE133" i="8"/>
  <c r="AI133" i="8" s="1"/>
  <c r="AE121" i="8"/>
  <c r="AE128" i="8"/>
  <c r="AT118" i="8"/>
  <c r="AE126" i="8"/>
  <c r="AI126" i="8" s="1"/>
  <c r="AO118" i="8"/>
  <c r="AV118" i="8" s="1"/>
  <c r="AE127" i="8"/>
  <c r="AE129" i="8"/>
  <c r="AI129" i="8" s="1"/>
  <c r="AI118" i="8"/>
  <c r="AE132" i="8"/>
  <c r="AE135" i="8"/>
  <c r="AN38" i="9"/>
  <c r="AE38" i="2"/>
  <c r="S48" i="9" s="1"/>
  <c r="C24" i="6"/>
  <c r="G24" i="6" s="1"/>
  <c r="AN34" i="9"/>
  <c r="M21" i="16"/>
  <c r="AE41" i="2"/>
  <c r="S51" i="9" s="1"/>
  <c r="U117" i="5"/>
  <c r="U128" i="5" s="1"/>
  <c r="AE35" i="2"/>
  <c r="S45" i="9" s="1"/>
  <c r="AN45" i="9"/>
  <c r="AN53" i="9"/>
  <c r="AE33" i="8"/>
  <c r="AE36" i="2"/>
  <c r="S46" i="9" s="1"/>
  <c r="AF101" i="8"/>
  <c r="AN41" i="9"/>
  <c r="AE30" i="2"/>
  <c r="S40" i="9" s="1"/>
  <c r="AN49" i="9"/>
  <c r="AE29" i="8"/>
  <c r="AE33" i="2"/>
  <c r="S43" i="9" s="1"/>
  <c r="AE44" i="8"/>
  <c r="U86" i="5"/>
  <c r="U100" i="5" s="1"/>
  <c r="AE39" i="8"/>
  <c r="AE37" i="2"/>
  <c r="S47" i="9" s="1"/>
  <c r="AF90" i="8"/>
  <c r="AE43" i="8"/>
  <c r="AE35" i="8"/>
  <c r="AE37" i="8"/>
  <c r="U25" i="5"/>
  <c r="U24" i="5"/>
  <c r="AE29" i="2"/>
  <c r="S39" i="9" s="1"/>
  <c r="AN39" i="9"/>
  <c r="AE32" i="8"/>
  <c r="AE28" i="8"/>
  <c r="AE32" i="2"/>
  <c r="S42" i="9" s="1"/>
  <c r="AE38" i="8"/>
  <c r="S16" i="3"/>
  <c r="U16" i="3" s="1"/>
  <c r="S21" i="3" s="1"/>
  <c r="U21" i="3" s="1"/>
  <c r="AE40" i="8"/>
  <c r="AC44" i="2"/>
  <c r="AF24" i="3"/>
  <c r="AE36" i="8"/>
  <c r="Q25" i="7"/>
  <c r="R25" i="7" s="1"/>
  <c r="AC25" i="7" s="1"/>
  <c r="AE34" i="8"/>
  <c r="S17" i="3"/>
  <c r="U17" i="3" s="1"/>
  <c r="S22" i="3" s="1"/>
  <c r="U22" i="3" s="1"/>
  <c r="AV87" i="8"/>
  <c r="AF100" i="8"/>
  <c r="AF96" i="8"/>
  <c r="F194" i="8"/>
  <c r="AF91" i="8"/>
  <c r="AZ87" i="8"/>
  <c r="AK87" i="8"/>
  <c r="AL87" i="8" s="1"/>
  <c r="BN25" i="8" s="1"/>
  <c r="AF103" i="8"/>
  <c r="AF94" i="8"/>
  <c r="AF99" i="8"/>
  <c r="AF92" i="8"/>
  <c r="AW87" i="8"/>
  <c r="AF93" i="8"/>
  <c r="AF106" i="8"/>
  <c r="AF89" i="8"/>
  <c r="AF102" i="8"/>
  <c r="AY86" i="8"/>
  <c r="AW86" i="8"/>
  <c r="AZ86" i="8"/>
  <c r="AU86" i="8"/>
  <c r="AX86" i="8"/>
  <c r="AX87" i="8"/>
  <c r="AF95" i="8"/>
  <c r="AF105" i="8"/>
  <c r="AF104" i="8"/>
  <c r="AU87" i="8"/>
  <c r="AY87" i="8"/>
  <c r="AE31" i="8"/>
  <c r="AE102" i="8"/>
  <c r="AE95" i="8"/>
  <c r="AV86" i="8"/>
  <c r="AE89" i="8"/>
  <c r="AE91" i="8"/>
  <c r="AE97" i="8"/>
  <c r="AE103" i="8"/>
  <c r="AE105" i="8"/>
  <c r="AE104" i="8"/>
  <c r="AE90" i="8"/>
  <c r="AE106" i="8"/>
  <c r="AE92" i="8"/>
  <c r="AE96" i="8"/>
  <c r="AE93" i="8"/>
  <c r="AE100" i="8"/>
  <c r="AE99" i="8"/>
  <c r="AE94" i="8"/>
  <c r="AE98" i="8"/>
  <c r="AE42" i="8"/>
  <c r="AF98" i="8"/>
  <c r="AE41" i="8"/>
  <c r="AE27" i="8"/>
  <c r="AE26" i="2"/>
  <c r="S36" i="9" s="1"/>
  <c r="AD44" i="2"/>
  <c r="AN36" i="9"/>
  <c r="AF97" i="8"/>
  <c r="F167" i="6"/>
  <c r="F164" i="6"/>
  <c r="F158" i="6"/>
  <c r="F151" i="6"/>
  <c r="F166" i="6"/>
  <c r="F157" i="6"/>
  <c r="F160" i="6"/>
  <c r="F153" i="6"/>
  <c r="F152" i="6"/>
  <c r="F155" i="6"/>
  <c r="F161" i="6"/>
  <c r="F165" i="6"/>
  <c r="F162" i="6"/>
  <c r="F163" i="6"/>
  <c r="F168" i="6"/>
  <c r="F156" i="6"/>
  <c r="F154" i="6"/>
  <c r="F159" i="6"/>
  <c r="J179" i="5"/>
  <c r="F185" i="5"/>
  <c r="J185" i="5" s="1"/>
  <c r="F184" i="5"/>
  <c r="J184" i="5" s="1"/>
  <c r="F195" i="5"/>
  <c r="J195" i="5" s="1"/>
  <c r="F188" i="5"/>
  <c r="J188" i="5" s="1"/>
  <c r="F190" i="5"/>
  <c r="J190" i="5" s="1"/>
  <c r="F194" i="5"/>
  <c r="J194" i="5" s="1"/>
  <c r="F187" i="5"/>
  <c r="J187" i="5" s="1"/>
  <c r="F191" i="5"/>
  <c r="J191" i="5" s="1"/>
  <c r="D158" i="8"/>
  <c r="H158" i="8" s="1"/>
  <c r="D164" i="8"/>
  <c r="H164" i="8" s="1"/>
  <c r="AF74" i="8"/>
  <c r="AF73" i="8"/>
  <c r="AF66" i="8"/>
  <c r="AF60" i="8"/>
  <c r="AF58" i="8"/>
  <c r="AF72" i="8"/>
  <c r="AF64" i="8"/>
  <c r="AF71" i="8"/>
  <c r="AF69" i="8"/>
  <c r="AO31" i="9"/>
  <c r="P24" i="7"/>
  <c r="N33" i="7"/>
  <c r="P33" i="7" s="1"/>
  <c r="N35" i="7"/>
  <c r="P35" i="7" s="1"/>
  <c r="N27" i="7"/>
  <c r="P27" i="7" s="1"/>
  <c r="N32" i="7"/>
  <c r="P32" i="7" s="1"/>
  <c r="N34" i="7"/>
  <c r="P34" i="7" s="1"/>
  <c r="N40" i="7"/>
  <c r="P40" i="7" s="1"/>
  <c r="N37" i="7"/>
  <c r="P37" i="7" s="1"/>
  <c r="N29" i="7"/>
  <c r="P29" i="7" s="1"/>
  <c r="N31" i="7"/>
  <c r="P31" i="7" s="1"/>
  <c r="N30" i="7"/>
  <c r="P30" i="7" s="1"/>
  <c r="N43" i="7"/>
  <c r="P43" i="7" s="1"/>
  <c r="N38" i="7"/>
  <c r="P38" i="7" s="1"/>
  <c r="N42" i="7"/>
  <c r="P42" i="7" s="1"/>
  <c r="N39" i="7"/>
  <c r="P39" i="7" s="1"/>
  <c r="N28" i="7"/>
  <c r="P28" i="7" s="1"/>
  <c r="N44" i="7"/>
  <c r="P44" i="7" s="1"/>
  <c r="N36" i="7"/>
  <c r="P36" i="7" s="1"/>
  <c r="N41" i="7"/>
  <c r="P41" i="7" s="1"/>
  <c r="AF67" i="8"/>
  <c r="AF68" i="8"/>
  <c r="I179" i="5"/>
  <c r="E189" i="5"/>
  <c r="I189" i="5" s="1"/>
  <c r="E182" i="5"/>
  <c r="I182" i="5" s="1"/>
  <c r="E192" i="5"/>
  <c r="I192" i="5" s="1"/>
  <c r="E199" i="5"/>
  <c r="I199" i="5" s="1"/>
  <c r="E193" i="5"/>
  <c r="I193" i="5" s="1"/>
  <c r="E187" i="5"/>
  <c r="I187" i="5" s="1"/>
  <c r="E190" i="5"/>
  <c r="I190" i="5" s="1"/>
  <c r="E188" i="5"/>
  <c r="I188" i="5" s="1"/>
  <c r="E185" i="5"/>
  <c r="I185" i="5" s="1"/>
  <c r="E186" i="5"/>
  <c r="I186" i="5" s="1"/>
  <c r="E198" i="5"/>
  <c r="I198" i="5" s="1"/>
  <c r="E191" i="5"/>
  <c r="I191" i="5" s="1"/>
  <c r="E195" i="5"/>
  <c r="I195" i="5" s="1"/>
  <c r="E183" i="5"/>
  <c r="I183" i="5" s="1"/>
  <c r="E197" i="5"/>
  <c r="I197" i="5" s="1"/>
  <c r="E184" i="5"/>
  <c r="I184" i="5" s="1"/>
  <c r="E196" i="5"/>
  <c r="I196" i="5" s="1"/>
  <c r="E194" i="5"/>
  <c r="I194" i="5" s="1"/>
  <c r="AF61" i="8"/>
  <c r="H149" i="8"/>
  <c r="D159" i="8"/>
  <c r="H159" i="8" s="1"/>
  <c r="D162" i="8"/>
  <c r="H162" i="8" s="1"/>
  <c r="D163" i="8"/>
  <c r="H163" i="8" s="1"/>
  <c r="D154" i="8"/>
  <c r="H154" i="8" s="1"/>
  <c r="D156" i="8"/>
  <c r="H156" i="8" s="1"/>
  <c r="D168" i="8"/>
  <c r="H168" i="8" s="1"/>
  <c r="D157" i="8"/>
  <c r="H157" i="8" s="1"/>
  <c r="D160" i="8"/>
  <c r="H160" i="8" s="1"/>
  <c r="D166" i="8"/>
  <c r="H166" i="8" s="1"/>
  <c r="D155" i="8"/>
  <c r="H155" i="8" s="1"/>
  <c r="D165" i="8"/>
  <c r="H165" i="8" s="1"/>
  <c r="D24" i="6"/>
  <c r="H24" i="6" s="1"/>
  <c r="D24" i="7"/>
  <c r="D24" i="5"/>
  <c r="D24" i="8"/>
  <c r="E182" i="8"/>
  <c r="E183" i="8"/>
  <c r="E187" i="8"/>
  <c r="E195" i="8"/>
  <c r="E190" i="8"/>
  <c r="E185" i="8"/>
  <c r="E196" i="8"/>
  <c r="E199" i="8"/>
  <c r="E197" i="8"/>
  <c r="E184" i="8"/>
  <c r="E194" i="8"/>
  <c r="E198" i="8"/>
  <c r="E186" i="8"/>
  <c r="E191" i="8"/>
  <c r="E188" i="8"/>
  <c r="E189" i="8"/>
  <c r="E193" i="8"/>
  <c r="E192" i="8"/>
  <c r="AF32" i="8"/>
  <c r="AF35" i="8"/>
  <c r="AF33" i="8"/>
  <c r="AF39" i="8"/>
  <c r="AF38" i="8"/>
  <c r="AF36" i="8"/>
  <c r="AF27" i="8"/>
  <c r="AF42" i="8"/>
  <c r="AF30" i="8"/>
  <c r="AF41" i="8"/>
  <c r="AF37" i="8"/>
  <c r="AF28" i="8"/>
  <c r="AF43" i="8"/>
  <c r="AF31" i="8"/>
  <c r="AF34" i="8"/>
  <c r="AF44" i="8"/>
  <c r="AF40" i="8"/>
  <c r="AF29" i="8"/>
  <c r="D153" i="8"/>
  <c r="H153" i="8" s="1"/>
  <c r="D167" i="8"/>
  <c r="H167" i="8" s="1"/>
  <c r="AF63" i="8"/>
  <c r="AF62" i="8"/>
  <c r="S28" i="9"/>
  <c r="AF59" i="8"/>
  <c r="D182" i="5"/>
  <c r="D191" i="5"/>
  <c r="D185" i="5"/>
  <c r="D188" i="5"/>
  <c r="D192" i="5"/>
  <c r="D199" i="5"/>
  <c r="D193" i="5"/>
  <c r="D195" i="5"/>
  <c r="D198" i="5"/>
  <c r="D184" i="5"/>
  <c r="D189" i="5"/>
  <c r="D194" i="5"/>
  <c r="D196" i="5"/>
  <c r="D186" i="5"/>
  <c r="D187" i="5"/>
  <c r="D197" i="5"/>
  <c r="D190" i="5"/>
  <c r="D183" i="5"/>
  <c r="C154" i="8"/>
  <c r="G154" i="8" s="1"/>
  <c r="C160" i="8"/>
  <c r="G160" i="8" s="1"/>
  <c r="G148" i="8"/>
  <c r="C166" i="8"/>
  <c r="G166" i="8" s="1"/>
  <c r="C168" i="8"/>
  <c r="G168" i="8" s="1"/>
  <c r="C151" i="8"/>
  <c r="G151" i="8" s="1"/>
  <c r="C157" i="8"/>
  <c r="G157" i="8" s="1"/>
  <c r="C153" i="8"/>
  <c r="G153" i="8" s="1"/>
  <c r="C163" i="8"/>
  <c r="G163" i="8" s="1"/>
  <c r="C164" i="8"/>
  <c r="G164" i="8" s="1"/>
  <c r="C165" i="8"/>
  <c r="G165" i="8" s="1"/>
  <c r="C158" i="8"/>
  <c r="G158" i="8" s="1"/>
  <c r="C162" i="8"/>
  <c r="G162" i="8" s="1"/>
  <c r="C156" i="8"/>
  <c r="G156" i="8" s="1"/>
  <c r="C167" i="8"/>
  <c r="G167" i="8" s="1"/>
  <c r="C152" i="8"/>
  <c r="G152" i="8" s="1"/>
  <c r="C161" i="8"/>
  <c r="G161" i="8" s="1"/>
  <c r="C159" i="8"/>
  <c r="G159" i="8" s="1"/>
  <c r="C155" i="8"/>
  <c r="G155" i="8" s="1"/>
  <c r="E73" i="16"/>
  <c r="AZ67" i="16"/>
  <c r="E74" i="16" s="1"/>
  <c r="E163" i="6"/>
  <c r="E154" i="6"/>
  <c r="E156" i="6"/>
  <c r="E161" i="6"/>
  <c r="E164" i="6"/>
  <c r="E166" i="6"/>
  <c r="E153" i="6"/>
  <c r="E151" i="6"/>
  <c r="E160" i="6"/>
  <c r="E159" i="6"/>
  <c r="E162" i="6"/>
  <c r="E167" i="6"/>
  <c r="E168" i="6"/>
  <c r="E152" i="6"/>
  <c r="E158" i="6"/>
  <c r="E157" i="6"/>
  <c r="E165" i="6"/>
  <c r="E155" i="6"/>
  <c r="M39" i="7"/>
  <c r="O39" i="7" s="1"/>
  <c r="M27" i="7"/>
  <c r="O27" i="7" s="1"/>
  <c r="M35" i="7"/>
  <c r="O35" i="7" s="1"/>
  <c r="M43" i="7"/>
  <c r="O43" i="7" s="1"/>
  <c r="M31" i="7"/>
  <c r="O31" i="7" s="1"/>
  <c r="M42" i="7"/>
  <c r="O42" i="7" s="1"/>
  <c r="M38" i="7"/>
  <c r="O38" i="7" s="1"/>
  <c r="M28" i="7"/>
  <c r="O28" i="7" s="1"/>
  <c r="M41" i="7"/>
  <c r="O41" i="7" s="1"/>
  <c r="M36" i="7"/>
  <c r="O36" i="7" s="1"/>
  <c r="M37" i="7"/>
  <c r="O37" i="7" s="1"/>
  <c r="M29" i="7"/>
  <c r="O29" i="7" s="1"/>
  <c r="M32" i="7"/>
  <c r="O32" i="7" s="1"/>
  <c r="M34" i="7"/>
  <c r="O34" i="7" s="1"/>
  <c r="M40" i="7"/>
  <c r="O40" i="7" s="1"/>
  <c r="M33" i="7"/>
  <c r="O33" i="7" s="1"/>
  <c r="M30" i="7"/>
  <c r="O30" i="7" s="1"/>
  <c r="M44" i="7"/>
  <c r="O44" i="7" s="1"/>
  <c r="O24" i="7"/>
  <c r="AE59" i="8"/>
  <c r="AE61" i="8"/>
  <c r="AE64" i="8"/>
  <c r="AE73" i="8"/>
  <c r="AE58" i="8"/>
  <c r="AE62" i="8"/>
  <c r="AE71" i="8"/>
  <c r="AE70" i="8"/>
  <c r="AE74" i="8"/>
  <c r="AE67" i="8"/>
  <c r="AE63" i="8"/>
  <c r="AE75" i="8"/>
  <c r="AE72" i="8"/>
  <c r="AE68" i="8"/>
  <c r="AE66" i="8"/>
  <c r="AE65" i="8"/>
  <c r="AE60" i="8"/>
  <c r="AE69" i="8"/>
  <c r="BI52" i="16"/>
  <c r="BH39" i="16"/>
  <c r="D151" i="8"/>
  <c r="H151" i="8" s="1"/>
  <c r="D161" i="8"/>
  <c r="H161" i="8" s="1"/>
  <c r="AF70" i="8"/>
  <c r="AF75" i="8"/>
  <c r="AF65" i="8"/>
  <c r="G70" i="3" l="1"/>
  <c r="I70" i="3" s="1"/>
  <c r="G30" i="3"/>
  <c r="I30" i="3" s="1"/>
  <c r="G51" i="3"/>
  <c r="I51" i="3" s="1"/>
  <c r="G11" i="3"/>
  <c r="I11" i="3" s="1"/>
  <c r="L26" i="18"/>
  <c r="Y46" i="7"/>
  <c r="J170" i="7"/>
  <c r="AN130" i="8"/>
  <c r="AU130" i="8" s="1"/>
  <c r="AS127" i="8"/>
  <c r="AZ127" i="8" s="1"/>
  <c r="G80" i="3"/>
  <c r="I80" i="3" s="1"/>
  <c r="D213" i="18" s="1"/>
  <c r="H60" i="2"/>
  <c r="N170" i="8"/>
  <c r="BG46" i="8"/>
  <c r="AK134" i="8"/>
  <c r="AL134" i="8" s="1"/>
  <c r="BO41" i="8" s="1"/>
  <c r="AK129" i="8"/>
  <c r="AL129" i="8" s="1"/>
  <c r="BO36" i="8" s="1"/>
  <c r="AT128" i="8"/>
  <c r="AQ131" i="8"/>
  <c r="AX131" i="8" s="1"/>
  <c r="AU125" i="8"/>
  <c r="U60" i="5"/>
  <c r="AW125" i="8"/>
  <c r="G68" i="3"/>
  <c r="I68" i="3" s="1"/>
  <c r="D25" i="6" s="1"/>
  <c r="H25" i="6" s="1"/>
  <c r="AY125" i="8"/>
  <c r="G28" i="3"/>
  <c r="I28" i="3" s="1"/>
  <c r="AK118" i="8"/>
  <c r="AL118" i="8" s="1"/>
  <c r="BO25" i="8" s="1"/>
  <c r="U62" i="5"/>
  <c r="U59" i="5"/>
  <c r="AV125" i="8"/>
  <c r="AW124" i="8"/>
  <c r="AY124" i="8"/>
  <c r="AZ124" i="8"/>
  <c r="AK124" i="8"/>
  <c r="AL124" i="8" s="1"/>
  <c r="BO31" i="8" s="1"/>
  <c r="AX124" i="8"/>
  <c r="AK137" i="8"/>
  <c r="AL137" i="8" s="1"/>
  <c r="BO44" i="8" s="1"/>
  <c r="AZ125" i="8"/>
  <c r="AV124" i="8"/>
  <c r="U58" i="5"/>
  <c r="AR130" i="8"/>
  <c r="AY130" i="8" s="1"/>
  <c r="AP127" i="8"/>
  <c r="AW127" i="8" s="1"/>
  <c r="AN136" i="8"/>
  <c r="AU136" i="8" s="1"/>
  <c r="U69" i="5"/>
  <c r="AP130" i="8"/>
  <c r="AW130" i="8" s="1"/>
  <c r="AX120" i="8"/>
  <c r="U73" i="5"/>
  <c r="AT126" i="8"/>
  <c r="AR136" i="8"/>
  <c r="AY136" i="8" s="1"/>
  <c r="AV120" i="8"/>
  <c r="AQ137" i="8"/>
  <c r="AX137" i="8" s="1"/>
  <c r="AT134" i="8"/>
  <c r="AS137" i="8"/>
  <c r="AZ137" i="8" s="1"/>
  <c r="AV123" i="8"/>
  <c r="U130" i="5"/>
  <c r="AQ130" i="8"/>
  <c r="AX130" i="8" s="1"/>
  <c r="AO137" i="8"/>
  <c r="AV137" i="8" s="1"/>
  <c r="AN134" i="8"/>
  <c r="AU134" i="8" s="1"/>
  <c r="AO130" i="8"/>
  <c r="AV130" i="8" s="1"/>
  <c r="AO129" i="8"/>
  <c r="AV129" i="8" s="1"/>
  <c r="AS130" i="8"/>
  <c r="AZ130" i="8" s="1"/>
  <c r="AT137" i="8"/>
  <c r="AX121" i="8"/>
  <c r="AT130" i="8"/>
  <c r="AO134" i="8"/>
  <c r="AV134" i="8" s="1"/>
  <c r="AS129" i="8"/>
  <c r="AZ129" i="8" s="1"/>
  <c r="AI130" i="8"/>
  <c r="AK130" i="8" s="1"/>
  <c r="AL130" i="8" s="1"/>
  <c r="BO37" i="8" s="1"/>
  <c r="AO127" i="8"/>
  <c r="AV127" i="8" s="1"/>
  <c r="G24" i="8"/>
  <c r="AU122" i="8"/>
  <c r="U131" i="5"/>
  <c r="AQ127" i="8"/>
  <c r="AX127" i="8" s="1"/>
  <c r="AQ135" i="8"/>
  <c r="AX135" i="8" s="1"/>
  <c r="AU121" i="8"/>
  <c r="AS136" i="8"/>
  <c r="AZ136" i="8" s="1"/>
  <c r="AV121" i="8"/>
  <c r="U75" i="5"/>
  <c r="U71" i="5"/>
  <c r="U72" i="5"/>
  <c r="U61" i="5"/>
  <c r="U67" i="5"/>
  <c r="AX125" i="8"/>
  <c r="AI136" i="8"/>
  <c r="AK136" i="8" s="1"/>
  <c r="AL136" i="8" s="1"/>
  <c r="BO43" i="8" s="1"/>
  <c r="AU120" i="8"/>
  <c r="AS134" i="8"/>
  <c r="AZ134" i="8" s="1"/>
  <c r="AK120" i="8"/>
  <c r="AL120" i="8" s="1"/>
  <c r="BO27" i="8" s="1"/>
  <c r="AZ120" i="8"/>
  <c r="U74" i="5"/>
  <c r="U68" i="5"/>
  <c r="U63" i="5"/>
  <c r="AK125" i="8"/>
  <c r="AL125" i="8" s="1"/>
  <c r="BO32" i="8" s="1"/>
  <c r="AT136" i="8"/>
  <c r="AY120" i="8"/>
  <c r="AW122" i="8"/>
  <c r="AN131" i="8"/>
  <c r="AU131" i="8" s="1"/>
  <c r="AQ136" i="8"/>
  <c r="AX136" i="8" s="1"/>
  <c r="AS128" i="8"/>
  <c r="AZ128" i="8" s="1"/>
  <c r="AN135" i="8"/>
  <c r="AU135" i="8" s="1"/>
  <c r="U70" i="5"/>
  <c r="U64" i="5"/>
  <c r="AP136" i="8"/>
  <c r="AW136" i="8" s="1"/>
  <c r="AW120" i="8"/>
  <c r="AO136" i="8"/>
  <c r="AV136" i="8" s="1"/>
  <c r="U65" i="5"/>
  <c r="AQ133" i="8"/>
  <c r="AX133" i="8" s="1"/>
  <c r="AQ132" i="8"/>
  <c r="AX132" i="8" s="1"/>
  <c r="U136" i="5"/>
  <c r="AP129" i="8"/>
  <c r="AW129" i="8" s="1"/>
  <c r="AY123" i="8"/>
  <c r="U133" i="5"/>
  <c r="AO133" i="8"/>
  <c r="AV133" i="8" s="1"/>
  <c r="AT129" i="8"/>
  <c r="AP126" i="8"/>
  <c r="AW126" i="8" s="1"/>
  <c r="AK123" i="8"/>
  <c r="AL123" i="8" s="1"/>
  <c r="BO30" i="8" s="1"/>
  <c r="AP133" i="8"/>
  <c r="AW133" i="8" s="1"/>
  <c r="AP137" i="8"/>
  <c r="AW137" i="8" s="1"/>
  <c r="AN133" i="8"/>
  <c r="AU133" i="8" s="1"/>
  <c r="AR129" i="8"/>
  <c r="AY129" i="8" s="1"/>
  <c r="AP134" i="8"/>
  <c r="AW134" i="8" s="1"/>
  <c r="AN137" i="8"/>
  <c r="AU137" i="8" s="1"/>
  <c r="AZ122" i="8"/>
  <c r="AR133" i="8"/>
  <c r="AY133" i="8" s="1"/>
  <c r="AU123" i="8"/>
  <c r="AR134" i="8"/>
  <c r="AY134" i="8" s="1"/>
  <c r="AN129" i="8"/>
  <c r="AU129" i="8" s="1"/>
  <c r="AJ132" i="8"/>
  <c r="AS132" i="8"/>
  <c r="AZ132" i="8" s="1"/>
  <c r="AR137" i="8"/>
  <c r="AY137" i="8" s="1"/>
  <c r="U121" i="5"/>
  <c r="AQ129" i="8"/>
  <c r="AX129" i="8" s="1"/>
  <c r="AT133" i="8"/>
  <c r="AR132" i="8"/>
  <c r="AY132" i="8" s="1"/>
  <c r="AS131" i="8"/>
  <c r="AZ131" i="8" s="1"/>
  <c r="AR135" i="8"/>
  <c r="AY135" i="8" s="1"/>
  <c r="AY121" i="8"/>
  <c r="AR131" i="8"/>
  <c r="AY131" i="8" s="1"/>
  <c r="AI132" i="8"/>
  <c r="AN127" i="8"/>
  <c r="AU127" i="8" s="1"/>
  <c r="AY122" i="8"/>
  <c r="AP135" i="8"/>
  <c r="AW135" i="8" s="1"/>
  <c r="AW121" i="8"/>
  <c r="AP131" i="8"/>
  <c r="AW131" i="8" s="1"/>
  <c r="AX123" i="8"/>
  <c r="AR127" i="8"/>
  <c r="AY127" i="8" s="1"/>
  <c r="AV122" i="8"/>
  <c r="AT135" i="8"/>
  <c r="AK133" i="8"/>
  <c r="AL133" i="8" s="1"/>
  <c r="BO40" i="8" s="1"/>
  <c r="AI131" i="8"/>
  <c r="AK131" i="8" s="1"/>
  <c r="AL131" i="8" s="1"/>
  <c r="BO38" i="8" s="1"/>
  <c r="AZ123" i="8"/>
  <c r="AT127" i="8"/>
  <c r="AX122" i="8"/>
  <c r="AN128" i="8"/>
  <c r="AU128" i="8" s="1"/>
  <c r="AQ134" i="8"/>
  <c r="AX134" i="8" s="1"/>
  <c r="AO131" i="8"/>
  <c r="AV131" i="8" s="1"/>
  <c r="AP132" i="8"/>
  <c r="AW132" i="8" s="1"/>
  <c r="AW123" i="8"/>
  <c r="AI127" i="8"/>
  <c r="AK127" i="8" s="1"/>
  <c r="AL127" i="8" s="1"/>
  <c r="BO34" i="8" s="1"/>
  <c r="AR128" i="8"/>
  <c r="AY128" i="8" s="1"/>
  <c r="AS133" i="8"/>
  <c r="AZ133" i="8" s="1"/>
  <c r="AT131" i="8"/>
  <c r="AO132" i="8"/>
  <c r="AV132" i="8" s="1"/>
  <c r="AO128" i="8"/>
  <c r="AV128" i="8" s="1"/>
  <c r="AO126" i="8"/>
  <c r="AV126" i="8" s="1"/>
  <c r="AQ128" i="8"/>
  <c r="AX128" i="8" s="1"/>
  <c r="AI135" i="8"/>
  <c r="AK135" i="8" s="1"/>
  <c r="AL135" i="8" s="1"/>
  <c r="BO42" i="8" s="1"/>
  <c r="AT132" i="8"/>
  <c r="AI128" i="8"/>
  <c r="AK128" i="8" s="1"/>
  <c r="AL128" i="8" s="1"/>
  <c r="BO35" i="8" s="1"/>
  <c r="AO135" i="8"/>
  <c r="AV135" i="8" s="1"/>
  <c r="AQ126" i="8"/>
  <c r="AX126" i="8" s="1"/>
  <c r="AK126" i="8"/>
  <c r="AL126" i="8" s="1"/>
  <c r="BO33" i="8" s="1"/>
  <c r="AS126" i="8"/>
  <c r="AZ126" i="8" s="1"/>
  <c r="AZ121" i="8"/>
  <c r="AN126" i="8"/>
  <c r="AU126" i="8" s="1"/>
  <c r="AN132" i="8"/>
  <c r="AU132" i="8" s="1"/>
  <c r="AP128" i="8"/>
  <c r="AW128" i="8" s="1"/>
  <c r="AS135" i="8"/>
  <c r="AZ135" i="8" s="1"/>
  <c r="AK101" i="8"/>
  <c r="AL101" i="8" s="1"/>
  <c r="BN39" i="8" s="1"/>
  <c r="AR126" i="8"/>
  <c r="AY126" i="8" s="1"/>
  <c r="U134" i="5"/>
  <c r="U120" i="5"/>
  <c r="U127" i="5"/>
  <c r="Q34" i="7"/>
  <c r="R34" i="7" s="1"/>
  <c r="AC34" i="7" s="1"/>
  <c r="Q42" i="7"/>
  <c r="R42" i="7" s="1"/>
  <c r="AC42" i="7" s="1"/>
  <c r="U124" i="5"/>
  <c r="U126" i="5"/>
  <c r="AW101" i="8"/>
  <c r="U122" i="5"/>
  <c r="U137" i="5"/>
  <c r="AX101" i="8"/>
  <c r="G29" i="3"/>
  <c r="I29" i="3" s="1"/>
  <c r="G69" i="3"/>
  <c r="I69" i="3" s="1"/>
  <c r="U132" i="5"/>
  <c r="U135" i="5"/>
  <c r="U123" i="5"/>
  <c r="G31" i="3"/>
  <c r="I31" i="3" s="1"/>
  <c r="G78" i="3"/>
  <c r="I78" i="3" s="1"/>
  <c r="U125" i="5"/>
  <c r="U129" i="5"/>
  <c r="G40" i="3"/>
  <c r="I40" i="3" s="1"/>
  <c r="D273" i="5"/>
  <c r="H273" i="5" s="1"/>
  <c r="AU101" i="8"/>
  <c r="AY101" i="8"/>
  <c r="AF15" i="3"/>
  <c r="AE11" i="3"/>
  <c r="AE25" i="3"/>
  <c r="G50" i="3"/>
  <c r="I50" i="3" s="1"/>
  <c r="D57" i="18" s="1"/>
  <c r="G10" i="3"/>
  <c r="I10" i="3" s="1"/>
  <c r="C57" i="18" s="1"/>
  <c r="AE10" i="3"/>
  <c r="AF11" i="3"/>
  <c r="M22" i="16"/>
  <c r="H47" i="2" s="1"/>
  <c r="G79" i="3" s="1"/>
  <c r="I79" i="3" s="1"/>
  <c r="AF30" i="3"/>
  <c r="G21" i="3"/>
  <c r="I21" i="3" s="1"/>
  <c r="C212" i="18" s="1"/>
  <c r="P30" i="2"/>
  <c r="G12" i="3"/>
  <c r="I12" i="3" s="1"/>
  <c r="C119" i="18" s="1"/>
  <c r="AE30" i="3"/>
  <c r="AF26" i="3"/>
  <c r="AE26" i="3"/>
  <c r="G38" i="3"/>
  <c r="I38" i="3" s="1"/>
  <c r="C151" i="18" s="1"/>
  <c r="G61" i="3"/>
  <c r="I61" i="3" s="1"/>
  <c r="D212" i="18" s="1"/>
  <c r="G52" i="3"/>
  <c r="I52" i="3" s="1"/>
  <c r="D119" i="18" s="1"/>
  <c r="AE15" i="3"/>
  <c r="G19" i="3"/>
  <c r="I19" i="3" s="1"/>
  <c r="C150" i="18" s="1"/>
  <c r="G59" i="3"/>
  <c r="I59" i="3" s="1"/>
  <c r="D150" i="18" s="1"/>
  <c r="G71" i="3"/>
  <c r="I71" i="3" s="1"/>
  <c r="D120" i="18" s="1"/>
  <c r="AV101" i="8"/>
  <c r="U106" i="5"/>
  <c r="AZ101" i="8"/>
  <c r="U101" i="5"/>
  <c r="U103" i="5"/>
  <c r="AK106" i="8"/>
  <c r="AL106" i="8" s="1"/>
  <c r="BN44" i="8" s="1"/>
  <c r="U97" i="5"/>
  <c r="U105" i="5"/>
  <c r="AK89" i="8"/>
  <c r="AL89" i="8" s="1"/>
  <c r="BN27" i="8" s="1"/>
  <c r="U99" i="5"/>
  <c r="U90" i="5"/>
  <c r="U93" i="5"/>
  <c r="AK95" i="8"/>
  <c r="AL95" i="8" s="1"/>
  <c r="BN33" i="8" s="1"/>
  <c r="AK93" i="8"/>
  <c r="AL93" i="8" s="1"/>
  <c r="BN31" i="8" s="1"/>
  <c r="Q32" i="7"/>
  <c r="R32" i="7" s="1"/>
  <c r="AC32" i="7" s="1"/>
  <c r="Q43" i="7"/>
  <c r="R43" i="7" s="1"/>
  <c r="AC43" i="7" s="1"/>
  <c r="Q27" i="7"/>
  <c r="R27" i="7" s="1"/>
  <c r="AC27" i="7" s="1"/>
  <c r="U94" i="5"/>
  <c r="U96" i="5"/>
  <c r="AK100" i="8"/>
  <c r="AL100" i="8" s="1"/>
  <c r="BN38" i="8" s="1"/>
  <c r="U102" i="5"/>
  <c r="U89" i="5"/>
  <c r="U104" i="5"/>
  <c r="U98" i="5"/>
  <c r="U92" i="5"/>
  <c r="U95" i="5"/>
  <c r="U91" i="5"/>
  <c r="AK91" i="8"/>
  <c r="AL91" i="8" s="1"/>
  <c r="BN29" i="8" s="1"/>
  <c r="AK104" i="8"/>
  <c r="AL104" i="8" s="1"/>
  <c r="BN42" i="8" s="1"/>
  <c r="AK86" i="8"/>
  <c r="AL86" i="8" s="1"/>
  <c r="BN24" i="8" s="1"/>
  <c r="AE44" i="2"/>
  <c r="Q40" i="7"/>
  <c r="R40" i="7" s="1"/>
  <c r="AC40" i="7" s="1"/>
  <c r="Q38" i="7"/>
  <c r="R38" i="7" s="1"/>
  <c r="AC38" i="7" s="1"/>
  <c r="Q29" i="7"/>
  <c r="R29" i="7" s="1"/>
  <c r="AC29" i="7" s="1"/>
  <c r="Q37" i="7"/>
  <c r="R37" i="7" s="1"/>
  <c r="AC37" i="7" s="1"/>
  <c r="AN55" i="9"/>
  <c r="U29" i="5"/>
  <c r="U43" i="5"/>
  <c r="U31" i="5"/>
  <c r="U39" i="5"/>
  <c r="U28" i="5"/>
  <c r="U30" i="5"/>
  <c r="U37" i="5"/>
  <c r="U42" i="5"/>
  <c r="U27" i="5"/>
  <c r="U38" i="5"/>
  <c r="U44" i="5"/>
  <c r="U40" i="5"/>
  <c r="U41" i="5"/>
  <c r="U33" i="5"/>
  <c r="U32" i="5"/>
  <c r="U34" i="5"/>
  <c r="U35" i="5"/>
  <c r="U36" i="5"/>
  <c r="Q39" i="7"/>
  <c r="R39" i="7" s="1"/>
  <c r="AC39" i="7" s="1"/>
  <c r="S23" i="3"/>
  <c r="Q35" i="7"/>
  <c r="R35" i="7" s="1"/>
  <c r="AC35" i="7" s="1"/>
  <c r="Q44" i="7"/>
  <c r="R44" i="7" s="1"/>
  <c r="AC44" i="7" s="1"/>
  <c r="Q36" i="7"/>
  <c r="R36" i="7" s="1"/>
  <c r="AC36" i="7" s="1"/>
  <c r="AK92" i="8"/>
  <c r="AL92" i="8" s="1"/>
  <c r="BN30" i="8" s="1"/>
  <c r="Q30" i="7"/>
  <c r="R30" i="7" s="1"/>
  <c r="AC30" i="7" s="1"/>
  <c r="Q41" i="7"/>
  <c r="R41" i="7" s="1"/>
  <c r="AC41" i="7" s="1"/>
  <c r="AK102" i="8"/>
  <c r="AL102" i="8" s="1"/>
  <c r="BN40" i="8" s="1"/>
  <c r="Q28" i="7"/>
  <c r="R28" i="7" s="1"/>
  <c r="AC28" i="7" s="1"/>
  <c r="Q24" i="7"/>
  <c r="R24" i="7" s="1"/>
  <c r="AC24" i="7" s="1"/>
  <c r="AZ93" i="8"/>
  <c r="AV93" i="8"/>
  <c r="AX93" i="8"/>
  <c r="AW93" i="8"/>
  <c r="AY93" i="8"/>
  <c r="AU93" i="8"/>
  <c r="AW104" i="8"/>
  <c r="AY104" i="8"/>
  <c r="AU104" i="8"/>
  <c r="AX104" i="8"/>
  <c r="AZ104" i="8"/>
  <c r="AV104" i="8"/>
  <c r="AY102" i="8"/>
  <c r="AU102" i="8"/>
  <c r="AW102" i="8"/>
  <c r="AZ102" i="8"/>
  <c r="AV102" i="8"/>
  <c r="AX102" i="8"/>
  <c r="AK99" i="8"/>
  <c r="AL99" i="8" s="1"/>
  <c r="BN37" i="8" s="1"/>
  <c r="AZ99" i="8"/>
  <c r="AV99" i="8"/>
  <c r="AX99" i="8"/>
  <c r="AW99" i="8"/>
  <c r="AY99" i="8"/>
  <c r="AU99" i="8"/>
  <c r="AW96" i="8"/>
  <c r="AY96" i="8"/>
  <c r="AU96" i="8"/>
  <c r="AX96" i="8"/>
  <c r="AV96" i="8"/>
  <c r="AZ96" i="8"/>
  <c r="AK105" i="8"/>
  <c r="AL105" i="8" s="1"/>
  <c r="BN43" i="8" s="1"/>
  <c r="AX105" i="8"/>
  <c r="AZ105" i="8"/>
  <c r="AV105" i="8"/>
  <c r="AY105" i="8"/>
  <c r="AU105" i="8"/>
  <c r="AW105" i="8"/>
  <c r="AK97" i="8"/>
  <c r="AL97" i="8" s="1"/>
  <c r="BN35" i="8" s="1"/>
  <c r="AX97" i="8"/>
  <c r="AZ97" i="8"/>
  <c r="AV97" i="8"/>
  <c r="AY97" i="8"/>
  <c r="AU97" i="8"/>
  <c r="AW97" i="8"/>
  <c r="AW94" i="8"/>
  <c r="AY94" i="8"/>
  <c r="AU94" i="8"/>
  <c r="AX94" i="8"/>
  <c r="AZ94" i="8"/>
  <c r="AV94" i="8"/>
  <c r="AY92" i="8"/>
  <c r="AU92" i="8"/>
  <c r="AW92" i="8"/>
  <c r="AZ92" i="8"/>
  <c r="AV92" i="8"/>
  <c r="AX92" i="8"/>
  <c r="AW90" i="8"/>
  <c r="AY90" i="8"/>
  <c r="AU90" i="8"/>
  <c r="AX90" i="8"/>
  <c r="AV90" i="8"/>
  <c r="AZ90" i="8"/>
  <c r="AX91" i="8"/>
  <c r="AZ91" i="8"/>
  <c r="AV91" i="8"/>
  <c r="AY91" i="8"/>
  <c r="AU91" i="8"/>
  <c r="AW91" i="8"/>
  <c r="AZ95" i="8"/>
  <c r="AV95" i="8"/>
  <c r="AX95" i="8"/>
  <c r="AW95" i="8"/>
  <c r="AY95" i="8"/>
  <c r="AU95" i="8"/>
  <c r="AY98" i="8"/>
  <c r="AU98" i="8"/>
  <c r="AW98" i="8"/>
  <c r="AZ98" i="8"/>
  <c r="AV98" i="8"/>
  <c r="AX98" i="8"/>
  <c r="AW100" i="8"/>
  <c r="AY100" i="8"/>
  <c r="AU100" i="8"/>
  <c r="AX100" i="8"/>
  <c r="AZ100" i="8"/>
  <c r="AV100" i="8"/>
  <c r="AY106" i="8"/>
  <c r="AU106" i="8"/>
  <c r="AW106" i="8"/>
  <c r="AZ106" i="8"/>
  <c r="AV106" i="8"/>
  <c r="AX106" i="8"/>
  <c r="AK103" i="8"/>
  <c r="AL103" i="8" s="1"/>
  <c r="BN41" i="8" s="1"/>
  <c r="AZ103" i="8"/>
  <c r="AV103" i="8"/>
  <c r="AX103" i="8"/>
  <c r="AW103" i="8"/>
  <c r="AU103" i="8"/>
  <c r="AY103" i="8"/>
  <c r="AZ89" i="8"/>
  <c r="AX89" i="8"/>
  <c r="AW89" i="8"/>
  <c r="AY89" i="8"/>
  <c r="AU89" i="8"/>
  <c r="AK90" i="8"/>
  <c r="AL90" i="8" s="1"/>
  <c r="BN28" i="8" s="1"/>
  <c r="AK96" i="8"/>
  <c r="AL96" i="8" s="1"/>
  <c r="BN34" i="8" s="1"/>
  <c r="AK98" i="8"/>
  <c r="AL98" i="8" s="1"/>
  <c r="BN36" i="8" s="1"/>
  <c r="AK94" i="8"/>
  <c r="AL94" i="8" s="1"/>
  <c r="BN32" i="8" s="1"/>
  <c r="J24" i="6"/>
  <c r="H24" i="5"/>
  <c r="L24" i="5" s="1"/>
  <c r="Q31" i="7"/>
  <c r="R31" i="7" s="1"/>
  <c r="AC31" i="7" s="1"/>
  <c r="F24" i="7"/>
  <c r="H24" i="7" s="1"/>
  <c r="Q33" i="7"/>
  <c r="R33" i="7" s="1"/>
  <c r="AC33" i="7" s="1"/>
  <c r="G24" i="7"/>
  <c r="T28" i="9"/>
  <c r="S55" i="9"/>
  <c r="AM58" i="9"/>
  <c r="L24" i="8"/>
  <c r="H24" i="8"/>
  <c r="D273" i="8" l="1"/>
  <c r="D242" i="6"/>
  <c r="H242" i="6" s="1"/>
  <c r="D242" i="7"/>
  <c r="F242" i="7" s="1"/>
  <c r="H242" i="7" s="1"/>
  <c r="AE29" i="3"/>
  <c r="AF29" i="3"/>
  <c r="AE14" i="3"/>
  <c r="AE18" i="3" s="1"/>
  <c r="AF14" i="3"/>
  <c r="D211" i="6"/>
  <c r="H211" i="6" s="1"/>
  <c r="D242" i="8"/>
  <c r="D211" i="7"/>
  <c r="F211" i="7" s="1"/>
  <c r="H211" i="7" s="1"/>
  <c r="D242" i="5"/>
  <c r="H242" i="5" s="1"/>
  <c r="D182" i="18"/>
  <c r="G60" i="3"/>
  <c r="I60" i="3" s="1"/>
  <c r="C88" i="18"/>
  <c r="C86" i="8"/>
  <c r="C86" i="7"/>
  <c r="C86" i="5"/>
  <c r="C86" i="6"/>
  <c r="D86" i="6"/>
  <c r="D88" i="18"/>
  <c r="D86" i="8"/>
  <c r="D86" i="5"/>
  <c r="H86" i="5" s="1"/>
  <c r="D86" i="7"/>
  <c r="G39" i="3"/>
  <c r="I39" i="3" s="1"/>
  <c r="G41" i="3" s="1"/>
  <c r="I41" i="3" s="1"/>
  <c r="C89" i="18"/>
  <c r="C87" i="6"/>
  <c r="G87" i="6" s="1"/>
  <c r="C87" i="5"/>
  <c r="G87" i="5" s="1"/>
  <c r="C87" i="7"/>
  <c r="E87" i="7" s="1"/>
  <c r="G87" i="7" s="1"/>
  <c r="C87" i="8"/>
  <c r="G20" i="3"/>
  <c r="I20" i="3" s="1"/>
  <c r="G22" i="3" s="1"/>
  <c r="I22" i="3" s="1"/>
  <c r="E150" i="18" s="1"/>
  <c r="D89" i="18"/>
  <c r="D87" i="6"/>
  <c r="H87" i="6" s="1"/>
  <c r="D87" i="5"/>
  <c r="H87" i="5" s="1"/>
  <c r="D87" i="8"/>
  <c r="D87" i="7"/>
  <c r="F87" i="7" s="1"/>
  <c r="H87" i="7" s="1"/>
  <c r="C160" i="18"/>
  <c r="C161" i="18"/>
  <c r="C163" i="18"/>
  <c r="C156" i="18"/>
  <c r="C155" i="18"/>
  <c r="C165" i="18"/>
  <c r="C169" i="18"/>
  <c r="C157" i="18"/>
  <c r="C170" i="18"/>
  <c r="C162" i="18"/>
  <c r="C167" i="18"/>
  <c r="C154" i="18"/>
  <c r="C168" i="18"/>
  <c r="C159" i="18"/>
  <c r="C166" i="18"/>
  <c r="C153" i="18"/>
  <c r="C158" i="18"/>
  <c r="C164" i="18"/>
  <c r="D211" i="5"/>
  <c r="H211" i="5" s="1"/>
  <c r="D151" i="18"/>
  <c r="D128" i="18"/>
  <c r="D124" i="18"/>
  <c r="D129" i="18"/>
  <c r="D130" i="18"/>
  <c r="D125" i="18"/>
  <c r="D126" i="18"/>
  <c r="D136" i="18"/>
  <c r="D122" i="18"/>
  <c r="D139" i="18"/>
  <c r="D123" i="18"/>
  <c r="D135" i="18"/>
  <c r="D137" i="18"/>
  <c r="L119" i="18"/>
  <c r="D138" i="18"/>
  <c r="D133" i="18"/>
  <c r="D132" i="18"/>
  <c r="D131" i="18"/>
  <c r="D134" i="18"/>
  <c r="D127" i="18"/>
  <c r="R27" i="18"/>
  <c r="R26" i="18"/>
  <c r="Q26" i="18"/>
  <c r="R58" i="18"/>
  <c r="Q58" i="18"/>
  <c r="R57" i="18"/>
  <c r="Q57" i="18"/>
  <c r="Q27" i="18"/>
  <c r="C118" i="6"/>
  <c r="G118" i="6" s="1"/>
  <c r="C120" i="18"/>
  <c r="C124" i="18" s="1"/>
  <c r="D56" i="6"/>
  <c r="H56" i="6" s="1"/>
  <c r="D58" i="18"/>
  <c r="D67" i="18" s="1"/>
  <c r="D232" i="18"/>
  <c r="D223" i="18"/>
  <c r="D225" i="18"/>
  <c r="D218" i="18"/>
  <c r="D220" i="18"/>
  <c r="L212" i="18"/>
  <c r="D229" i="18"/>
  <c r="D222" i="18"/>
  <c r="D215" i="18"/>
  <c r="D226" i="18"/>
  <c r="D231" i="18"/>
  <c r="D224" i="18"/>
  <c r="D217" i="18"/>
  <c r="D219" i="18"/>
  <c r="D221" i="18"/>
  <c r="D230" i="18"/>
  <c r="D216" i="18"/>
  <c r="D227" i="18"/>
  <c r="D228" i="18"/>
  <c r="C56" i="8"/>
  <c r="K56" i="8" s="1"/>
  <c r="C58" i="18"/>
  <c r="C63" i="18" s="1"/>
  <c r="C242" i="7"/>
  <c r="E242" i="7" s="1"/>
  <c r="G242" i="7" s="1"/>
  <c r="C213" i="18"/>
  <c r="C225" i="18" s="1"/>
  <c r="C25" i="6"/>
  <c r="C38" i="6" s="1"/>
  <c r="G38" i="6" s="1"/>
  <c r="C27" i="18"/>
  <c r="D25" i="5"/>
  <c r="D33" i="5" s="1"/>
  <c r="H33" i="5" s="1"/>
  <c r="D27" i="18"/>
  <c r="H198" i="5"/>
  <c r="H185" i="5"/>
  <c r="H196" i="5"/>
  <c r="H191" i="5"/>
  <c r="AF10" i="3"/>
  <c r="AG10" i="3" s="1"/>
  <c r="AF25" i="3"/>
  <c r="AG25" i="3" s="1"/>
  <c r="H193" i="5"/>
  <c r="H195" i="5"/>
  <c r="H184" i="5"/>
  <c r="H187" i="5"/>
  <c r="H194" i="5"/>
  <c r="H186" i="5"/>
  <c r="H183" i="5"/>
  <c r="H182" i="5"/>
  <c r="H197" i="5"/>
  <c r="H148" i="5"/>
  <c r="L148" i="5" s="1"/>
  <c r="M148" i="5" s="1"/>
  <c r="N148" i="5" s="1"/>
  <c r="H179" i="5"/>
  <c r="H149" i="5"/>
  <c r="L149" i="5" s="1"/>
  <c r="M149" i="5" s="1"/>
  <c r="N149" i="5" s="1"/>
  <c r="AH25" i="5" s="1"/>
  <c r="H163" i="5"/>
  <c r="L163" i="5" s="1"/>
  <c r="M163" i="5" s="1"/>
  <c r="N163" i="5" s="1"/>
  <c r="AH39" i="5" s="1"/>
  <c r="H155" i="5"/>
  <c r="L155" i="5" s="1"/>
  <c r="M155" i="5" s="1"/>
  <c r="N155" i="5" s="1"/>
  <c r="AH31" i="5" s="1"/>
  <c r="H152" i="5"/>
  <c r="L152" i="5" s="1"/>
  <c r="M152" i="5" s="1"/>
  <c r="N152" i="5" s="1"/>
  <c r="AH28" i="5" s="1"/>
  <c r="H166" i="5"/>
  <c r="L166" i="5" s="1"/>
  <c r="M166" i="5" s="1"/>
  <c r="N166" i="5" s="1"/>
  <c r="AH42" i="5" s="1"/>
  <c r="H161" i="5"/>
  <c r="L161" i="5" s="1"/>
  <c r="M161" i="5" s="1"/>
  <c r="N161" i="5" s="1"/>
  <c r="AH37" i="5" s="1"/>
  <c r="H158" i="5"/>
  <c r="L158" i="5" s="1"/>
  <c r="M158" i="5" s="1"/>
  <c r="N158" i="5" s="1"/>
  <c r="AH34" i="5" s="1"/>
  <c r="H164" i="5"/>
  <c r="L164" i="5" s="1"/>
  <c r="M164" i="5" s="1"/>
  <c r="N164" i="5" s="1"/>
  <c r="AH40" i="5" s="1"/>
  <c r="H159" i="5"/>
  <c r="L159" i="5" s="1"/>
  <c r="M159" i="5" s="1"/>
  <c r="N159" i="5" s="1"/>
  <c r="AH35" i="5" s="1"/>
  <c r="H167" i="5"/>
  <c r="L167" i="5" s="1"/>
  <c r="M167" i="5" s="1"/>
  <c r="N167" i="5" s="1"/>
  <c r="AH43" i="5" s="1"/>
  <c r="H156" i="5"/>
  <c r="L156" i="5" s="1"/>
  <c r="M156" i="5" s="1"/>
  <c r="N156" i="5" s="1"/>
  <c r="AH32" i="5" s="1"/>
  <c r="H180" i="5"/>
  <c r="H165" i="5"/>
  <c r="L165" i="5" s="1"/>
  <c r="M165" i="5" s="1"/>
  <c r="N165" i="5" s="1"/>
  <c r="AH41" i="5" s="1"/>
  <c r="H157" i="5"/>
  <c r="L157" i="5" s="1"/>
  <c r="M157" i="5" s="1"/>
  <c r="N157" i="5" s="1"/>
  <c r="AH33" i="5" s="1"/>
  <c r="H154" i="5"/>
  <c r="L154" i="5" s="1"/>
  <c r="M154" i="5" s="1"/>
  <c r="N154" i="5" s="1"/>
  <c r="AH30" i="5" s="1"/>
  <c r="H151" i="5"/>
  <c r="L151" i="5" s="1"/>
  <c r="M151" i="5" s="1"/>
  <c r="N151" i="5" s="1"/>
  <c r="AH27" i="5" s="1"/>
  <c r="H160" i="5"/>
  <c r="L160" i="5" s="1"/>
  <c r="M160" i="5" s="1"/>
  <c r="N160" i="5" s="1"/>
  <c r="AH36" i="5" s="1"/>
  <c r="H168" i="5"/>
  <c r="L168" i="5" s="1"/>
  <c r="M168" i="5" s="1"/>
  <c r="N168" i="5" s="1"/>
  <c r="AH44" i="5" s="1"/>
  <c r="H153" i="5"/>
  <c r="L153" i="5" s="1"/>
  <c r="M153" i="5" s="1"/>
  <c r="N153" i="5" s="1"/>
  <c r="AH29" i="5" s="1"/>
  <c r="H162" i="5"/>
  <c r="L162" i="5" s="1"/>
  <c r="M162" i="5" s="1"/>
  <c r="N162" i="5" s="1"/>
  <c r="AH38" i="5" s="1"/>
  <c r="H189" i="5"/>
  <c r="H188" i="5"/>
  <c r="H190" i="5"/>
  <c r="H192" i="5"/>
  <c r="H199" i="5"/>
  <c r="AZ139" i="8"/>
  <c r="AY139" i="8"/>
  <c r="AU139" i="8"/>
  <c r="AX139" i="8"/>
  <c r="AV139" i="8"/>
  <c r="AW139" i="8"/>
  <c r="D25" i="8"/>
  <c r="D34" i="8" s="1"/>
  <c r="L34" i="8" s="1"/>
  <c r="AK122" i="8"/>
  <c r="AL122" i="8" s="1"/>
  <c r="BO29" i="8" s="1"/>
  <c r="D25" i="7"/>
  <c r="F25" i="7" s="1"/>
  <c r="H25" i="7" s="1"/>
  <c r="C25" i="8"/>
  <c r="C43" i="8" s="1"/>
  <c r="G43" i="8" s="1"/>
  <c r="C25" i="7"/>
  <c r="E25" i="7" s="1"/>
  <c r="G25" i="7" s="1"/>
  <c r="C25" i="5"/>
  <c r="C27" i="5" s="1"/>
  <c r="G27" i="5" s="1"/>
  <c r="D180" i="6"/>
  <c r="H180" i="6" s="1"/>
  <c r="AK121" i="8"/>
  <c r="AL121" i="8" s="1"/>
  <c r="BO28" i="8" s="1"/>
  <c r="D56" i="5"/>
  <c r="H56" i="5" s="1"/>
  <c r="D56" i="8"/>
  <c r="L56" i="8" s="1"/>
  <c r="C273" i="8"/>
  <c r="G273" i="8" s="1"/>
  <c r="AK132" i="8"/>
  <c r="AL132" i="8" s="1"/>
  <c r="BO39" i="8" s="1"/>
  <c r="D56" i="7"/>
  <c r="F56" i="7" s="1"/>
  <c r="H56" i="7" s="1"/>
  <c r="C56" i="6"/>
  <c r="G56" i="6" s="1"/>
  <c r="AO139" i="8"/>
  <c r="D28" i="6"/>
  <c r="H28" i="6" s="1"/>
  <c r="D211" i="8"/>
  <c r="H211" i="8" s="1"/>
  <c r="D31" i="6"/>
  <c r="H31" i="6" s="1"/>
  <c r="AQ139" i="8"/>
  <c r="D180" i="7"/>
  <c r="F180" i="7" s="1"/>
  <c r="H180" i="7" s="1"/>
  <c r="AP139" i="8"/>
  <c r="G81" i="3"/>
  <c r="I81" i="3" s="1"/>
  <c r="F151" i="18" s="1"/>
  <c r="H151" i="18" s="1"/>
  <c r="AT139" i="8"/>
  <c r="D30" i="6"/>
  <c r="H30" i="6" s="1"/>
  <c r="D41" i="6"/>
  <c r="H41" i="6" s="1"/>
  <c r="D42" i="6"/>
  <c r="H42" i="6" s="1"/>
  <c r="AR139" i="8"/>
  <c r="D33" i="6"/>
  <c r="H33" i="6" s="1"/>
  <c r="AN139" i="8"/>
  <c r="D27" i="6"/>
  <c r="H27" i="6" s="1"/>
  <c r="AS139" i="8"/>
  <c r="C118" i="7"/>
  <c r="E118" i="7" s="1"/>
  <c r="G118" i="7" s="1"/>
  <c r="D37" i="6"/>
  <c r="H37" i="6" s="1"/>
  <c r="G73" i="3"/>
  <c r="I73" i="3" s="1"/>
  <c r="G74" i="3" s="1"/>
  <c r="I74" i="3" s="1"/>
  <c r="D29" i="6"/>
  <c r="H29" i="6" s="1"/>
  <c r="D44" i="6"/>
  <c r="H44" i="6" s="1"/>
  <c r="C56" i="5"/>
  <c r="G56" i="5" s="1"/>
  <c r="C56" i="7"/>
  <c r="E56" i="7" s="1"/>
  <c r="G56" i="7" s="1"/>
  <c r="D38" i="6"/>
  <c r="H38" i="6" s="1"/>
  <c r="D39" i="6"/>
  <c r="H39" i="6" s="1"/>
  <c r="C273" i="5"/>
  <c r="G273" i="5" s="1"/>
  <c r="D40" i="6"/>
  <c r="H40" i="6" s="1"/>
  <c r="D43" i="6"/>
  <c r="H43" i="6" s="1"/>
  <c r="G33" i="3"/>
  <c r="I33" i="3" s="1"/>
  <c r="G34" i="3" s="1"/>
  <c r="I34" i="3" s="1"/>
  <c r="C118" i="8"/>
  <c r="C118" i="5"/>
  <c r="G118" i="5" s="1"/>
  <c r="D35" i="6"/>
  <c r="H35" i="6" s="1"/>
  <c r="D34" i="6"/>
  <c r="H34" i="6" s="1"/>
  <c r="D32" i="6"/>
  <c r="H32" i="6" s="1"/>
  <c r="D36" i="6"/>
  <c r="H36" i="6" s="1"/>
  <c r="C242" i="6"/>
  <c r="G242" i="6" s="1"/>
  <c r="J242" i="6" s="1"/>
  <c r="AE33" i="3"/>
  <c r="AG30" i="3"/>
  <c r="H273" i="8"/>
  <c r="L273" i="8"/>
  <c r="D117" i="7"/>
  <c r="D117" i="6"/>
  <c r="D117" i="5"/>
  <c r="D117" i="8"/>
  <c r="Q24" i="5"/>
  <c r="Q56" i="5"/>
  <c r="Q25" i="5"/>
  <c r="R24" i="5"/>
  <c r="R87" i="5"/>
  <c r="R117" i="5"/>
  <c r="R118" i="5"/>
  <c r="Q86" i="5"/>
  <c r="Q118" i="5"/>
  <c r="R56" i="5"/>
  <c r="R55" i="5"/>
  <c r="Q55" i="5"/>
  <c r="Q87" i="5"/>
  <c r="W87" i="5" s="1"/>
  <c r="R86" i="5"/>
  <c r="Q117" i="5"/>
  <c r="R25" i="5"/>
  <c r="D179" i="7"/>
  <c r="G62" i="3"/>
  <c r="I62" i="3" s="1"/>
  <c r="F150" i="18" s="1"/>
  <c r="D210" i="8"/>
  <c r="D179" i="6"/>
  <c r="D210" i="5"/>
  <c r="D241" i="6"/>
  <c r="D272" i="8"/>
  <c r="D272" i="5"/>
  <c r="D241" i="7"/>
  <c r="C241" i="6"/>
  <c r="C272" i="8"/>
  <c r="C272" i="5"/>
  <c r="C241" i="7"/>
  <c r="C55" i="6"/>
  <c r="C55" i="7"/>
  <c r="C55" i="5"/>
  <c r="C55" i="8"/>
  <c r="G14" i="3"/>
  <c r="I14" i="3" s="1"/>
  <c r="D118" i="5"/>
  <c r="H118" i="5" s="1"/>
  <c r="D118" i="6"/>
  <c r="H118" i="6" s="1"/>
  <c r="D118" i="7"/>
  <c r="F118" i="7" s="1"/>
  <c r="H118" i="7" s="1"/>
  <c r="D118" i="8"/>
  <c r="C211" i="8"/>
  <c r="C180" i="6"/>
  <c r="C180" i="7"/>
  <c r="E180" i="7" s="1"/>
  <c r="G180" i="7" s="1"/>
  <c r="C211" i="5"/>
  <c r="G54" i="3"/>
  <c r="I54" i="3" s="1"/>
  <c r="D55" i="6"/>
  <c r="D55" i="8"/>
  <c r="D55" i="7"/>
  <c r="D55" i="5"/>
  <c r="C210" i="5"/>
  <c r="C179" i="7"/>
  <c r="C210" i="8"/>
  <c r="C179" i="6"/>
  <c r="AG26" i="3"/>
  <c r="AG11" i="3"/>
  <c r="AG15" i="3"/>
  <c r="C117" i="6"/>
  <c r="C117" i="7"/>
  <c r="C117" i="5"/>
  <c r="C117" i="8"/>
  <c r="BN46" i="8"/>
  <c r="AO108" i="8"/>
  <c r="R46" i="7"/>
  <c r="AV89" i="8"/>
  <c r="AV108" i="8" s="1"/>
  <c r="AC46" i="7"/>
  <c r="AY108" i="8"/>
  <c r="AZ108" i="8"/>
  <c r="AU108" i="8"/>
  <c r="AX108" i="8"/>
  <c r="AL108" i="8"/>
  <c r="AW108" i="8"/>
  <c r="AT108" i="8"/>
  <c r="AN108" i="8"/>
  <c r="AP108" i="8"/>
  <c r="AR108" i="8"/>
  <c r="AQ108" i="8"/>
  <c r="AS108" i="8"/>
  <c r="H13" i="4"/>
  <c r="I24" i="7"/>
  <c r="J24" i="7" s="1"/>
  <c r="AG29" i="3" l="1"/>
  <c r="C27" i="6"/>
  <c r="G27" i="6" s="1"/>
  <c r="C32" i="6"/>
  <c r="G32" i="6" s="1"/>
  <c r="C35" i="6"/>
  <c r="G35" i="6" s="1"/>
  <c r="G25" i="6"/>
  <c r="J25" i="6" s="1"/>
  <c r="C30" i="6"/>
  <c r="G30" i="6" s="1"/>
  <c r="G32" i="3"/>
  <c r="I32" i="3" s="1"/>
  <c r="E25" i="5" s="1"/>
  <c r="E57" i="18"/>
  <c r="G57" i="18" s="1"/>
  <c r="G13" i="3"/>
  <c r="I13" i="3" s="1"/>
  <c r="G72" i="3"/>
  <c r="I72" i="3" s="1"/>
  <c r="F25" i="5" s="1"/>
  <c r="J25" i="5" s="1"/>
  <c r="G55" i="3"/>
  <c r="I55" i="3" s="1"/>
  <c r="F88" i="18" s="1"/>
  <c r="G53" i="3"/>
  <c r="I53" i="3" s="1"/>
  <c r="L89" i="18"/>
  <c r="L88" i="18"/>
  <c r="I87" i="7"/>
  <c r="J87" i="7" s="1"/>
  <c r="W25" i="7" s="1"/>
  <c r="I242" i="7"/>
  <c r="J242" i="7" s="1"/>
  <c r="AB25" i="7" s="1"/>
  <c r="AF18" i="3"/>
  <c r="AG18" i="3" s="1"/>
  <c r="AF33" i="3"/>
  <c r="AG33" i="3" s="1"/>
  <c r="D72" i="18"/>
  <c r="D76" i="18"/>
  <c r="C40" i="6"/>
  <c r="G40" i="6" s="1"/>
  <c r="J40" i="6" s="1"/>
  <c r="C43" i="6"/>
  <c r="G43" i="6" s="1"/>
  <c r="C41" i="6"/>
  <c r="G41" i="6" s="1"/>
  <c r="J41" i="6" s="1"/>
  <c r="D60" i="18"/>
  <c r="C29" i="6"/>
  <c r="G29" i="6" s="1"/>
  <c r="J29" i="6" s="1"/>
  <c r="D63" i="18"/>
  <c r="J38" i="6"/>
  <c r="C37" i="6"/>
  <c r="G37" i="6" s="1"/>
  <c r="J37" i="6" s="1"/>
  <c r="C42" i="6"/>
  <c r="G42" i="6" s="1"/>
  <c r="C39" i="6"/>
  <c r="G39" i="6" s="1"/>
  <c r="AG14" i="3"/>
  <c r="C36" i="6"/>
  <c r="G36" i="6" s="1"/>
  <c r="J36" i="6" s="1"/>
  <c r="C34" i="6"/>
  <c r="G34" i="6" s="1"/>
  <c r="J34" i="6" s="1"/>
  <c r="C33" i="6"/>
  <c r="G33" i="6" s="1"/>
  <c r="J33" i="6" s="1"/>
  <c r="L120" i="18"/>
  <c r="D74" i="18"/>
  <c r="C44" i="6"/>
  <c r="G44" i="6" s="1"/>
  <c r="J44" i="6" s="1"/>
  <c r="C28" i="6"/>
  <c r="G28" i="6" s="1"/>
  <c r="C31" i="6"/>
  <c r="G31" i="6" s="1"/>
  <c r="J31" i="6" s="1"/>
  <c r="D73" i="18"/>
  <c r="D27" i="5"/>
  <c r="H27" i="5" s="1"/>
  <c r="L27" i="5" s="1"/>
  <c r="D35" i="5"/>
  <c r="H35" i="5" s="1"/>
  <c r="D39" i="5"/>
  <c r="H39" i="5" s="1"/>
  <c r="D30" i="5"/>
  <c r="H30" i="5" s="1"/>
  <c r="J87" i="6"/>
  <c r="D32" i="5"/>
  <c r="H32" i="5" s="1"/>
  <c r="D36" i="5"/>
  <c r="H36" i="5" s="1"/>
  <c r="D40" i="5"/>
  <c r="H40" i="5" s="1"/>
  <c r="D43" i="5"/>
  <c r="H43" i="5" s="1"/>
  <c r="L87" i="5"/>
  <c r="D37" i="5"/>
  <c r="H37" i="5" s="1"/>
  <c r="D44" i="5"/>
  <c r="H44" i="5" s="1"/>
  <c r="D28" i="5"/>
  <c r="H28" i="5" s="1"/>
  <c r="D29" i="5"/>
  <c r="H29" i="5" s="1"/>
  <c r="D41" i="5"/>
  <c r="H41" i="5" s="1"/>
  <c r="D38" i="5"/>
  <c r="H38" i="5" s="1"/>
  <c r="D31" i="5"/>
  <c r="H31" i="5" s="1"/>
  <c r="D42" i="5"/>
  <c r="H42" i="5" s="1"/>
  <c r="F86" i="8"/>
  <c r="F86" i="6"/>
  <c r="E89" i="18"/>
  <c r="G89" i="18" s="1"/>
  <c r="E87" i="8"/>
  <c r="E87" i="5"/>
  <c r="I87" i="5" s="1"/>
  <c r="E87" i="6"/>
  <c r="F89" i="18"/>
  <c r="H89" i="18" s="1"/>
  <c r="F87" i="6"/>
  <c r="F87" i="8"/>
  <c r="F87" i="5"/>
  <c r="J87" i="5" s="1"/>
  <c r="D100" i="18"/>
  <c r="D101" i="18"/>
  <c r="D93" i="18"/>
  <c r="D107" i="18"/>
  <c r="D102" i="18"/>
  <c r="D108" i="18"/>
  <c r="D98" i="18"/>
  <c r="D91" i="18"/>
  <c r="D106" i="18"/>
  <c r="D97" i="18"/>
  <c r="D99" i="18"/>
  <c r="D103" i="18"/>
  <c r="D96" i="18"/>
  <c r="D104" i="18"/>
  <c r="D95" i="18"/>
  <c r="D92" i="18"/>
  <c r="D94" i="18"/>
  <c r="D105" i="18"/>
  <c r="C93" i="18"/>
  <c r="C106" i="18"/>
  <c r="C101" i="18"/>
  <c r="C100" i="18"/>
  <c r="C108" i="18"/>
  <c r="C94" i="18"/>
  <c r="C98" i="18"/>
  <c r="C99" i="18"/>
  <c r="C92" i="18"/>
  <c r="C96" i="18"/>
  <c r="C91" i="18"/>
  <c r="C107" i="18"/>
  <c r="C97" i="18"/>
  <c r="C102" i="18"/>
  <c r="C95" i="18"/>
  <c r="C104" i="18"/>
  <c r="C103" i="18"/>
  <c r="C105" i="18"/>
  <c r="H87" i="8"/>
  <c r="L87" i="8"/>
  <c r="H86" i="6"/>
  <c r="D103" i="6"/>
  <c r="H103" i="6" s="1"/>
  <c r="D99" i="6"/>
  <c r="H99" i="6" s="1"/>
  <c r="D95" i="6"/>
  <c r="H95" i="6" s="1"/>
  <c r="D100" i="6"/>
  <c r="H100" i="6" s="1"/>
  <c r="D93" i="6"/>
  <c r="H93" i="6" s="1"/>
  <c r="D104" i="6"/>
  <c r="H104" i="6" s="1"/>
  <c r="D98" i="6"/>
  <c r="H98" i="6" s="1"/>
  <c r="D97" i="6"/>
  <c r="H97" i="6" s="1"/>
  <c r="D89" i="6"/>
  <c r="H89" i="6" s="1"/>
  <c r="D94" i="6"/>
  <c r="H94" i="6" s="1"/>
  <c r="D91" i="6"/>
  <c r="H91" i="6" s="1"/>
  <c r="D105" i="6"/>
  <c r="H105" i="6" s="1"/>
  <c r="D90" i="6"/>
  <c r="H90" i="6" s="1"/>
  <c r="D92" i="6"/>
  <c r="H92" i="6" s="1"/>
  <c r="D96" i="6"/>
  <c r="H96" i="6" s="1"/>
  <c r="D106" i="6"/>
  <c r="H106" i="6" s="1"/>
  <c r="D101" i="6"/>
  <c r="H101" i="6" s="1"/>
  <c r="D102" i="6"/>
  <c r="H102" i="6" s="1"/>
  <c r="D181" i="18"/>
  <c r="D210" i="6"/>
  <c r="G63" i="3"/>
  <c r="I63" i="3" s="1"/>
  <c r="G64" i="3" s="1"/>
  <c r="I64" i="3" s="1"/>
  <c r="F212" i="18" s="1"/>
  <c r="D241" i="8"/>
  <c r="D241" i="5"/>
  <c r="D210" i="7"/>
  <c r="G82" i="3"/>
  <c r="I82" i="3" s="1"/>
  <c r="C103" i="6"/>
  <c r="G103" i="6" s="1"/>
  <c r="C97" i="6"/>
  <c r="G97" i="6" s="1"/>
  <c r="C92" i="6"/>
  <c r="G92" i="6" s="1"/>
  <c r="C98" i="6"/>
  <c r="G98" i="6" s="1"/>
  <c r="C91" i="6"/>
  <c r="G91" i="6" s="1"/>
  <c r="C95" i="6"/>
  <c r="G95" i="6" s="1"/>
  <c r="C104" i="6"/>
  <c r="G104" i="6" s="1"/>
  <c r="C102" i="6"/>
  <c r="G102" i="6" s="1"/>
  <c r="C100" i="6"/>
  <c r="G100" i="6" s="1"/>
  <c r="C99" i="6"/>
  <c r="G99" i="6" s="1"/>
  <c r="G86" i="6"/>
  <c r="C89" i="6"/>
  <c r="G89" i="6" s="1"/>
  <c r="C90" i="6"/>
  <c r="G90" i="6" s="1"/>
  <c r="C106" i="6"/>
  <c r="G106" i="6" s="1"/>
  <c r="C94" i="6"/>
  <c r="G94" i="6" s="1"/>
  <c r="C96" i="6"/>
  <c r="G96" i="6" s="1"/>
  <c r="C93" i="6"/>
  <c r="G93" i="6" s="1"/>
  <c r="C105" i="6"/>
  <c r="G105" i="6" s="1"/>
  <c r="C101" i="6"/>
  <c r="G101" i="6" s="1"/>
  <c r="C211" i="6"/>
  <c r="G211" i="6" s="1"/>
  <c r="C242" i="8"/>
  <c r="C242" i="5"/>
  <c r="C211" i="7"/>
  <c r="E211" i="7" s="1"/>
  <c r="G211" i="7" s="1"/>
  <c r="I211" i="7" s="1"/>
  <c r="J211" i="7" s="1"/>
  <c r="AA25" i="7" s="1"/>
  <c r="C182" i="18"/>
  <c r="L182" i="18" s="1"/>
  <c r="G42" i="3"/>
  <c r="I42" i="3" s="1"/>
  <c r="G86" i="5"/>
  <c r="L86" i="5" s="1"/>
  <c r="C99" i="5"/>
  <c r="G99" i="5" s="1"/>
  <c r="C94" i="5"/>
  <c r="G94" i="5" s="1"/>
  <c r="C90" i="5"/>
  <c r="G90" i="5" s="1"/>
  <c r="C93" i="5"/>
  <c r="G93" i="5" s="1"/>
  <c r="C106" i="5"/>
  <c r="G106" i="5" s="1"/>
  <c r="C89" i="5"/>
  <c r="G89" i="5" s="1"/>
  <c r="C96" i="5"/>
  <c r="G96" i="5" s="1"/>
  <c r="C104" i="5"/>
  <c r="G104" i="5" s="1"/>
  <c r="C97" i="5"/>
  <c r="G97" i="5" s="1"/>
  <c r="C102" i="5"/>
  <c r="G102" i="5" s="1"/>
  <c r="C103" i="5"/>
  <c r="G103" i="5" s="1"/>
  <c r="C91" i="5"/>
  <c r="G91" i="5" s="1"/>
  <c r="C92" i="5"/>
  <c r="G92" i="5" s="1"/>
  <c r="C100" i="5"/>
  <c r="G100" i="5" s="1"/>
  <c r="C98" i="5"/>
  <c r="G98" i="5" s="1"/>
  <c r="C105" i="5"/>
  <c r="G105" i="5" s="1"/>
  <c r="C101" i="5"/>
  <c r="G101" i="5" s="1"/>
  <c r="C95" i="5"/>
  <c r="G95" i="5" s="1"/>
  <c r="C241" i="5"/>
  <c r="G23" i="3"/>
  <c r="I23" i="3" s="1"/>
  <c r="C181" i="18"/>
  <c r="C241" i="8"/>
  <c r="C210" i="7"/>
  <c r="C210" i="6"/>
  <c r="F86" i="7"/>
  <c r="H86" i="7" s="1"/>
  <c r="D99" i="7"/>
  <c r="F99" i="7" s="1"/>
  <c r="H99" i="7" s="1"/>
  <c r="D105" i="7"/>
  <c r="F105" i="7" s="1"/>
  <c r="H105" i="7" s="1"/>
  <c r="D101" i="7"/>
  <c r="F101" i="7" s="1"/>
  <c r="H101" i="7" s="1"/>
  <c r="D97" i="7"/>
  <c r="F97" i="7" s="1"/>
  <c r="H97" i="7" s="1"/>
  <c r="D100" i="7"/>
  <c r="F100" i="7" s="1"/>
  <c r="H100" i="7" s="1"/>
  <c r="D90" i="7"/>
  <c r="F90" i="7" s="1"/>
  <c r="H90" i="7" s="1"/>
  <c r="D104" i="7"/>
  <c r="F104" i="7" s="1"/>
  <c r="H104" i="7" s="1"/>
  <c r="D89" i="7"/>
  <c r="F89" i="7" s="1"/>
  <c r="H89" i="7" s="1"/>
  <c r="D91" i="7"/>
  <c r="F91" i="7" s="1"/>
  <c r="H91" i="7" s="1"/>
  <c r="D102" i="7"/>
  <c r="F102" i="7" s="1"/>
  <c r="H102" i="7" s="1"/>
  <c r="D96" i="7"/>
  <c r="F96" i="7" s="1"/>
  <c r="H96" i="7" s="1"/>
  <c r="D98" i="7"/>
  <c r="F98" i="7" s="1"/>
  <c r="H98" i="7" s="1"/>
  <c r="D93" i="7"/>
  <c r="F93" i="7" s="1"/>
  <c r="H93" i="7" s="1"/>
  <c r="D92" i="7"/>
  <c r="F92" i="7" s="1"/>
  <c r="H92" i="7" s="1"/>
  <c r="D95" i="7"/>
  <c r="F95" i="7" s="1"/>
  <c r="H95" i="7" s="1"/>
  <c r="D94" i="7"/>
  <c r="F94" i="7" s="1"/>
  <c r="H94" i="7" s="1"/>
  <c r="D106" i="7"/>
  <c r="F106" i="7" s="1"/>
  <c r="H106" i="7" s="1"/>
  <c r="D103" i="7"/>
  <c r="F103" i="7" s="1"/>
  <c r="H103" i="7" s="1"/>
  <c r="C101" i="7"/>
  <c r="E101" i="7" s="1"/>
  <c r="G101" i="7" s="1"/>
  <c r="I101" i="7" s="1"/>
  <c r="J101" i="7" s="1"/>
  <c r="W39" i="7" s="1"/>
  <c r="C104" i="7"/>
  <c r="E104" i="7" s="1"/>
  <c r="G104" i="7" s="1"/>
  <c r="C95" i="7"/>
  <c r="E95" i="7" s="1"/>
  <c r="G95" i="7" s="1"/>
  <c r="C89" i="7"/>
  <c r="E89" i="7" s="1"/>
  <c r="G89" i="7" s="1"/>
  <c r="C102" i="7"/>
  <c r="E102" i="7" s="1"/>
  <c r="G102" i="7" s="1"/>
  <c r="C94" i="7"/>
  <c r="E94" i="7" s="1"/>
  <c r="G94" i="7" s="1"/>
  <c r="C100" i="7"/>
  <c r="E100" i="7" s="1"/>
  <c r="G100" i="7" s="1"/>
  <c r="C93" i="7"/>
  <c r="E93" i="7" s="1"/>
  <c r="G93" i="7" s="1"/>
  <c r="C99" i="7"/>
  <c r="E99" i="7" s="1"/>
  <c r="G99" i="7" s="1"/>
  <c r="C106" i="7"/>
  <c r="E106" i="7" s="1"/>
  <c r="G106" i="7" s="1"/>
  <c r="C98" i="7"/>
  <c r="E98" i="7" s="1"/>
  <c r="G98" i="7" s="1"/>
  <c r="E86" i="7"/>
  <c r="G86" i="7" s="1"/>
  <c r="C97" i="7"/>
  <c r="E97" i="7" s="1"/>
  <c r="G97" i="7" s="1"/>
  <c r="C103" i="7"/>
  <c r="E103" i="7" s="1"/>
  <c r="G103" i="7" s="1"/>
  <c r="C92" i="7"/>
  <c r="E92" i="7" s="1"/>
  <c r="G92" i="7" s="1"/>
  <c r="C96" i="7"/>
  <c r="E96" i="7" s="1"/>
  <c r="G96" i="7" s="1"/>
  <c r="C105" i="7"/>
  <c r="E105" i="7" s="1"/>
  <c r="G105" i="7" s="1"/>
  <c r="C91" i="7"/>
  <c r="E91" i="7" s="1"/>
  <c r="G91" i="7" s="1"/>
  <c r="C90" i="7"/>
  <c r="E90" i="7" s="1"/>
  <c r="G90" i="7" s="1"/>
  <c r="G87" i="8"/>
  <c r="K87" i="8"/>
  <c r="D94" i="5"/>
  <c r="H94" i="5" s="1"/>
  <c r="D103" i="5"/>
  <c r="H103" i="5" s="1"/>
  <c r="D95" i="5"/>
  <c r="H95" i="5" s="1"/>
  <c r="D97" i="5"/>
  <c r="H97" i="5" s="1"/>
  <c r="D93" i="5"/>
  <c r="H93" i="5" s="1"/>
  <c r="D105" i="5"/>
  <c r="H105" i="5" s="1"/>
  <c r="D99" i="5"/>
  <c r="H99" i="5" s="1"/>
  <c r="D91" i="5"/>
  <c r="H91" i="5" s="1"/>
  <c r="D106" i="5"/>
  <c r="H106" i="5" s="1"/>
  <c r="D92" i="5"/>
  <c r="H92" i="5" s="1"/>
  <c r="D96" i="5"/>
  <c r="H96" i="5" s="1"/>
  <c r="D100" i="5"/>
  <c r="H100" i="5" s="1"/>
  <c r="D104" i="5"/>
  <c r="H104" i="5" s="1"/>
  <c r="D101" i="5"/>
  <c r="H101" i="5" s="1"/>
  <c r="D90" i="5"/>
  <c r="H90" i="5" s="1"/>
  <c r="D98" i="5"/>
  <c r="H98" i="5" s="1"/>
  <c r="D102" i="5"/>
  <c r="H102" i="5" s="1"/>
  <c r="D89" i="5"/>
  <c r="H89" i="5" s="1"/>
  <c r="L89" i="5" s="1"/>
  <c r="C89" i="8"/>
  <c r="C90" i="8"/>
  <c r="C95" i="8"/>
  <c r="C104" i="8"/>
  <c r="C91" i="8"/>
  <c r="C99" i="8"/>
  <c r="C100" i="8"/>
  <c r="G86" i="8"/>
  <c r="C103" i="8"/>
  <c r="C105" i="8"/>
  <c r="C102" i="8"/>
  <c r="C93" i="8"/>
  <c r="C106" i="8"/>
  <c r="C101" i="8"/>
  <c r="C94" i="8"/>
  <c r="C92" i="8"/>
  <c r="C97" i="8"/>
  <c r="C98" i="8"/>
  <c r="K86" i="8"/>
  <c r="C96" i="8"/>
  <c r="L242" i="8"/>
  <c r="H242" i="8"/>
  <c r="L86" i="8"/>
  <c r="D93" i="8"/>
  <c r="D106" i="8"/>
  <c r="D101" i="8"/>
  <c r="D103" i="8"/>
  <c r="D99" i="8"/>
  <c r="D97" i="8"/>
  <c r="D89" i="8"/>
  <c r="D105" i="8"/>
  <c r="D98" i="8"/>
  <c r="H86" i="8"/>
  <c r="J86" i="8" s="1"/>
  <c r="D94" i="8"/>
  <c r="D96" i="8"/>
  <c r="D102" i="8"/>
  <c r="D91" i="8"/>
  <c r="D92" i="8"/>
  <c r="D104" i="8"/>
  <c r="D90" i="8"/>
  <c r="D100" i="8"/>
  <c r="D95" i="8"/>
  <c r="G15" i="3"/>
  <c r="I15" i="3" s="1"/>
  <c r="C231" i="18"/>
  <c r="C216" i="18"/>
  <c r="L216" i="18" s="1"/>
  <c r="D66" i="18"/>
  <c r="D69" i="18"/>
  <c r="D70" i="18"/>
  <c r="D75" i="18"/>
  <c r="D68" i="18"/>
  <c r="D62" i="18"/>
  <c r="D64" i="18"/>
  <c r="G56" i="8"/>
  <c r="C67" i="18"/>
  <c r="J56" i="6"/>
  <c r="H212" i="18"/>
  <c r="F56" i="5"/>
  <c r="J56" i="5" s="1"/>
  <c r="F58" i="18"/>
  <c r="H58" i="18" s="1"/>
  <c r="H25" i="5"/>
  <c r="D34" i="5"/>
  <c r="H34" i="5" s="1"/>
  <c r="D71" i="18"/>
  <c r="D77" i="18"/>
  <c r="C224" i="18"/>
  <c r="L224" i="18" s="1"/>
  <c r="C227" i="18"/>
  <c r="L227" i="18" s="1"/>
  <c r="C73" i="18"/>
  <c r="C62" i="18"/>
  <c r="C68" i="18"/>
  <c r="R40" i="18"/>
  <c r="S26" i="18"/>
  <c r="R30" i="18"/>
  <c r="R38" i="18"/>
  <c r="R29" i="18"/>
  <c r="R31" i="18"/>
  <c r="R44" i="18"/>
  <c r="R33" i="18"/>
  <c r="R35" i="18"/>
  <c r="R36" i="18"/>
  <c r="R41" i="18"/>
  <c r="R45" i="18"/>
  <c r="R34" i="18"/>
  <c r="R32" i="18"/>
  <c r="Y26" i="18"/>
  <c r="R37" i="18"/>
  <c r="R46" i="18"/>
  <c r="R43" i="18"/>
  <c r="R42" i="18"/>
  <c r="D158" i="18"/>
  <c r="C123" i="18"/>
  <c r="L123" i="18" s="1"/>
  <c r="C126" i="18"/>
  <c r="L126" i="18" s="1"/>
  <c r="L213" i="18"/>
  <c r="D153" i="18"/>
  <c r="D160" i="18"/>
  <c r="C226" i="18"/>
  <c r="L226" i="18" s="1"/>
  <c r="C215" i="18"/>
  <c r="L215" i="18" s="1"/>
  <c r="C70" i="18"/>
  <c r="C71" i="18"/>
  <c r="C75" i="18"/>
  <c r="R39" i="18"/>
  <c r="S27" i="18"/>
  <c r="Y27" i="18"/>
  <c r="C132" i="18"/>
  <c r="L132" i="18" s="1"/>
  <c r="C134" i="18"/>
  <c r="L134" i="18" s="1"/>
  <c r="D155" i="18"/>
  <c r="D170" i="18"/>
  <c r="G56" i="3"/>
  <c r="I56" i="3" s="1"/>
  <c r="F119" i="18" s="1"/>
  <c r="F57" i="18"/>
  <c r="D65" i="18"/>
  <c r="C228" i="18"/>
  <c r="L228" i="18" s="1"/>
  <c r="C217" i="18"/>
  <c r="L217" i="18" s="1"/>
  <c r="C65" i="18"/>
  <c r="C72" i="18"/>
  <c r="C135" i="18"/>
  <c r="C122" i="18"/>
  <c r="L122" i="18" s="1"/>
  <c r="C130" i="18"/>
  <c r="D169" i="18"/>
  <c r="D162" i="18"/>
  <c r="D166" i="18"/>
  <c r="G150" i="18"/>
  <c r="G43" i="3"/>
  <c r="I43" i="3" s="1"/>
  <c r="E213" i="18" s="1"/>
  <c r="G213" i="18" s="1"/>
  <c r="E151" i="18"/>
  <c r="G151" i="18" s="1"/>
  <c r="D61" i="18"/>
  <c r="C229" i="18"/>
  <c r="L229" i="18" s="1"/>
  <c r="C219" i="18"/>
  <c r="L219" i="18" s="1"/>
  <c r="C69" i="18"/>
  <c r="C77" i="18"/>
  <c r="Q72" i="18"/>
  <c r="Q60" i="18"/>
  <c r="Q75" i="18"/>
  <c r="Q66" i="18"/>
  <c r="Q63" i="18"/>
  <c r="Q64" i="18"/>
  <c r="Q68" i="18"/>
  <c r="Q74" i="18"/>
  <c r="Q65" i="18"/>
  <c r="Q76" i="18"/>
  <c r="Q67" i="18"/>
  <c r="Q77" i="18"/>
  <c r="Q69" i="18"/>
  <c r="Q61" i="18"/>
  <c r="Q71" i="18"/>
  <c r="Q70" i="18"/>
  <c r="Q62" i="18"/>
  <c r="Q73" i="18"/>
  <c r="L124" i="18"/>
  <c r="C131" i="18"/>
  <c r="L131" i="18" s="1"/>
  <c r="C133" i="18"/>
  <c r="L133" i="18" s="1"/>
  <c r="C129" i="18"/>
  <c r="D164" i="18"/>
  <c r="D159" i="18"/>
  <c r="G35" i="3"/>
  <c r="I35" i="3" s="1"/>
  <c r="E118" i="6" s="1"/>
  <c r="E58" i="18"/>
  <c r="G58" i="18" s="1"/>
  <c r="C218" i="18"/>
  <c r="L218" i="18" s="1"/>
  <c r="C230" i="18"/>
  <c r="C223" i="18"/>
  <c r="L223" i="18" s="1"/>
  <c r="C76" i="18"/>
  <c r="C66" i="18"/>
  <c r="R76" i="18"/>
  <c r="R64" i="18"/>
  <c r="Y57" i="18"/>
  <c r="R69" i="18"/>
  <c r="R61" i="18"/>
  <c r="S57" i="18"/>
  <c r="R68" i="18"/>
  <c r="R63" i="18"/>
  <c r="R66" i="18"/>
  <c r="R74" i="18"/>
  <c r="R75" i="18"/>
  <c r="R77" i="18"/>
  <c r="R72" i="18"/>
  <c r="R70" i="18"/>
  <c r="R73" i="18"/>
  <c r="R65" i="18"/>
  <c r="R62" i="18"/>
  <c r="R60" i="18"/>
  <c r="R71" i="18"/>
  <c r="R67" i="18"/>
  <c r="C139" i="18"/>
  <c r="C137" i="18"/>
  <c r="D156" i="18"/>
  <c r="D163" i="18"/>
  <c r="C127" i="18"/>
  <c r="C136" i="18"/>
  <c r="L136" i="18" s="1"/>
  <c r="D165" i="18"/>
  <c r="D167" i="18"/>
  <c r="F170" i="18"/>
  <c r="H170" i="18" s="1"/>
  <c r="F155" i="18"/>
  <c r="H155" i="18" s="1"/>
  <c r="F168" i="18"/>
  <c r="H168" i="18" s="1"/>
  <c r="F153" i="18"/>
  <c r="H153" i="18" s="1"/>
  <c r="F166" i="18"/>
  <c r="H166" i="18" s="1"/>
  <c r="F167" i="18"/>
  <c r="H167" i="18" s="1"/>
  <c r="H150" i="18"/>
  <c r="F164" i="18"/>
  <c r="H164" i="18" s="1"/>
  <c r="F165" i="18"/>
  <c r="H165" i="18" s="1"/>
  <c r="F163" i="18"/>
  <c r="H163" i="18" s="1"/>
  <c r="F160" i="18"/>
  <c r="H160" i="18" s="1"/>
  <c r="F162" i="18"/>
  <c r="H162" i="18" s="1"/>
  <c r="F161" i="18"/>
  <c r="H161" i="18" s="1"/>
  <c r="F158" i="18"/>
  <c r="H158" i="18" s="1"/>
  <c r="F159" i="18"/>
  <c r="H159" i="18" s="1"/>
  <c r="F156" i="18"/>
  <c r="H156" i="18" s="1"/>
  <c r="F157" i="18"/>
  <c r="H157" i="18" s="1"/>
  <c r="F154" i="18"/>
  <c r="H154" i="18" s="1"/>
  <c r="F169" i="18"/>
  <c r="H169" i="18" s="1"/>
  <c r="C34" i="18"/>
  <c r="C38" i="18"/>
  <c r="C33" i="18"/>
  <c r="C36" i="18"/>
  <c r="C31" i="18"/>
  <c r="C35" i="18"/>
  <c r="C42" i="18"/>
  <c r="C46" i="18"/>
  <c r="C32" i="18"/>
  <c r="C39" i="18"/>
  <c r="C29" i="18"/>
  <c r="C40" i="18"/>
  <c r="C30" i="18"/>
  <c r="C45" i="18"/>
  <c r="C37" i="18"/>
  <c r="C41" i="18"/>
  <c r="C44" i="18"/>
  <c r="C43" i="18"/>
  <c r="C222" i="18"/>
  <c r="L222" i="18" s="1"/>
  <c r="C232" i="18"/>
  <c r="L232" i="18" s="1"/>
  <c r="L231" i="18"/>
  <c r="L225" i="18"/>
  <c r="C74" i="18"/>
  <c r="Y58" i="18"/>
  <c r="S58" i="18"/>
  <c r="C125" i="18"/>
  <c r="C138" i="18"/>
  <c r="L138" i="18" s="1"/>
  <c r="D157" i="18"/>
  <c r="D168" i="18"/>
  <c r="L27" i="18"/>
  <c r="D39" i="18"/>
  <c r="D46" i="18"/>
  <c r="D41" i="18"/>
  <c r="D30" i="18"/>
  <c r="D31" i="18"/>
  <c r="D36" i="18"/>
  <c r="D44" i="18"/>
  <c r="D45" i="18"/>
  <c r="D34" i="18"/>
  <c r="D32" i="18"/>
  <c r="D38" i="18"/>
  <c r="D40" i="18"/>
  <c r="D37" i="18"/>
  <c r="D43" i="18"/>
  <c r="D33" i="18"/>
  <c r="D42" i="18"/>
  <c r="D35" i="18"/>
  <c r="D29" i="18"/>
  <c r="C61" i="18"/>
  <c r="C221" i="18"/>
  <c r="L221" i="18" s="1"/>
  <c r="C220" i="18"/>
  <c r="L220" i="18" s="1"/>
  <c r="C60" i="18"/>
  <c r="C64" i="18"/>
  <c r="Q45" i="18"/>
  <c r="Q33" i="18"/>
  <c r="Q36" i="18"/>
  <c r="Q41" i="18"/>
  <c r="Q31" i="18"/>
  <c r="Q34" i="18"/>
  <c r="Q29" i="18"/>
  <c r="Q30" i="18"/>
  <c r="Q32" i="18"/>
  <c r="Q40" i="18"/>
  <c r="Q46" i="18"/>
  <c r="Q35" i="18"/>
  <c r="Q43" i="18"/>
  <c r="Q39" i="18"/>
  <c r="Q42" i="18"/>
  <c r="Q44" i="18"/>
  <c r="Q37" i="18"/>
  <c r="Q38" i="18"/>
  <c r="C128" i="18"/>
  <c r="D161" i="18"/>
  <c r="D154" i="18"/>
  <c r="G24" i="3"/>
  <c r="I24" i="3" s="1"/>
  <c r="E272" i="8" s="1"/>
  <c r="AQ15" i="3"/>
  <c r="AS15" i="3" s="1"/>
  <c r="AQ27" i="3" s="1"/>
  <c r="AS27" i="3" s="1"/>
  <c r="J151" i="18" s="1"/>
  <c r="U58" i="18" s="1"/>
  <c r="G16" i="3"/>
  <c r="I16" i="3" s="1"/>
  <c r="E117" i="8" s="1"/>
  <c r="AQ10" i="3"/>
  <c r="AS10" i="3" s="1"/>
  <c r="AQ22" i="3" s="1"/>
  <c r="AS22" i="3" s="1"/>
  <c r="C32" i="8"/>
  <c r="G32" i="8" s="1"/>
  <c r="D43" i="8"/>
  <c r="H43" i="8" s="1"/>
  <c r="AH24" i="5"/>
  <c r="AH46" i="5" s="1"/>
  <c r="N170" i="5"/>
  <c r="G75" i="3"/>
  <c r="I75" i="3" s="1"/>
  <c r="F211" i="5"/>
  <c r="J211" i="5" s="1"/>
  <c r="G83" i="3"/>
  <c r="I83" i="3" s="1"/>
  <c r="F213" i="18" s="1"/>
  <c r="H213" i="18" s="1"/>
  <c r="BO46" i="8"/>
  <c r="C35" i="8"/>
  <c r="K35" i="8" s="1"/>
  <c r="E25" i="6"/>
  <c r="D37" i="8"/>
  <c r="H37" i="8" s="1"/>
  <c r="H25" i="8"/>
  <c r="D38" i="8"/>
  <c r="L38" i="8" s="1"/>
  <c r="D35" i="8"/>
  <c r="L35" i="8" s="1"/>
  <c r="C44" i="5"/>
  <c r="G44" i="5" s="1"/>
  <c r="C41" i="5"/>
  <c r="G41" i="5" s="1"/>
  <c r="AL139" i="8"/>
  <c r="C37" i="5"/>
  <c r="G37" i="5" s="1"/>
  <c r="L37" i="5" s="1"/>
  <c r="C43" i="5"/>
  <c r="G43" i="5" s="1"/>
  <c r="C39" i="8"/>
  <c r="K39" i="8" s="1"/>
  <c r="C33" i="8"/>
  <c r="G33" i="8" s="1"/>
  <c r="I25" i="7"/>
  <c r="J25" i="7" s="1"/>
  <c r="U25" i="7" s="1"/>
  <c r="C44" i="8"/>
  <c r="C34" i="8"/>
  <c r="K34" i="8" s="1"/>
  <c r="C42" i="8"/>
  <c r="K42" i="8" s="1"/>
  <c r="C38" i="8"/>
  <c r="K38" i="8" s="1"/>
  <c r="K25" i="8"/>
  <c r="D31" i="8"/>
  <c r="L31" i="8" s="1"/>
  <c r="D28" i="8"/>
  <c r="H28" i="8" s="1"/>
  <c r="D33" i="8"/>
  <c r="L33" i="8" s="1"/>
  <c r="J39" i="6"/>
  <c r="C34" i="7"/>
  <c r="E34" i="7" s="1"/>
  <c r="G34" i="7" s="1"/>
  <c r="C36" i="7"/>
  <c r="E36" i="7" s="1"/>
  <c r="G36" i="7" s="1"/>
  <c r="D30" i="7"/>
  <c r="F30" i="7" s="1"/>
  <c r="H30" i="7" s="1"/>
  <c r="C27" i="7"/>
  <c r="E27" i="7" s="1"/>
  <c r="G27" i="7" s="1"/>
  <c r="D28" i="7"/>
  <c r="F28" i="7" s="1"/>
  <c r="H28" i="7" s="1"/>
  <c r="D42" i="8"/>
  <c r="L42" i="8" s="1"/>
  <c r="D41" i="8"/>
  <c r="L41" i="8" s="1"/>
  <c r="C35" i="7"/>
  <c r="E35" i="7" s="1"/>
  <c r="G35" i="7" s="1"/>
  <c r="C32" i="7"/>
  <c r="E32" i="7" s="1"/>
  <c r="G32" i="7" s="1"/>
  <c r="D32" i="7"/>
  <c r="F32" i="7" s="1"/>
  <c r="H32" i="7" s="1"/>
  <c r="D30" i="8"/>
  <c r="H30" i="8" s="1"/>
  <c r="D29" i="8"/>
  <c r="H29" i="8" s="1"/>
  <c r="D44" i="8"/>
  <c r="H44" i="8" s="1"/>
  <c r="D36" i="7"/>
  <c r="F36" i="7" s="1"/>
  <c r="H36" i="7" s="1"/>
  <c r="D27" i="8"/>
  <c r="L27" i="8" s="1"/>
  <c r="C44" i="7"/>
  <c r="E44" i="7" s="1"/>
  <c r="G44" i="7" s="1"/>
  <c r="D32" i="8"/>
  <c r="L32" i="8" s="1"/>
  <c r="J32" i="6"/>
  <c r="D35" i="7"/>
  <c r="F35" i="7" s="1"/>
  <c r="H35" i="7" s="1"/>
  <c r="D39" i="8"/>
  <c r="L39" i="8" s="1"/>
  <c r="D40" i="8"/>
  <c r="L40" i="8" s="1"/>
  <c r="D31" i="7"/>
  <c r="F31" i="7" s="1"/>
  <c r="H31" i="7" s="1"/>
  <c r="C38" i="7"/>
  <c r="E38" i="7" s="1"/>
  <c r="G38" i="7" s="1"/>
  <c r="D29" i="7"/>
  <c r="F29" i="7" s="1"/>
  <c r="H29" i="7" s="1"/>
  <c r="D27" i="7"/>
  <c r="F27" i="7" s="1"/>
  <c r="H27" i="7" s="1"/>
  <c r="D38" i="7"/>
  <c r="F38" i="7" s="1"/>
  <c r="H38" i="7" s="1"/>
  <c r="C31" i="7"/>
  <c r="E31" i="7" s="1"/>
  <c r="G31" i="7" s="1"/>
  <c r="C29" i="7"/>
  <c r="E29" i="7" s="1"/>
  <c r="G29" i="7" s="1"/>
  <c r="D40" i="7"/>
  <c r="F40" i="7" s="1"/>
  <c r="H40" i="7" s="1"/>
  <c r="J30" i="6"/>
  <c r="C33" i="7"/>
  <c r="E33" i="7" s="1"/>
  <c r="G33" i="7" s="1"/>
  <c r="C30" i="7"/>
  <c r="E30" i="7" s="1"/>
  <c r="G30" i="7" s="1"/>
  <c r="C40" i="7"/>
  <c r="E40" i="7" s="1"/>
  <c r="G40" i="7" s="1"/>
  <c r="J35" i="6"/>
  <c r="C42" i="7"/>
  <c r="E42" i="7" s="1"/>
  <c r="G42" i="7" s="1"/>
  <c r="D44" i="7"/>
  <c r="F44" i="7" s="1"/>
  <c r="H44" i="7" s="1"/>
  <c r="D39" i="7"/>
  <c r="F39" i="7" s="1"/>
  <c r="H39" i="7" s="1"/>
  <c r="L25" i="8"/>
  <c r="D36" i="8"/>
  <c r="D43" i="7"/>
  <c r="F43" i="7" s="1"/>
  <c r="H43" i="7" s="1"/>
  <c r="D37" i="7"/>
  <c r="F37" i="7" s="1"/>
  <c r="H37" i="7" s="1"/>
  <c r="H34" i="8"/>
  <c r="C28" i="7"/>
  <c r="E28" i="7" s="1"/>
  <c r="G28" i="7" s="1"/>
  <c r="C41" i="7"/>
  <c r="E41" i="7" s="1"/>
  <c r="G41" i="7" s="1"/>
  <c r="C37" i="7"/>
  <c r="E37" i="7" s="1"/>
  <c r="G37" i="7" s="1"/>
  <c r="J42" i="6"/>
  <c r="D41" i="7"/>
  <c r="F41" i="7" s="1"/>
  <c r="H41" i="7" s="1"/>
  <c r="D33" i="7"/>
  <c r="F33" i="7" s="1"/>
  <c r="H33" i="7" s="1"/>
  <c r="C43" i="7"/>
  <c r="E43" i="7" s="1"/>
  <c r="G43" i="7" s="1"/>
  <c r="D34" i="7"/>
  <c r="F34" i="7" s="1"/>
  <c r="H34" i="7" s="1"/>
  <c r="D42" i="7"/>
  <c r="F42" i="7" s="1"/>
  <c r="H42" i="7" s="1"/>
  <c r="C39" i="7"/>
  <c r="E39" i="7" s="1"/>
  <c r="G39" i="7" s="1"/>
  <c r="C42" i="5"/>
  <c r="G42" i="5" s="1"/>
  <c r="J27" i="6"/>
  <c r="J28" i="6"/>
  <c r="C34" i="5"/>
  <c r="G34" i="5" s="1"/>
  <c r="G25" i="5"/>
  <c r="C38" i="5"/>
  <c r="G38" i="5" s="1"/>
  <c r="C36" i="5"/>
  <c r="G36" i="5" s="1"/>
  <c r="C39" i="5"/>
  <c r="G39" i="5" s="1"/>
  <c r="L39" i="5" s="1"/>
  <c r="J43" i="6"/>
  <c r="C30" i="5"/>
  <c r="G30" i="5" s="1"/>
  <c r="C35" i="5"/>
  <c r="G35" i="5" s="1"/>
  <c r="C28" i="8"/>
  <c r="K28" i="8" s="1"/>
  <c r="C40" i="8"/>
  <c r="G40" i="8" s="1"/>
  <c r="C32" i="5"/>
  <c r="G32" i="5" s="1"/>
  <c r="L32" i="5" s="1"/>
  <c r="C29" i="5"/>
  <c r="G29" i="5" s="1"/>
  <c r="L29" i="5" s="1"/>
  <c r="C30" i="8"/>
  <c r="K30" i="8" s="1"/>
  <c r="C31" i="5"/>
  <c r="G31" i="5" s="1"/>
  <c r="C36" i="8"/>
  <c r="G36" i="8" s="1"/>
  <c r="G25" i="8"/>
  <c r="C29" i="8"/>
  <c r="K29" i="8" s="1"/>
  <c r="K43" i="8"/>
  <c r="C28" i="5"/>
  <c r="G28" i="5" s="1"/>
  <c r="C27" i="8"/>
  <c r="G27" i="8" s="1"/>
  <c r="H56" i="8"/>
  <c r="C40" i="5"/>
  <c r="G40" i="5" s="1"/>
  <c r="C37" i="8"/>
  <c r="G37" i="8" s="1"/>
  <c r="C33" i="5"/>
  <c r="G33" i="5" s="1"/>
  <c r="L33" i="5" s="1"/>
  <c r="C31" i="8"/>
  <c r="K31" i="8" s="1"/>
  <c r="C41" i="8"/>
  <c r="G41" i="8" s="1"/>
  <c r="K273" i="8"/>
  <c r="C64" i="6"/>
  <c r="G64" i="6" s="1"/>
  <c r="F56" i="8"/>
  <c r="I56" i="7"/>
  <c r="J56" i="7" s="1"/>
  <c r="V25" i="7" s="1"/>
  <c r="F211" i="8"/>
  <c r="J211" i="8" s="1"/>
  <c r="I180" i="7"/>
  <c r="J180" i="7" s="1"/>
  <c r="Z25" i="7" s="1"/>
  <c r="AH25" i="8"/>
  <c r="AJ25" i="8" s="1"/>
  <c r="L211" i="8"/>
  <c r="F56" i="6"/>
  <c r="AH56" i="8"/>
  <c r="AJ56" i="8" s="1"/>
  <c r="F180" i="6"/>
  <c r="I118" i="7"/>
  <c r="J118" i="7" s="1"/>
  <c r="X25" i="7" s="1"/>
  <c r="G118" i="8"/>
  <c r="K118" i="8"/>
  <c r="AG25" i="8"/>
  <c r="E56" i="5"/>
  <c r="I56" i="5" s="1"/>
  <c r="E56" i="6"/>
  <c r="E56" i="8"/>
  <c r="W118" i="5"/>
  <c r="W25" i="5"/>
  <c r="W56" i="5"/>
  <c r="D70" i="5"/>
  <c r="H70" i="5" s="1"/>
  <c r="D74" i="5"/>
  <c r="H74" i="5" s="1"/>
  <c r="D75" i="5"/>
  <c r="H75" i="5" s="1"/>
  <c r="D69" i="5"/>
  <c r="H69" i="5" s="1"/>
  <c r="D58" i="5"/>
  <c r="H58" i="5" s="1"/>
  <c r="D66" i="5"/>
  <c r="H66" i="5" s="1"/>
  <c r="D65" i="5"/>
  <c r="H65" i="5" s="1"/>
  <c r="D61" i="5"/>
  <c r="H61" i="5" s="1"/>
  <c r="D64" i="5"/>
  <c r="H64" i="5" s="1"/>
  <c r="D68" i="5"/>
  <c r="H68" i="5" s="1"/>
  <c r="D62" i="5"/>
  <c r="H62" i="5" s="1"/>
  <c r="D72" i="5"/>
  <c r="H72" i="5" s="1"/>
  <c r="D63" i="5"/>
  <c r="H63" i="5" s="1"/>
  <c r="D59" i="5"/>
  <c r="H59" i="5" s="1"/>
  <c r="D60" i="5"/>
  <c r="H60" i="5" s="1"/>
  <c r="H55" i="5"/>
  <c r="D71" i="5"/>
  <c r="H71" i="5" s="1"/>
  <c r="D67" i="5"/>
  <c r="H67" i="5" s="1"/>
  <c r="D73" i="5"/>
  <c r="H73" i="5" s="1"/>
  <c r="C194" i="6"/>
  <c r="G180" i="6"/>
  <c r="L118" i="8"/>
  <c r="H118" i="8"/>
  <c r="C63" i="7"/>
  <c r="E63" i="7" s="1"/>
  <c r="G63" i="7" s="1"/>
  <c r="E55" i="7"/>
  <c r="G55" i="7" s="1"/>
  <c r="C61" i="7"/>
  <c r="E61" i="7" s="1"/>
  <c r="G61" i="7" s="1"/>
  <c r="C58" i="7"/>
  <c r="E58" i="7" s="1"/>
  <c r="G58" i="7" s="1"/>
  <c r="C70" i="7"/>
  <c r="E70" i="7" s="1"/>
  <c r="G70" i="7" s="1"/>
  <c r="C64" i="7"/>
  <c r="E64" i="7" s="1"/>
  <c r="G64" i="7" s="1"/>
  <c r="C67" i="7"/>
  <c r="E67" i="7" s="1"/>
  <c r="G67" i="7" s="1"/>
  <c r="C60" i="7"/>
  <c r="E60" i="7" s="1"/>
  <c r="G60" i="7" s="1"/>
  <c r="C66" i="7"/>
  <c r="E66" i="7" s="1"/>
  <c r="G66" i="7" s="1"/>
  <c r="C73" i="7"/>
  <c r="E73" i="7" s="1"/>
  <c r="G73" i="7" s="1"/>
  <c r="C71" i="7"/>
  <c r="E71" i="7" s="1"/>
  <c r="G71" i="7" s="1"/>
  <c r="C75" i="7"/>
  <c r="E75" i="7" s="1"/>
  <c r="G75" i="7" s="1"/>
  <c r="C62" i="7"/>
  <c r="E62" i="7" s="1"/>
  <c r="G62" i="7" s="1"/>
  <c r="C59" i="7"/>
  <c r="E59" i="7" s="1"/>
  <c r="G59" i="7" s="1"/>
  <c r="C68" i="7"/>
  <c r="E68" i="7" s="1"/>
  <c r="G68" i="7" s="1"/>
  <c r="C65" i="7"/>
  <c r="E65" i="7" s="1"/>
  <c r="G65" i="7" s="1"/>
  <c r="C74" i="7"/>
  <c r="E74" i="7" s="1"/>
  <c r="G74" i="7" s="1"/>
  <c r="C69" i="7"/>
  <c r="E69" i="7" s="1"/>
  <c r="G69" i="7" s="1"/>
  <c r="C72" i="7"/>
  <c r="E72" i="7" s="1"/>
  <c r="G72" i="7" s="1"/>
  <c r="Y56" i="5"/>
  <c r="S56" i="5"/>
  <c r="F55" i="7"/>
  <c r="H55" i="7" s="1"/>
  <c r="D62" i="7"/>
  <c r="F62" i="7" s="1"/>
  <c r="H62" i="7" s="1"/>
  <c r="D58" i="7"/>
  <c r="F58" i="7" s="1"/>
  <c r="H58" i="7" s="1"/>
  <c r="D63" i="7"/>
  <c r="F63" i="7" s="1"/>
  <c r="H63" i="7" s="1"/>
  <c r="D66" i="7"/>
  <c r="F66" i="7" s="1"/>
  <c r="H66" i="7" s="1"/>
  <c r="D71" i="7"/>
  <c r="F71" i="7" s="1"/>
  <c r="H71" i="7" s="1"/>
  <c r="D73" i="7"/>
  <c r="F73" i="7" s="1"/>
  <c r="H73" i="7" s="1"/>
  <c r="D72" i="7"/>
  <c r="F72" i="7" s="1"/>
  <c r="H72" i="7" s="1"/>
  <c r="D70" i="7"/>
  <c r="F70" i="7" s="1"/>
  <c r="H70" i="7" s="1"/>
  <c r="D61" i="7"/>
  <c r="F61" i="7" s="1"/>
  <c r="H61" i="7" s="1"/>
  <c r="D67" i="7"/>
  <c r="F67" i="7" s="1"/>
  <c r="H67" i="7" s="1"/>
  <c r="D64" i="7"/>
  <c r="F64" i="7" s="1"/>
  <c r="H64" i="7" s="1"/>
  <c r="D60" i="7"/>
  <c r="F60" i="7" s="1"/>
  <c r="H60" i="7" s="1"/>
  <c r="D75" i="7"/>
  <c r="F75" i="7" s="1"/>
  <c r="H75" i="7" s="1"/>
  <c r="D68" i="7"/>
  <c r="F68" i="7" s="1"/>
  <c r="H68" i="7" s="1"/>
  <c r="D65" i="7"/>
  <c r="F65" i="7" s="1"/>
  <c r="H65" i="7" s="1"/>
  <c r="D74" i="7"/>
  <c r="F74" i="7" s="1"/>
  <c r="H74" i="7" s="1"/>
  <c r="D69" i="7"/>
  <c r="F69" i="7" s="1"/>
  <c r="H69" i="7" s="1"/>
  <c r="D59" i="7"/>
  <c r="F59" i="7" s="1"/>
  <c r="H59" i="7" s="1"/>
  <c r="G211" i="8"/>
  <c r="K211" i="8"/>
  <c r="G55" i="6"/>
  <c r="C61" i="6"/>
  <c r="G61" i="6" s="1"/>
  <c r="C72" i="6"/>
  <c r="G72" i="6" s="1"/>
  <c r="C65" i="6"/>
  <c r="G65" i="6" s="1"/>
  <c r="C75" i="6"/>
  <c r="G75" i="6" s="1"/>
  <c r="C58" i="6"/>
  <c r="G58" i="6" s="1"/>
  <c r="C59" i="6"/>
  <c r="G59" i="6" s="1"/>
  <c r="C67" i="6"/>
  <c r="G67" i="6" s="1"/>
  <c r="C69" i="6"/>
  <c r="G69" i="6" s="1"/>
  <c r="C74" i="6"/>
  <c r="G74" i="6" s="1"/>
  <c r="C62" i="6"/>
  <c r="G62" i="6" s="1"/>
  <c r="C66" i="6"/>
  <c r="G66" i="6" s="1"/>
  <c r="C73" i="6"/>
  <c r="G73" i="6" s="1"/>
  <c r="C71" i="6"/>
  <c r="G71" i="6" s="1"/>
  <c r="C70" i="6"/>
  <c r="G70" i="6" s="1"/>
  <c r="C68" i="6"/>
  <c r="G68" i="6" s="1"/>
  <c r="C63" i="6"/>
  <c r="G63" i="6" s="1"/>
  <c r="C60" i="6"/>
  <c r="G60" i="6" s="1"/>
  <c r="H272" i="5"/>
  <c r="D292" i="5"/>
  <c r="H292" i="5" s="1"/>
  <c r="D285" i="5"/>
  <c r="H285" i="5" s="1"/>
  <c r="D283" i="5"/>
  <c r="H283" i="5" s="1"/>
  <c r="D281" i="5"/>
  <c r="H281" i="5" s="1"/>
  <c r="D291" i="5"/>
  <c r="H291" i="5" s="1"/>
  <c r="D275" i="5"/>
  <c r="H275" i="5" s="1"/>
  <c r="D277" i="5"/>
  <c r="H277" i="5" s="1"/>
  <c r="D288" i="5"/>
  <c r="H288" i="5" s="1"/>
  <c r="D286" i="5"/>
  <c r="H286" i="5" s="1"/>
  <c r="D276" i="5"/>
  <c r="H276" i="5" s="1"/>
  <c r="D280" i="5"/>
  <c r="H280" i="5" s="1"/>
  <c r="D289" i="5"/>
  <c r="H289" i="5" s="1"/>
  <c r="D284" i="5"/>
  <c r="H284" i="5" s="1"/>
  <c r="D290" i="5"/>
  <c r="H290" i="5" s="1"/>
  <c r="D278" i="5"/>
  <c r="H278" i="5" s="1"/>
  <c r="D279" i="5"/>
  <c r="H279" i="5" s="1"/>
  <c r="D282" i="5"/>
  <c r="H282" i="5" s="1"/>
  <c r="D287" i="5"/>
  <c r="H287" i="5" s="1"/>
  <c r="Q28" i="5"/>
  <c r="Q33" i="5"/>
  <c r="Q32" i="5"/>
  <c r="Q40" i="5"/>
  <c r="Q36" i="5"/>
  <c r="Q39" i="5"/>
  <c r="Q30" i="5"/>
  <c r="Q34" i="5"/>
  <c r="Q38" i="5"/>
  <c r="Q29" i="5"/>
  <c r="Q31" i="5"/>
  <c r="Q35" i="5"/>
  <c r="Q44" i="5"/>
  <c r="Q37" i="5"/>
  <c r="Q42" i="5"/>
  <c r="Q27" i="5"/>
  <c r="Q43" i="5"/>
  <c r="Q41" i="5"/>
  <c r="W24" i="5"/>
  <c r="H55" i="8"/>
  <c r="D64" i="8"/>
  <c r="D72" i="8"/>
  <c r="D66" i="8"/>
  <c r="D58" i="8"/>
  <c r="D59" i="8"/>
  <c r="D70" i="8"/>
  <c r="D62" i="8"/>
  <c r="D68" i="8"/>
  <c r="D75" i="8"/>
  <c r="D63" i="8"/>
  <c r="D60" i="8"/>
  <c r="D73" i="8"/>
  <c r="L55" i="8"/>
  <c r="D74" i="8"/>
  <c r="D67" i="8"/>
  <c r="D61" i="8"/>
  <c r="D69" i="8"/>
  <c r="D65" i="8"/>
  <c r="D71" i="8"/>
  <c r="L272" i="8"/>
  <c r="D289" i="8"/>
  <c r="D285" i="8"/>
  <c r="D292" i="8"/>
  <c r="D280" i="8"/>
  <c r="D286" i="8"/>
  <c r="H272" i="8"/>
  <c r="D275" i="8"/>
  <c r="D278" i="8"/>
  <c r="D283" i="8"/>
  <c r="D277" i="8"/>
  <c r="D291" i="8"/>
  <c r="D281" i="8"/>
  <c r="D276" i="8"/>
  <c r="D288" i="8"/>
  <c r="D287" i="8"/>
  <c r="D282" i="8"/>
  <c r="D284" i="8"/>
  <c r="D290" i="8"/>
  <c r="D279" i="8"/>
  <c r="H210" i="5"/>
  <c r="D223" i="5"/>
  <c r="H223" i="5" s="1"/>
  <c r="D226" i="5"/>
  <c r="H226" i="5" s="1"/>
  <c r="D229" i="5"/>
  <c r="H229" i="5" s="1"/>
  <c r="D222" i="5"/>
  <c r="H222" i="5" s="1"/>
  <c r="D221" i="5"/>
  <c r="H221" i="5" s="1"/>
  <c r="D228" i="5"/>
  <c r="H228" i="5" s="1"/>
  <c r="D230" i="5"/>
  <c r="H230" i="5" s="1"/>
  <c r="D217" i="5"/>
  <c r="H217" i="5" s="1"/>
  <c r="D214" i="5"/>
  <c r="H214" i="5" s="1"/>
  <c r="D219" i="5"/>
  <c r="H219" i="5" s="1"/>
  <c r="D218" i="5"/>
  <c r="H218" i="5" s="1"/>
  <c r="D216" i="5"/>
  <c r="H216" i="5" s="1"/>
  <c r="D225" i="5"/>
  <c r="H225" i="5" s="1"/>
  <c r="D213" i="5"/>
  <c r="H213" i="5" s="1"/>
  <c r="D227" i="5"/>
  <c r="H227" i="5" s="1"/>
  <c r="D220" i="5"/>
  <c r="H220" i="5" s="1"/>
  <c r="D224" i="5"/>
  <c r="H224" i="5" s="1"/>
  <c r="D215" i="5"/>
  <c r="H215" i="5" s="1"/>
  <c r="S25" i="5"/>
  <c r="Y25" i="5"/>
  <c r="W86" i="5"/>
  <c r="Q101" i="5"/>
  <c r="Q103" i="5"/>
  <c r="Q92" i="5"/>
  <c r="Q89" i="5"/>
  <c r="Q106" i="5"/>
  <c r="Q100" i="5"/>
  <c r="Q104" i="5"/>
  <c r="Q93" i="5"/>
  <c r="Q105" i="5"/>
  <c r="Q99" i="5"/>
  <c r="Q90" i="5"/>
  <c r="Q97" i="5"/>
  <c r="Q94" i="5"/>
  <c r="Q98" i="5"/>
  <c r="Q91" i="5"/>
  <c r="Q102" i="5"/>
  <c r="Q96" i="5"/>
  <c r="Q95" i="5"/>
  <c r="C199" i="6"/>
  <c r="G199" i="6" s="1"/>
  <c r="G179" i="6"/>
  <c r="C195" i="6"/>
  <c r="C186" i="6"/>
  <c r="C188" i="6"/>
  <c r="G188" i="6" s="1"/>
  <c r="C189" i="6"/>
  <c r="C193" i="6"/>
  <c r="G193" i="6" s="1"/>
  <c r="C183" i="6"/>
  <c r="G183" i="6" s="1"/>
  <c r="C196" i="6"/>
  <c r="G196" i="6" s="1"/>
  <c r="C185" i="6"/>
  <c r="G185" i="6" s="1"/>
  <c r="C190" i="6"/>
  <c r="C198" i="6"/>
  <c r="C187" i="6"/>
  <c r="G187" i="6" s="1"/>
  <c r="C184" i="6"/>
  <c r="C182" i="6"/>
  <c r="G182" i="6" s="1"/>
  <c r="C191" i="6"/>
  <c r="G191" i="6" s="1"/>
  <c r="C197" i="6"/>
  <c r="G197" i="6" s="1"/>
  <c r="C192" i="6"/>
  <c r="G192" i="6" s="1"/>
  <c r="H55" i="6"/>
  <c r="D69" i="6"/>
  <c r="H69" i="6" s="1"/>
  <c r="D61" i="6"/>
  <c r="H61" i="6" s="1"/>
  <c r="D71" i="6"/>
  <c r="H71" i="6" s="1"/>
  <c r="D62" i="6"/>
  <c r="H62" i="6" s="1"/>
  <c r="D68" i="6"/>
  <c r="H68" i="6" s="1"/>
  <c r="D59" i="6"/>
  <c r="H59" i="6" s="1"/>
  <c r="D66" i="6"/>
  <c r="H66" i="6" s="1"/>
  <c r="D60" i="6"/>
  <c r="H60" i="6" s="1"/>
  <c r="D67" i="6"/>
  <c r="H67" i="6" s="1"/>
  <c r="D74" i="6"/>
  <c r="H74" i="6" s="1"/>
  <c r="D58" i="6"/>
  <c r="H58" i="6" s="1"/>
  <c r="D64" i="6"/>
  <c r="H64" i="6" s="1"/>
  <c r="D73" i="6"/>
  <c r="H73" i="6" s="1"/>
  <c r="D72" i="6"/>
  <c r="H72" i="6" s="1"/>
  <c r="D65" i="6"/>
  <c r="H65" i="6" s="1"/>
  <c r="D63" i="6"/>
  <c r="H63" i="6" s="1"/>
  <c r="D70" i="6"/>
  <c r="H70" i="6" s="1"/>
  <c r="D75" i="6"/>
  <c r="H75" i="6" s="1"/>
  <c r="J118" i="6"/>
  <c r="E241" i="7"/>
  <c r="G241" i="7" s="1"/>
  <c r="C261" i="7"/>
  <c r="E261" i="7" s="1"/>
  <c r="G261" i="7" s="1"/>
  <c r="C255" i="7"/>
  <c r="E255" i="7" s="1"/>
  <c r="G255" i="7" s="1"/>
  <c r="C253" i="7"/>
  <c r="E253" i="7" s="1"/>
  <c r="G253" i="7" s="1"/>
  <c r="C252" i="7"/>
  <c r="E252" i="7" s="1"/>
  <c r="G252" i="7" s="1"/>
  <c r="C251" i="7"/>
  <c r="E251" i="7" s="1"/>
  <c r="G251" i="7" s="1"/>
  <c r="C256" i="7"/>
  <c r="E256" i="7" s="1"/>
  <c r="G256" i="7" s="1"/>
  <c r="C258" i="7"/>
  <c r="E258" i="7" s="1"/>
  <c r="G258" i="7" s="1"/>
  <c r="C260" i="7"/>
  <c r="E260" i="7" s="1"/>
  <c r="G260" i="7" s="1"/>
  <c r="C254" i="7"/>
  <c r="E254" i="7" s="1"/>
  <c r="G254" i="7" s="1"/>
  <c r="C257" i="7"/>
  <c r="E257" i="7" s="1"/>
  <c r="G257" i="7" s="1"/>
  <c r="C247" i="7"/>
  <c r="E247" i="7" s="1"/>
  <c r="G247" i="7" s="1"/>
  <c r="C244" i="7"/>
  <c r="E244" i="7" s="1"/>
  <c r="G244" i="7" s="1"/>
  <c r="C250" i="7"/>
  <c r="E250" i="7" s="1"/>
  <c r="G250" i="7" s="1"/>
  <c r="C246" i="7"/>
  <c r="E246" i="7" s="1"/>
  <c r="G246" i="7" s="1"/>
  <c r="C249" i="7"/>
  <c r="E249" i="7" s="1"/>
  <c r="G249" i="7" s="1"/>
  <c r="C248" i="7"/>
  <c r="E248" i="7" s="1"/>
  <c r="G248" i="7" s="1"/>
  <c r="C259" i="7"/>
  <c r="E259" i="7" s="1"/>
  <c r="G259" i="7" s="1"/>
  <c r="C245" i="7"/>
  <c r="E245" i="7" s="1"/>
  <c r="G245" i="7" s="1"/>
  <c r="D246" i="6"/>
  <c r="D247" i="6"/>
  <c r="D245" i="6"/>
  <c r="D250" i="6"/>
  <c r="H250" i="6" s="1"/>
  <c r="D255" i="6"/>
  <c r="D248" i="6"/>
  <c r="H248" i="6" s="1"/>
  <c r="D259" i="6"/>
  <c r="D260" i="6"/>
  <c r="D252" i="6"/>
  <c r="D261" i="6"/>
  <c r="D253" i="6"/>
  <c r="D244" i="6"/>
  <c r="H244" i="6" s="1"/>
  <c r="D258" i="6"/>
  <c r="D256" i="6"/>
  <c r="H256" i="6" s="1"/>
  <c r="H241" i="6"/>
  <c r="D257" i="6"/>
  <c r="D254" i="6"/>
  <c r="D251" i="6"/>
  <c r="D249" i="6"/>
  <c r="H179" i="6"/>
  <c r="D185" i="6"/>
  <c r="D189" i="6"/>
  <c r="H189" i="6" s="1"/>
  <c r="D187" i="6"/>
  <c r="D192" i="6"/>
  <c r="D184" i="6"/>
  <c r="D197" i="6"/>
  <c r="D183" i="6"/>
  <c r="D196" i="6"/>
  <c r="H196" i="6" s="1"/>
  <c r="D198" i="6"/>
  <c r="D186" i="6"/>
  <c r="H186" i="6" s="1"/>
  <c r="D188" i="6"/>
  <c r="D195" i="6"/>
  <c r="D193" i="6"/>
  <c r="D190" i="6"/>
  <c r="D182" i="6"/>
  <c r="D191" i="6"/>
  <c r="H191" i="6" s="1"/>
  <c r="D194" i="6"/>
  <c r="D199" i="6"/>
  <c r="H199" i="6" s="1"/>
  <c r="Q133" i="5"/>
  <c r="Q135" i="5"/>
  <c r="Q128" i="5"/>
  <c r="Q120" i="5"/>
  <c r="Q137" i="5"/>
  <c r="Q134" i="5"/>
  <c r="Q129" i="5"/>
  <c r="Q132" i="5"/>
  <c r="Q125" i="5"/>
  <c r="Q131" i="5"/>
  <c r="Q127" i="5"/>
  <c r="Q130" i="5"/>
  <c r="Q124" i="5"/>
  <c r="Q122" i="5"/>
  <c r="W117" i="5"/>
  <c r="Q126" i="5"/>
  <c r="Q121" i="5"/>
  <c r="Q136" i="5"/>
  <c r="Q123" i="5"/>
  <c r="S118" i="5"/>
  <c r="Y118" i="5"/>
  <c r="H117" i="8"/>
  <c r="L117" i="8"/>
  <c r="D136" i="8"/>
  <c r="D124" i="8"/>
  <c r="D121" i="8"/>
  <c r="D123" i="8"/>
  <c r="D125" i="8"/>
  <c r="D127" i="8"/>
  <c r="D131" i="8"/>
  <c r="D134" i="8"/>
  <c r="D128" i="8"/>
  <c r="D135" i="8"/>
  <c r="D137" i="8"/>
  <c r="D122" i="8"/>
  <c r="D120" i="8"/>
  <c r="D132" i="8"/>
  <c r="D126" i="8"/>
  <c r="D133" i="8"/>
  <c r="D129" i="8"/>
  <c r="D130" i="8"/>
  <c r="C133" i="8"/>
  <c r="C136" i="8"/>
  <c r="C135" i="8"/>
  <c r="C127" i="8"/>
  <c r="C123" i="8"/>
  <c r="C131" i="8"/>
  <c r="C137" i="8"/>
  <c r="C128" i="8"/>
  <c r="C129" i="8"/>
  <c r="C124" i="8"/>
  <c r="G117" i="8"/>
  <c r="C120" i="8"/>
  <c r="C126" i="8"/>
  <c r="C121" i="8"/>
  <c r="K117" i="8"/>
  <c r="C125" i="8"/>
  <c r="C132" i="8"/>
  <c r="C122" i="8"/>
  <c r="C134" i="8"/>
  <c r="C130" i="8"/>
  <c r="C217" i="8"/>
  <c r="C230" i="8"/>
  <c r="C216" i="8"/>
  <c r="C218" i="8"/>
  <c r="C219" i="8"/>
  <c r="K210" i="8"/>
  <c r="C213" i="8"/>
  <c r="C224" i="8"/>
  <c r="C226" i="8"/>
  <c r="C221" i="8"/>
  <c r="C214" i="8"/>
  <c r="C228" i="8"/>
  <c r="C215" i="8"/>
  <c r="C225" i="8"/>
  <c r="C229" i="8"/>
  <c r="C220" i="8"/>
  <c r="C223" i="8"/>
  <c r="G210" i="8"/>
  <c r="C222" i="8"/>
  <c r="C227" i="8"/>
  <c r="F55" i="6"/>
  <c r="F55" i="5"/>
  <c r="AH24" i="8"/>
  <c r="F55" i="8"/>
  <c r="C283" i="5"/>
  <c r="G283" i="5" s="1"/>
  <c r="C290" i="5"/>
  <c r="G290" i="5" s="1"/>
  <c r="G272" i="5"/>
  <c r="C292" i="5"/>
  <c r="G292" i="5" s="1"/>
  <c r="C280" i="5"/>
  <c r="G280" i="5" s="1"/>
  <c r="C289" i="5"/>
  <c r="G289" i="5" s="1"/>
  <c r="C276" i="5"/>
  <c r="G276" i="5" s="1"/>
  <c r="C288" i="5"/>
  <c r="G288" i="5" s="1"/>
  <c r="C275" i="5"/>
  <c r="G275" i="5" s="1"/>
  <c r="C282" i="5"/>
  <c r="G282" i="5" s="1"/>
  <c r="C278" i="5"/>
  <c r="G278" i="5" s="1"/>
  <c r="C287" i="5"/>
  <c r="G287" i="5" s="1"/>
  <c r="C286" i="5"/>
  <c r="G286" i="5" s="1"/>
  <c r="C277" i="5"/>
  <c r="G277" i="5" s="1"/>
  <c r="C285" i="5"/>
  <c r="G285" i="5" s="1"/>
  <c r="C284" i="5"/>
  <c r="G284" i="5" s="1"/>
  <c r="C281" i="5"/>
  <c r="G281" i="5" s="1"/>
  <c r="C279" i="5"/>
  <c r="G279" i="5" s="1"/>
  <c r="C291" i="5"/>
  <c r="G291" i="5" s="1"/>
  <c r="L210" i="8"/>
  <c r="D213" i="8"/>
  <c r="D216" i="8"/>
  <c r="D220" i="8"/>
  <c r="D225" i="8"/>
  <c r="D218" i="8"/>
  <c r="D217" i="8"/>
  <c r="D224" i="8"/>
  <c r="D228" i="8"/>
  <c r="D219" i="8"/>
  <c r="D221" i="8"/>
  <c r="D229" i="8"/>
  <c r="D223" i="8"/>
  <c r="H210" i="8"/>
  <c r="D215" i="8"/>
  <c r="D230" i="8"/>
  <c r="D222" i="8"/>
  <c r="D226" i="8"/>
  <c r="D214" i="8"/>
  <c r="D227" i="8"/>
  <c r="R100" i="5"/>
  <c r="R91" i="5"/>
  <c r="R92" i="5"/>
  <c r="R90" i="5"/>
  <c r="R93" i="5"/>
  <c r="R97" i="5"/>
  <c r="R101" i="5"/>
  <c r="Y86" i="5"/>
  <c r="R94" i="5"/>
  <c r="R99" i="5"/>
  <c r="R104" i="5"/>
  <c r="R103" i="5"/>
  <c r="S86" i="5"/>
  <c r="R105" i="5"/>
  <c r="R106" i="5"/>
  <c r="R102" i="5"/>
  <c r="R95" i="5"/>
  <c r="R98" i="5"/>
  <c r="R89" i="5"/>
  <c r="R96" i="5"/>
  <c r="R124" i="5"/>
  <c r="R133" i="5"/>
  <c r="R125" i="5"/>
  <c r="R129" i="5"/>
  <c r="R132" i="5"/>
  <c r="R128" i="5"/>
  <c r="R126" i="5"/>
  <c r="Y117" i="5"/>
  <c r="S117" i="5"/>
  <c r="R123" i="5"/>
  <c r="R130" i="5"/>
  <c r="R137" i="5"/>
  <c r="R127" i="5"/>
  <c r="R121" i="5"/>
  <c r="R134" i="5"/>
  <c r="R135" i="5"/>
  <c r="R136" i="5"/>
  <c r="R122" i="5"/>
  <c r="R120" i="5"/>
  <c r="R131" i="5"/>
  <c r="D135" i="5"/>
  <c r="H135" i="5" s="1"/>
  <c r="D132" i="5"/>
  <c r="H132" i="5" s="1"/>
  <c r="D131" i="5"/>
  <c r="H131" i="5" s="1"/>
  <c r="D123" i="5"/>
  <c r="H123" i="5" s="1"/>
  <c r="D137" i="5"/>
  <c r="H137" i="5" s="1"/>
  <c r="D126" i="5"/>
  <c r="H126" i="5" s="1"/>
  <c r="H117" i="5"/>
  <c r="D130" i="5"/>
  <c r="H130" i="5" s="1"/>
  <c r="D121" i="5"/>
  <c r="H121" i="5" s="1"/>
  <c r="D129" i="5"/>
  <c r="H129" i="5" s="1"/>
  <c r="D124" i="5"/>
  <c r="H124" i="5" s="1"/>
  <c r="D120" i="5"/>
  <c r="H120" i="5" s="1"/>
  <c r="D127" i="5"/>
  <c r="H127" i="5" s="1"/>
  <c r="D122" i="5"/>
  <c r="H122" i="5" s="1"/>
  <c r="D125" i="5"/>
  <c r="H125" i="5" s="1"/>
  <c r="D136" i="5"/>
  <c r="H136" i="5" s="1"/>
  <c r="D134" i="5"/>
  <c r="H134" i="5" s="1"/>
  <c r="D133" i="5"/>
  <c r="H133" i="5" s="1"/>
  <c r="D128" i="5"/>
  <c r="H128" i="5" s="1"/>
  <c r="G117" i="5"/>
  <c r="C123" i="5"/>
  <c r="G123" i="5" s="1"/>
  <c r="C132" i="5"/>
  <c r="G132" i="5" s="1"/>
  <c r="C127" i="5"/>
  <c r="G127" i="5" s="1"/>
  <c r="C135" i="5"/>
  <c r="G135" i="5" s="1"/>
  <c r="C126" i="5"/>
  <c r="G126" i="5" s="1"/>
  <c r="C130" i="5"/>
  <c r="G130" i="5" s="1"/>
  <c r="C128" i="5"/>
  <c r="G128" i="5" s="1"/>
  <c r="C134" i="5"/>
  <c r="G134" i="5" s="1"/>
  <c r="C122" i="5"/>
  <c r="G122" i="5" s="1"/>
  <c r="C120" i="5"/>
  <c r="G120" i="5" s="1"/>
  <c r="C137" i="5"/>
  <c r="G137" i="5" s="1"/>
  <c r="C124" i="5"/>
  <c r="G124" i="5" s="1"/>
  <c r="C129" i="5"/>
  <c r="G129" i="5" s="1"/>
  <c r="C121" i="5"/>
  <c r="G121" i="5" s="1"/>
  <c r="C125" i="5"/>
  <c r="G125" i="5" s="1"/>
  <c r="C131" i="5"/>
  <c r="G131" i="5" s="1"/>
  <c r="C136" i="5"/>
  <c r="G136" i="5" s="1"/>
  <c r="C133" i="5"/>
  <c r="G133" i="5" s="1"/>
  <c r="E179" i="6"/>
  <c r="E210" i="8"/>
  <c r="AG55" i="8"/>
  <c r="E210" i="5"/>
  <c r="AG56" i="8"/>
  <c r="E211" i="5"/>
  <c r="I211" i="5" s="1"/>
  <c r="E180" i="6"/>
  <c r="E211" i="8"/>
  <c r="E55" i="5"/>
  <c r="E55" i="8"/>
  <c r="AG24" i="8"/>
  <c r="E55" i="6"/>
  <c r="G272" i="8"/>
  <c r="K272" i="8"/>
  <c r="C289" i="8"/>
  <c r="C280" i="8"/>
  <c r="C287" i="8"/>
  <c r="C282" i="8"/>
  <c r="C284" i="8"/>
  <c r="C286" i="8"/>
  <c r="C290" i="8"/>
  <c r="C285" i="8"/>
  <c r="C278" i="8"/>
  <c r="C291" i="8"/>
  <c r="C279" i="8"/>
  <c r="C277" i="8"/>
  <c r="C283" i="8"/>
  <c r="C275" i="8"/>
  <c r="C292" i="8"/>
  <c r="C276" i="8"/>
  <c r="C288" i="8"/>
  <c r="C281" i="8"/>
  <c r="AH55" i="8"/>
  <c r="F179" i="6"/>
  <c r="F210" i="5"/>
  <c r="F210" i="8"/>
  <c r="Y87" i="5"/>
  <c r="S87" i="5"/>
  <c r="H117" i="6"/>
  <c r="D133" i="6"/>
  <c r="H133" i="6" s="1"/>
  <c r="D135" i="6"/>
  <c r="H135" i="6" s="1"/>
  <c r="D137" i="6"/>
  <c r="H137" i="6" s="1"/>
  <c r="D130" i="6"/>
  <c r="H130" i="6" s="1"/>
  <c r="D127" i="6"/>
  <c r="H127" i="6" s="1"/>
  <c r="D132" i="6"/>
  <c r="H132" i="6" s="1"/>
  <c r="D131" i="6"/>
  <c r="H131" i="6" s="1"/>
  <c r="D124" i="6"/>
  <c r="H124" i="6" s="1"/>
  <c r="D129" i="6"/>
  <c r="H129" i="6" s="1"/>
  <c r="D125" i="6"/>
  <c r="H125" i="6" s="1"/>
  <c r="D122" i="6"/>
  <c r="H122" i="6" s="1"/>
  <c r="D126" i="6"/>
  <c r="H126" i="6" s="1"/>
  <c r="D136" i="6"/>
  <c r="H136" i="6" s="1"/>
  <c r="D128" i="6"/>
  <c r="H128" i="6" s="1"/>
  <c r="D121" i="6"/>
  <c r="H121" i="6" s="1"/>
  <c r="D120" i="6"/>
  <c r="H120" i="6" s="1"/>
  <c r="D134" i="6"/>
  <c r="H134" i="6" s="1"/>
  <c r="D123" i="6"/>
  <c r="H123" i="6" s="1"/>
  <c r="E117" i="7"/>
  <c r="G117" i="7" s="1"/>
  <c r="C137" i="7"/>
  <c r="E137" i="7" s="1"/>
  <c r="G137" i="7" s="1"/>
  <c r="C125" i="7"/>
  <c r="E125" i="7" s="1"/>
  <c r="G125" i="7" s="1"/>
  <c r="C130" i="7"/>
  <c r="E130" i="7" s="1"/>
  <c r="G130" i="7" s="1"/>
  <c r="C121" i="7"/>
  <c r="E121" i="7" s="1"/>
  <c r="G121" i="7" s="1"/>
  <c r="C135" i="7"/>
  <c r="E135" i="7" s="1"/>
  <c r="G135" i="7" s="1"/>
  <c r="C123" i="7"/>
  <c r="E123" i="7" s="1"/>
  <c r="G123" i="7" s="1"/>
  <c r="C126" i="7"/>
  <c r="E126" i="7" s="1"/>
  <c r="G126" i="7" s="1"/>
  <c r="C136" i="7"/>
  <c r="E136" i="7" s="1"/>
  <c r="G136" i="7" s="1"/>
  <c r="C127" i="7"/>
  <c r="E127" i="7" s="1"/>
  <c r="G127" i="7" s="1"/>
  <c r="C131" i="7"/>
  <c r="E131" i="7" s="1"/>
  <c r="G131" i="7" s="1"/>
  <c r="C124" i="7"/>
  <c r="E124" i="7" s="1"/>
  <c r="G124" i="7" s="1"/>
  <c r="C120" i="7"/>
  <c r="E120" i="7" s="1"/>
  <c r="G120" i="7" s="1"/>
  <c r="C128" i="7"/>
  <c r="E128" i="7" s="1"/>
  <c r="G128" i="7" s="1"/>
  <c r="C122" i="7"/>
  <c r="E122" i="7" s="1"/>
  <c r="G122" i="7" s="1"/>
  <c r="C133" i="7"/>
  <c r="E133" i="7" s="1"/>
  <c r="G133" i="7" s="1"/>
  <c r="C134" i="7"/>
  <c r="E134" i="7" s="1"/>
  <c r="G134" i="7" s="1"/>
  <c r="C129" i="7"/>
  <c r="E129" i="7" s="1"/>
  <c r="G129" i="7" s="1"/>
  <c r="C132" i="7"/>
  <c r="E132" i="7" s="1"/>
  <c r="G132" i="7" s="1"/>
  <c r="E179" i="7"/>
  <c r="G179" i="7" s="1"/>
  <c r="C190" i="7"/>
  <c r="E190" i="7" s="1"/>
  <c r="G190" i="7" s="1"/>
  <c r="C186" i="7"/>
  <c r="E186" i="7" s="1"/>
  <c r="G186" i="7" s="1"/>
  <c r="C199" i="7"/>
  <c r="E199" i="7" s="1"/>
  <c r="G199" i="7" s="1"/>
  <c r="C191" i="7"/>
  <c r="E191" i="7" s="1"/>
  <c r="G191" i="7" s="1"/>
  <c r="C187" i="7"/>
  <c r="E187" i="7" s="1"/>
  <c r="G187" i="7" s="1"/>
  <c r="C197" i="7"/>
  <c r="E197" i="7" s="1"/>
  <c r="G197" i="7" s="1"/>
  <c r="C196" i="7"/>
  <c r="E196" i="7" s="1"/>
  <c r="G196" i="7" s="1"/>
  <c r="C194" i="7"/>
  <c r="E194" i="7" s="1"/>
  <c r="G194" i="7" s="1"/>
  <c r="C195" i="7"/>
  <c r="E195" i="7" s="1"/>
  <c r="G195" i="7" s="1"/>
  <c r="C182" i="7"/>
  <c r="E182" i="7" s="1"/>
  <c r="G182" i="7" s="1"/>
  <c r="C188" i="7"/>
  <c r="E188" i="7" s="1"/>
  <c r="G188" i="7" s="1"/>
  <c r="C184" i="7"/>
  <c r="E184" i="7" s="1"/>
  <c r="G184" i="7" s="1"/>
  <c r="C185" i="7"/>
  <c r="E185" i="7" s="1"/>
  <c r="G185" i="7" s="1"/>
  <c r="C189" i="7"/>
  <c r="E189" i="7" s="1"/>
  <c r="G189" i="7" s="1"/>
  <c r="C198" i="7"/>
  <c r="E198" i="7" s="1"/>
  <c r="G198" i="7" s="1"/>
  <c r="C192" i="7"/>
  <c r="E192" i="7" s="1"/>
  <c r="G192" i="7" s="1"/>
  <c r="C183" i="7"/>
  <c r="E183" i="7" s="1"/>
  <c r="G183" i="7" s="1"/>
  <c r="C193" i="7"/>
  <c r="E193" i="7" s="1"/>
  <c r="G193" i="7" s="1"/>
  <c r="C219" i="5"/>
  <c r="G219" i="5" s="1"/>
  <c r="G211" i="5"/>
  <c r="C67" i="8"/>
  <c r="C70" i="8"/>
  <c r="C59" i="8"/>
  <c r="C75" i="8"/>
  <c r="C68" i="8"/>
  <c r="C64" i="8"/>
  <c r="C69" i="8"/>
  <c r="C60" i="8"/>
  <c r="C63" i="8"/>
  <c r="C66" i="8"/>
  <c r="C74" i="8"/>
  <c r="G55" i="8"/>
  <c r="K55" i="8"/>
  <c r="C65" i="8"/>
  <c r="C58" i="8"/>
  <c r="C61" i="8"/>
  <c r="C73" i="8"/>
  <c r="C71" i="8"/>
  <c r="C62" i="8"/>
  <c r="C72" i="8"/>
  <c r="G241" i="6"/>
  <c r="C260" i="6"/>
  <c r="C252" i="6"/>
  <c r="C257" i="6"/>
  <c r="C247" i="6"/>
  <c r="C250" i="6"/>
  <c r="C261" i="6"/>
  <c r="C245" i="6"/>
  <c r="C254" i="6"/>
  <c r="G254" i="6" s="1"/>
  <c r="C259" i="6"/>
  <c r="C249" i="6"/>
  <c r="C248" i="6"/>
  <c r="C258" i="6"/>
  <c r="C253" i="6"/>
  <c r="C251" i="6"/>
  <c r="C255" i="6"/>
  <c r="C256" i="6"/>
  <c r="G256" i="6" s="1"/>
  <c r="C246" i="6"/>
  <c r="C244" i="6"/>
  <c r="F179" i="7"/>
  <c r="H179" i="7" s="1"/>
  <c r="D195" i="7"/>
  <c r="F195" i="7" s="1"/>
  <c r="H195" i="7" s="1"/>
  <c r="D183" i="7"/>
  <c r="F183" i="7" s="1"/>
  <c r="H183" i="7" s="1"/>
  <c r="D192" i="7"/>
  <c r="F192" i="7" s="1"/>
  <c r="H192" i="7" s="1"/>
  <c r="D199" i="7"/>
  <c r="F199" i="7" s="1"/>
  <c r="H199" i="7" s="1"/>
  <c r="D188" i="7"/>
  <c r="F188" i="7" s="1"/>
  <c r="H188" i="7" s="1"/>
  <c r="D189" i="7"/>
  <c r="F189" i="7" s="1"/>
  <c r="H189" i="7" s="1"/>
  <c r="D191" i="7"/>
  <c r="F191" i="7" s="1"/>
  <c r="H191" i="7" s="1"/>
  <c r="D198" i="7"/>
  <c r="F198" i="7" s="1"/>
  <c r="H198" i="7" s="1"/>
  <c r="D184" i="7"/>
  <c r="F184" i="7" s="1"/>
  <c r="H184" i="7" s="1"/>
  <c r="D193" i="7"/>
  <c r="F193" i="7" s="1"/>
  <c r="H193" i="7" s="1"/>
  <c r="D185" i="7"/>
  <c r="F185" i="7" s="1"/>
  <c r="H185" i="7" s="1"/>
  <c r="D196" i="7"/>
  <c r="F196" i="7" s="1"/>
  <c r="H196" i="7" s="1"/>
  <c r="D187" i="7"/>
  <c r="F187" i="7" s="1"/>
  <c r="H187" i="7" s="1"/>
  <c r="D194" i="7"/>
  <c r="F194" i="7" s="1"/>
  <c r="H194" i="7" s="1"/>
  <c r="D190" i="7"/>
  <c r="F190" i="7" s="1"/>
  <c r="H190" i="7" s="1"/>
  <c r="D182" i="7"/>
  <c r="F182" i="7" s="1"/>
  <c r="H182" i="7" s="1"/>
  <c r="D197" i="7"/>
  <c r="F197" i="7" s="1"/>
  <c r="H197" i="7" s="1"/>
  <c r="D186" i="7"/>
  <c r="F186" i="7" s="1"/>
  <c r="H186" i="7" s="1"/>
  <c r="W55" i="5"/>
  <c r="Q69" i="5"/>
  <c r="Q61" i="5"/>
  <c r="Q71" i="5"/>
  <c r="Q60" i="5"/>
  <c r="Q75" i="5"/>
  <c r="Q58" i="5"/>
  <c r="Q68" i="5"/>
  <c r="Q67" i="5"/>
  <c r="Q70" i="5"/>
  <c r="Q66" i="5"/>
  <c r="Q62" i="5"/>
  <c r="Q73" i="5"/>
  <c r="Q74" i="5"/>
  <c r="Q59" i="5"/>
  <c r="Q65" i="5"/>
  <c r="Q72" i="5"/>
  <c r="Q63" i="5"/>
  <c r="Q64" i="5"/>
  <c r="Y24" i="5"/>
  <c r="R29" i="5"/>
  <c r="R37" i="5"/>
  <c r="R43" i="5"/>
  <c r="S24" i="5"/>
  <c r="R27" i="5"/>
  <c r="R36" i="5"/>
  <c r="R41" i="5"/>
  <c r="R38" i="5"/>
  <c r="R32" i="5"/>
  <c r="R40" i="5"/>
  <c r="R28" i="5"/>
  <c r="R31" i="5"/>
  <c r="R42" i="5"/>
  <c r="R33" i="5"/>
  <c r="R30" i="5"/>
  <c r="R34" i="5"/>
  <c r="R39" i="5"/>
  <c r="R35" i="5"/>
  <c r="R44" i="5"/>
  <c r="F117" i="7"/>
  <c r="H117" i="7" s="1"/>
  <c r="D137" i="7"/>
  <c r="F137" i="7" s="1"/>
  <c r="H137" i="7" s="1"/>
  <c r="D132" i="7"/>
  <c r="F132" i="7" s="1"/>
  <c r="H132" i="7" s="1"/>
  <c r="D134" i="7"/>
  <c r="F134" i="7" s="1"/>
  <c r="H134" i="7" s="1"/>
  <c r="D120" i="7"/>
  <c r="F120" i="7" s="1"/>
  <c r="H120" i="7" s="1"/>
  <c r="D133" i="7"/>
  <c r="F133" i="7" s="1"/>
  <c r="H133" i="7" s="1"/>
  <c r="D127" i="7"/>
  <c r="F127" i="7" s="1"/>
  <c r="H127" i="7" s="1"/>
  <c r="D131" i="7"/>
  <c r="F131" i="7" s="1"/>
  <c r="H131" i="7" s="1"/>
  <c r="D124" i="7"/>
  <c r="F124" i="7" s="1"/>
  <c r="H124" i="7" s="1"/>
  <c r="D136" i="7"/>
  <c r="F136" i="7" s="1"/>
  <c r="H136" i="7" s="1"/>
  <c r="D129" i="7"/>
  <c r="F129" i="7" s="1"/>
  <c r="H129" i="7" s="1"/>
  <c r="D121" i="7"/>
  <c r="F121" i="7" s="1"/>
  <c r="H121" i="7" s="1"/>
  <c r="D125" i="7"/>
  <c r="F125" i="7" s="1"/>
  <c r="H125" i="7" s="1"/>
  <c r="D123" i="7"/>
  <c r="F123" i="7" s="1"/>
  <c r="H123" i="7" s="1"/>
  <c r="D135" i="7"/>
  <c r="F135" i="7" s="1"/>
  <c r="H135" i="7" s="1"/>
  <c r="D126" i="7"/>
  <c r="F126" i="7" s="1"/>
  <c r="H126" i="7" s="1"/>
  <c r="D130" i="7"/>
  <c r="F130" i="7" s="1"/>
  <c r="H130" i="7" s="1"/>
  <c r="D128" i="7"/>
  <c r="F128" i="7" s="1"/>
  <c r="H128" i="7" s="1"/>
  <c r="D122" i="7"/>
  <c r="F122" i="7" s="1"/>
  <c r="H122" i="7" s="1"/>
  <c r="G117" i="6"/>
  <c r="C129" i="6"/>
  <c r="G129" i="6" s="1"/>
  <c r="C130" i="6"/>
  <c r="G130" i="6" s="1"/>
  <c r="C134" i="6"/>
  <c r="G134" i="6" s="1"/>
  <c r="C131" i="6"/>
  <c r="G131" i="6" s="1"/>
  <c r="C136" i="6"/>
  <c r="G136" i="6" s="1"/>
  <c r="C128" i="6"/>
  <c r="G128" i="6" s="1"/>
  <c r="C132" i="6"/>
  <c r="G132" i="6" s="1"/>
  <c r="J132" i="6" s="1"/>
  <c r="C122" i="6"/>
  <c r="G122" i="6" s="1"/>
  <c r="C121" i="6"/>
  <c r="G121" i="6" s="1"/>
  <c r="C125" i="6"/>
  <c r="G125" i="6" s="1"/>
  <c r="C137" i="6"/>
  <c r="G137" i="6" s="1"/>
  <c r="C126" i="6"/>
  <c r="G126" i="6" s="1"/>
  <c r="C135" i="6"/>
  <c r="G135" i="6" s="1"/>
  <c r="C124" i="6"/>
  <c r="G124" i="6" s="1"/>
  <c r="C127" i="6"/>
  <c r="G127" i="6" s="1"/>
  <c r="C123" i="6"/>
  <c r="G123" i="6" s="1"/>
  <c r="C120" i="6"/>
  <c r="G120" i="6" s="1"/>
  <c r="J120" i="6" s="1"/>
  <c r="C133" i="6"/>
  <c r="G133" i="6" s="1"/>
  <c r="J133" i="6" s="1"/>
  <c r="G210" i="5"/>
  <c r="C227" i="5"/>
  <c r="G227" i="5" s="1"/>
  <c r="C228" i="5"/>
  <c r="G228" i="5" s="1"/>
  <c r="C215" i="5"/>
  <c r="G215" i="5" s="1"/>
  <c r="C229" i="5"/>
  <c r="G229" i="5" s="1"/>
  <c r="C226" i="5"/>
  <c r="G226" i="5" s="1"/>
  <c r="C223" i="5"/>
  <c r="G223" i="5" s="1"/>
  <c r="C213" i="5"/>
  <c r="G213" i="5" s="1"/>
  <c r="C221" i="5"/>
  <c r="G221" i="5" s="1"/>
  <c r="C224" i="5"/>
  <c r="G224" i="5" s="1"/>
  <c r="C218" i="5"/>
  <c r="G218" i="5" s="1"/>
  <c r="C222" i="5"/>
  <c r="G222" i="5" s="1"/>
  <c r="C230" i="5"/>
  <c r="G230" i="5" s="1"/>
  <c r="C220" i="5"/>
  <c r="G220" i="5" s="1"/>
  <c r="C217" i="5"/>
  <c r="G217" i="5" s="1"/>
  <c r="C225" i="5"/>
  <c r="G225" i="5" s="1"/>
  <c r="C214" i="5"/>
  <c r="G214" i="5" s="1"/>
  <c r="C216" i="5"/>
  <c r="G216" i="5" s="1"/>
  <c r="C64" i="5"/>
  <c r="G64" i="5" s="1"/>
  <c r="C68" i="5"/>
  <c r="G68" i="5" s="1"/>
  <c r="C69" i="5"/>
  <c r="G69" i="5" s="1"/>
  <c r="C65" i="5"/>
  <c r="G65" i="5" s="1"/>
  <c r="C70" i="5"/>
  <c r="G70" i="5" s="1"/>
  <c r="C60" i="5"/>
  <c r="G60" i="5" s="1"/>
  <c r="C66" i="5"/>
  <c r="G66" i="5" s="1"/>
  <c r="C71" i="5"/>
  <c r="G71" i="5" s="1"/>
  <c r="C62" i="5"/>
  <c r="G62" i="5" s="1"/>
  <c r="C72" i="5"/>
  <c r="G72" i="5" s="1"/>
  <c r="C67" i="5"/>
  <c r="G67" i="5" s="1"/>
  <c r="C59" i="5"/>
  <c r="G59" i="5" s="1"/>
  <c r="G55" i="5"/>
  <c r="C61" i="5"/>
  <c r="G61" i="5" s="1"/>
  <c r="C58" i="5"/>
  <c r="G58" i="5" s="1"/>
  <c r="C75" i="5"/>
  <c r="G75" i="5" s="1"/>
  <c r="C63" i="5"/>
  <c r="G63" i="5" s="1"/>
  <c r="C74" i="5"/>
  <c r="G74" i="5" s="1"/>
  <c r="C73" i="5"/>
  <c r="G73" i="5" s="1"/>
  <c r="D259" i="7"/>
  <c r="F259" i="7" s="1"/>
  <c r="H259" i="7" s="1"/>
  <c r="D252" i="7"/>
  <c r="F252" i="7" s="1"/>
  <c r="H252" i="7" s="1"/>
  <c r="D260" i="7"/>
  <c r="F260" i="7" s="1"/>
  <c r="H260" i="7" s="1"/>
  <c r="D246" i="7"/>
  <c r="F246" i="7" s="1"/>
  <c r="H246" i="7" s="1"/>
  <c r="D257" i="7"/>
  <c r="F257" i="7" s="1"/>
  <c r="H257" i="7" s="1"/>
  <c r="D245" i="7"/>
  <c r="F245" i="7" s="1"/>
  <c r="H245" i="7" s="1"/>
  <c r="D248" i="7"/>
  <c r="F248" i="7" s="1"/>
  <c r="H248" i="7" s="1"/>
  <c r="D258" i="7"/>
  <c r="F258" i="7" s="1"/>
  <c r="H258" i="7" s="1"/>
  <c r="D255" i="7"/>
  <c r="F255" i="7" s="1"/>
  <c r="H255" i="7" s="1"/>
  <c r="D256" i="7"/>
  <c r="F256" i="7" s="1"/>
  <c r="H256" i="7" s="1"/>
  <c r="D261" i="7"/>
  <c r="F261" i="7" s="1"/>
  <c r="H261" i="7" s="1"/>
  <c r="D253" i="7"/>
  <c r="F253" i="7" s="1"/>
  <c r="H253" i="7" s="1"/>
  <c r="D250" i="7"/>
  <c r="F250" i="7" s="1"/>
  <c r="H250" i="7" s="1"/>
  <c r="D247" i="7"/>
  <c r="F247" i="7" s="1"/>
  <c r="H247" i="7" s="1"/>
  <c r="D244" i="7"/>
  <c r="F244" i="7" s="1"/>
  <c r="H244" i="7" s="1"/>
  <c r="D249" i="7"/>
  <c r="F249" i="7" s="1"/>
  <c r="H249" i="7" s="1"/>
  <c r="D254" i="7"/>
  <c r="F254" i="7" s="1"/>
  <c r="H254" i="7" s="1"/>
  <c r="F241" i="7"/>
  <c r="H241" i="7" s="1"/>
  <c r="D251" i="7"/>
  <c r="F251" i="7" s="1"/>
  <c r="H251" i="7" s="1"/>
  <c r="R74" i="5"/>
  <c r="R61" i="5"/>
  <c r="R62" i="5"/>
  <c r="R70" i="5"/>
  <c r="R71" i="5"/>
  <c r="R72" i="5"/>
  <c r="R63" i="5"/>
  <c r="R65" i="5"/>
  <c r="R67" i="5"/>
  <c r="R59" i="5"/>
  <c r="R66" i="5"/>
  <c r="R60" i="5"/>
  <c r="Y55" i="5"/>
  <c r="R75" i="5"/>
  <c r="S55" i="5"/>
  <c r="R58" i="5"/>
  <c r="R68" i="5"/>
  <c r="R64" i="5"/>
  <c r="R73" i="5"/>
  <c r="R69" i="5"/>
  <c r="U24" i="7"/>
  <c r="L100" i="5" l="1"/>
  <c r="G255" i="6"/>
  <c r="G245" i="6"/>
  <c r="H194" i="6"/>
  <c r="H198" i="6"/>
  <c r="H185" i="6"/>
  <c r="H258" i="6"/>
  <c r="H255" i="6"/>
  <c r="G184" i="6"/>
  <c r="G189" i="6"/>
  <c r="G251" i="6"/>
  <c r="G253" i="6"/>
  <c r="G250" i="6"/>
  <c r="H182" i="6"/>
  <c r="H183" i="6"/>
  <c r="H249" i="6"/>
  <c r="H253" i="6"/>
  <c r="H245" i="6"/>
  <c r="G198" i="6"/>
  <c r="G186" i="6"/>
  <c r="G261" i="6"/>
  <c r="G258" i="6"/>
  <c r="G247" i="6"/>
  <c r="H190" i="6"/>
  <c r="H197" i="6"/>
  <c r="H251" i="6"/>
  <c r="H261" i="6"/>
  <c r="H247" i="6"/>
  <c r="G190" i="6"/>
  <c r="G195" i="6"/>
  <c r="G194" i="6"/>
  <c r="F86" i="5"/>
  <c r="G248" i="6"/>
  <c r="G257" i="6"/>
  <c r="H193" i="6"/>
  <c r="H184" i="6"/>
  <c r="H254" i="6"/>
  <c r="H252" i="6"/>
  <c r="H246" i="6"/>
  <c r="G244" i="6"/>
  <c r="G249" i="6"/>
  <c r="G252" i="6"/>
  <c r="H195" i="6"/>
  <c r="H192" i="6"/>
  <c r="H257" i="6"/>
  <c r="H260" i="6"/>
  <c r="G246" i="6"/>
  <c r="G259" i="6"/>
  <c r="G260" i="6"/>
  <c r="H188" i="6"/>
  <c r="H187" i="6"/>
  <c r="H259" i="6"/>
  <c r="F272" i="5"/>
  <c r="E27" i="18"/>
  <c r="E25" i="8"/>
  <c r="I25" i="8" s="1"/>
  <c r="F241" i="6"/>
  <c r="F272" i="8"/>
  <c r="R272" i="8" s="1"/>
  <c r="Y272" i="8" s="1"/>
  <c r="F25" i="6"/>
  <c r="F41" i="6" s="1"/>
  <c r="F25" i="8"/>
  <c r="F27" i="18"/>
  <c r="J103" i="6"/>
  <c r="F26" i="18"/>
  <c r="H26" i="18" s="1"/>
  <c r="F24" i="8"/>
  <c r="J24" i="8" s="1"/>
  <c r="F24" i="6"/>
  <c r="F24" i="5"/>
  <c r="J24" i="5" s="1"/>
  <c r="G35" i="8"/>
  <c r="J63" i="6"/>
  <c r="E26" i="18"/>
  <c r="G26" i="18" s="1"/>
  <c r="AQ9" i="3"/>
  <c r="AS9" i="3" s="1"/>
  <c r="AQ21" i="3" s="1"/>
  <c r="AS21" i="3" s="1"/>
  <c r="E24" i="6"/>
  <c r="E24" i="8"/>
  <c r="E35" i="8" s="1"/>
  <c r="E24" i="5"/>
  <c r="I24" i="5" s="1"/>
  <c r="J89" i="6"/>
  <c r="L30" i="5"/>
  <c r="L44" i="5"/>
  <c r="Y76" i="18"/>
  <c r="I105" i="7"/>
  <c r="J105" i="7" s="1"/>
  <c r="W43" i="7" s="1"/>
  <c r="J106" i="6"/>
  <c r="J87" i="8"/>
  <c r="L92" i="5"/>
  <c r="L106" i="5"/>
  <c r="K87" i="5"/>
  <c r="M87" i="5" s="1"/>
  <c r="N87" i="5" s="1"/>
  <c r="AF25" i="5" s="1"/>
  <c r="J97" i="6"/>
  <c r="L28" i="5"/>
  <c r="I98" i="7"/>
  <c r="J98" i="7" s="1"/>
  <c r="W36" i="7" s="1"/>
  <c r="I97" i="7"/>
  <c r="J97" i="7" s="1"/>
  <c r="W35" i="7" s="1"/>
  <c r="I100" i="7"/>
  <c r="J100" i="7" s="1"/>
  <c r="W38" i="7" s="1"/>
  <c r="L90" i="5"/>
  <c r="K56" i="5"/>
  <c r="L103" i="5"/>
  <c r="L211" i="5"/>
  <c r="L37" i="8"/>
  <c r="K180" i="8"/>
  <c r="L33" i="18"/>
  <c r="K32" i="8"/>
  <c r="L29" i="18"/>
  <c r="L32" i="18"/>
  <c r="L43" i="5"/>
  <c r="L31" i="5"/>
  <c r="J105" i="6"/>
  <c r="L99" i="5"/>
  <c r="I86" i="7"/>
  <c r="J86" i="7" s="1"/>
  <c r="W24" i="7" s="1"/>
  <c r="I89" i="7"/>
  <c r="J89" i="7" s="1"/>
  <c r="W27" i="7" s="1"/>
  <c r="J100" i="6"/>
  <c r="L101" i="5"/>
  <c r="J149" i="6"/>
  <c r="L97" i="5"/>
  <c r="I93" i="7"/>
  <c r="J93" i="7" s="1"/>
  <c r="W31" i="7" s="1"/>
  <c r="E39" i="8"/>
  <c r="L41" i="5"/>
  <c r="J101" i="6"/>
  <c r="L98" i="5"/>
  <c r="J99" i="6"/>
  <c r="I90" i="7"/>
  <c r="J90" i="7" s="1"/>
  <c r="W28" i="7" s="1"/>
  <c r="J102" i="6"/>
  <c r="J94" i="6"/>
  <c r="L96" i="5"/>
  <c r="L36" i="5"/>
  <c r="I92" i="7"/>
  <c r="J92" i="7" s="1"/>
  <c r="W30" i="7" s="1"/>
  <c r="E117" i="5"/>
  <c r="I117" i="5" s="1"/>
  <c r="L102" i="5"/>
  <c r="L94" i="5"/>
  <c r="L35" i="5"/>
  <c r="I96" i="7"/>
  <c r="J96" i="7" s="1"/>
  <c r="W34" i="7" s="1"/>
  <c r="J98" i="6"/>
  <c r="I87" i="6"/>
  <c r="K87" i="6" s="1"/>
  <c r="L87" i="6" s="1"/>
  <c r="AC25" i="6" s="1"/>
  <c r="I103" i="7"/>
  <c r="J103" i="7" s="1"/>
  <c r="W41" i="7" s="1"/>
  <c r="L91" i="5"/>
  <c r="L180" i="8"/>
  <c r="E164" i="18"/>
  <c r="G164" i="18" s="1"/>
  <c r="I164" i="18" s="1"/>
  <c r="J96" i="6"/>
  <c r="L93" i="5"/>
  <c r="S40" i="18"/>
  <c r="L44" i="18"/>
  <c r="L31" i="18"/>
  <c r="L30" i="18"/>
  <c r="L38" i="5"/>
  <c r="L34" i="5"/>
  <c r="L40" i="5"/>
  <c r="L25" i="5"/>
  <c r="L105" i="5"/>
  <c r="L104" i="5"/>
  <c r="I95" i="7"/>
  <c r="J95" i="7" s="1"/>
  <c r="W33" i="7" s="1"/>
  <c r="F117" i="8"/>
  <c r="S117" i="8" s="1"/>
  <c r="Z117" i="8" s="1"/>
  <c r="F117" i="5"/>
  <c r="J117" i="5" s="1"/>
  <c r="I104" i="7"/>
  <c r="J104" i="7" s="1"/>
  <c r="W42" i="7" s="1"/>
  <c r="F117" i="6"/>
  <c r="E118" i="5"/>
  <c r="I118" i="5" s="1"/>
  <c r="J95" i="6"/>
  <c r="J91" i="6"/>
  <c r="J93" i="6"/>
  <c r="E272" i="5"/>
  <c r="I272" i="5" s="1"/>
  <c r="L272" i="5" s="1"/>
  <c r="I91" i="7"/>
  <c r="J91" i="7" s="1"/>
  <c r="W29" i="7" s="1"/>
  <c r="I106" i="7"/>
  <c r="J106" i="7" s="1"/>
  <c r="W44" i="7" s="1"/>
  <c r="E241" i="6"/>
  <c r="L95" i="5"/>
  <c r="I99" i="7"/>
  <c r="J99" i="7" s="1"/>
  <c r="W37" i="7" s="1"/>
  <c r="L42" i="5"/>
  <c r="J90" i="6"/>
  <c r="H92" i="8"/>
  <c r="L92" i="8"/>
  <c r="H89" i="8"/>
  <c r="L89" i="8"/>
  <c r="K101" i="8"/>
  <c r="G101" i="8"/>
  <c r="G99" i="8"/>
  <c r="K99" i="8"/>
  <c r="I94" i="7"/>
  <c r="J94" i="7" s="1"/>
  <c r="F241" i="5"/>
  <c r="F241" i="8"/>
  <c r="F210" i="6"/>
  <c r="F181" i="18"/>
  <c r="L103" i="18"/>
  <c r="L107" i="18"/>
  <c r="L91" i="8"/>
  <c r="H91" i="8"/>
  <c r="L97" i="8"/>
  <c r="H97" i="8"/>
  <c r="K106" i="8"/>
  <c r="G106" i="8"/>
  <c r="G91" i="8"/>
  <c r="K91" i="8"/>
  <c r="R87" i="8"/>
  <c r="Y87" i="8" s="1"/>
  <c r="T87" i="8"/>
  <c r="AA87" i="8" s="1"/>
  <c r="S87" i="8"/>
  <c r="Z87" i="8" s="1"/>
  <c r="I87" i="8"/>
  <c r="P87" i="8"/>
  <c r="W87" i="8" s="1"/>
  <c r="V87" i="8"/>
  <c r="U87" i="8"/>
  <c r="AB87" i="8" s="1"/>
  <c r="Q87" i="8"/>
  <c r="X87" i="8" s="1"/>
  <c r="I102" i="7"/>
  <c r="J102" i="7" s="1"/>
  <c r="W40" i="7" s="1"/>
  <c r="G210" i="6"/>
  <c r="C228" i="6"/>
  <c r="G228" i="6" s="1"/>
  <c r="C221" i="6"/>
  <c r="G221" i="6" s="1"/>
  <c r="C226" i="6"/>
  <c r="G226" i="6" s="1"/>
  <c r="C224" i="6"/>
  <c r="G224" i="6" s="1"/>
  <c r="C218" i="6"/>
  <c r="G218" i="6" s="1"/>
  <c r="C219" i="6"/>
  <c r="G219" i="6" s="1"/>
  <c r="C220" i="6"/>
  <c r="G220" i="6" s="1"/>
  <c r="C229" i="6"/>
  <c r="G229" i="6" s="1"/>
  <c r="C217" i="6"/>
  <c r="G217" i="6" s="1"/>
  <c r="C214" i="6"/>
  <c r="G214" i="6" s="1"/>
  <c r="C227" i="6"/>
  <c r="G227" i="6" s="1"/>
  <c r="C215" i="6"/>
  <c r="G215" i="6" s="1"/>
  <c r="C216" i="6"/>
  <c r="G216" i="6" s="1"/>
  <c r="C230" i="6"/>
  <c r="G230" i="6" s="1"/>
  <c r="C213" i="6"/>
  <c r="G213" i="6" s="1"/>
  <c r="C223" i="6"/>
  <c r="G223" i="6" s="1"/>
  <c r="C225" i="6"/>
  <c r="G225" i="6" s="1"/>
  <c r="C222" i="6"/>
  <c r="G222" i="6" s="1"/>
  <c r="J86" i="6"/>
  <c r="J92" i="6"/>
  <c r="D221" i="6"/>
  <c r="H221" i="6" s="1"/>
  <c r="D217" i="6"/>
  <c r="H217" i="6" s="1"/>
  <c r="D224" i="6"/>
  <c r="H224" i="6" s="1"/>
  <c r="D214" i="6"/>
  <c r="H214" i="6" s="1"/>
  <c r="D220" i="6"/>
  <c r="H220" i="6" s="1"/>
  <c r="D223" i="6"/>
  <c r="H223" i="6" s="1"/>
  <c r="D226" i="6"/>
  <c r="H226" i="6" s="1"/>
  <c r="D230" i="6"/>
  <c r="H230" i="6" s="1"/>
  <c r="D213" i="6"/>
  <c r="H213" i="6" s="1"/>
  <c r="D216" i="6"/>
  <c r="H216" i="6" s="1"/>
  <c r="D229" i="6"/>
  <c r="H229" i="6" s="1"/>
  <c r="D222" i="6"/>
  <c r="H222" i="6" s="1"/>
  <c r="D218" i="6"/>
  <c r="H218" i="6" s="1"/>
  <c r="D215" i="6"/>
  <c r="H215" i="6" s="1"/>
  <c r="H210" i="6"/>
  <c r="D225" i="6"/>
  <c r="H225" i="6" s="1"/>
  <c r="D219" i="6"/>
  <c r="H219" i="6" s="1"/>
  <c r="D228" i="6"/>
  <c r="H228" i="6" s="1"/>
  <c r="D227" i="6"/>
  <c r="H227" i="6" s="1"/>
  <c r="L99" i="18"/>
  <c r="L93" i="18"/>
  <c r="L102" i="8"/>
  <c r="H102" i="8"/>
  <c r="H99" i="8"/>
  <c r="L99" i="8"/>
  <c r="K96" i="8"/>
  <c r="G96" i="8"/>
  <c r="G93" i="8"/>
  <c r="K93" i="8"/>
  <c r="G104" i="8"/>
  <c r="K104" i="8"/>
  <c r="C224" i="7"/>
  <c r="E224" i="7" s="1"/>
  <c r="G224" i="7" s="1"/>
  <c r="C213" i="7"/>
  <c r="E213" i="7" s="1"/>
  <c r="G213" i="7" s="1"/>
  <c r="C216" i="7"/>
  <c r="E216" i="7" s="1"/>
  <c r="G216" i="7" s="1"/>
  <c r="C227" i="7"/>
  <c r="E227" i="7" s="1"/>
  <c r="G227" i="7" s="1"/>
  <c r="C225" i="7"/>
  <c r="E225" i="7" s="1"/>
  <c r="G225" i="7" s="1"/>
  <c r="C218" i="7"/>
  <c r="E218" i="7" s="1"/>
  <c r="G218" i="7" s="1"/>
  <c r="C217" i="7"/>
  <c r="E217" i="7" s="1"/>
  <c r="G217" i="7" s="1"/>
  <c r="C221" i="7"/>
  <c r="E221" i="7" s="1"/>
  <c r="G221" i="7" s="1"/>
  <c r="C228" i="7"/>
  <c r="E228" i="7" s="1"/>
  <c r="G228" i="7" s="1"/>
  <c r="C226" i="7"/>
  <c r="E226" i="7" s="1"/>
  <c r="G226" i="7" s="1"/>
  <c r="C214" i="7"/>
  <c r="E214" i="7" s="1"/>
  <c r="G214" i="7" s="1"/>
  <c r="C215" i="7"/>
  <c r="E215" i="7" s="1"/>
  <c r="G215" i="7" s="1"/>
  <c r="C229" i="7"/>
  <c r="E229" i="7" s="1"/>
  <c r="G229" i="7" s="1"/>
  <c r="C219" i="7"/>
  <c r="E219" i="7" s="1"/>
  <c r="G219" i="7" s="1"/>
  <c r="C222" i="7"/>
  <c r="E222" i="7" s="1"/>
  <c r="G222" i="7" s="1"/>
  <c r="C223" i="7"/>
  <c r="E223" i="7" s="1"/>
  <c r="G223" i="7" s="1"/>
  <c r="C230" i="7"/>
  <c r="E230" i="7" s="1"/>
  <c r="G230" i="7" s="1"/>
  <c r="E210" i="7"/>
  <c r="G210" i="7" s="1"/>
  <c r="C220" i="7"/>
  <c r="E220" i="7" s="1"/>
  <c r="G220" i="7" s="1"/>
  <c r="E182" i="18"/>
  <c r="G182" i="18" s="1"/>
  <c r="E242" i="8"/>
  <c r="E211" i="6"/>
  <c r="E242" i="5"/>
  <c r="I242" i="5" s="1"/>
  <c r="D192" i="18"/>
  <c r="D189" i="18"/>
  <c r="D191" i="18"/>
  <c r="D185" i="18"/>
  <c r="D201" i="18"/>
  <c r="D199" i="18"/>
  <c r="D198" i="18"/>
  <c r="D197" i="18"/>
  <c r="D187" i="18"/>
  <c r="D188" i="18"/>
  <c r="L181" i="18"/>
  <c r="D186" i="18"/>
  <c r="D190" i="18"/>
  <c r="D195" i="18"/>
  <c r="D193" i="18"/>
  <c r="D194" i="18"/>
  <c r="D196" i="18"/>
  <c r="D184" i="18"/>
  <c r="D200" i="18"/>
  <c r="L105" i="18"/>
  <c r="L97" i="18"/>
  <c r="L101" i="18"/>
  <c r="E86" i="6"/>
  <c r="I86" i="6" s="1"/>
  <c r="E86" i="5"/>
  <c r="E86" i="8"/>
  <c r="I86" i="8" s="1"/>
  <c r="M86" i="8" s="1"/>
  <c r="N86" i="8" s="1"/>
  <c r="BE24" i="8" s="1"/>
  <c r="AQ11" i="3"/>
  <c r="AS11" i="3" s="1"/>
  <c r="AQ23" i="3" s="1"/>
  <c r="AS23" i="3" s="1"/>
  <c r="I89" i="18" s="1"/>
  <c r="E88" i="18"/>
  <c r="L96" i="8"/>
  <c r="H96" i="8"/>
  <c r="H103" i="8"/>
  <c r="L103" i="8"/>
  <c r="G102" i="8"/>
  <c r="K102" i="8"/>
  <c r="K95" i="8"/>
  <c r="G95" i="8"/>
  <c r="K241" i="8"/>
  <c r="C248" i="8"/>
  <c r="C258" i="8"/>
  <c r="C257" i="8"/>
  <c r="C250" i="8"/>
  <c r="C256" i="8"/>
  <c r="C245" i="8"/>
  <c r="C260" i="8"/>
  <c r="G241" i="8"/>
  <c r="C246" i="8"/>
  <c r="C259" i="8"/>
  <c r="C249" i="8"/>
  <c r="C252" i="8"/>
  <c r="C247" i="8"/>
  <c r="C251" i="8"/>
  <c r="C253" i="8"/>
  <c r="C254" i="8"/>
  <c r="C261" i="8"/>
  <c r="C244" i="8"/>
  <c r="C255" i="8"/>
  <c r="L94" i="18"/>
  <c r="L106" i="18"/>
  <c r="L100" i="18"/>
  <c r="H95" i="8"/>
  <c r="L95" i="8"/>
  <c r="L94" i="8"/>
  <c r="H94" i="8"/>
  <c r="L101" i="8"/>
  <c r="H101" i="8"/>
  <c r="K98" i="8"/>
  <c r="G98" i="8"/>
  <c r="K105" i="8"/>
  <c r="G105" i="8"/>
  <c r="K90" i="8"/>
  <c r="G90" i="8"/>
  <c r="C189" i="18"/>
  <c r="C201" i="18"/>
  <c r="C196" i="18"/>
  <c r="C191" i="18"/>
  <c r="C192" i="18"/>
  <c r="C193" i="18"/>
  <c r="C184" i="18"/>
  <c r="C187" i="18"/>
  <c r="C195" i="18"/>
  <c r="C190" i="18"/>
  <c r="C200" i="18"/>
  <c r="C197" i="18"/>
  <c r="C198" i="18"/>
  <c r="C185" i="18"/>
  <c r="C194" i="18"/>
  <c r="C188" i="18"/>
  <c r="C199" i="18"/>
  <c r="C186" i="18"/>
  <c r="F242" i="5"/>
  <c r="J242" i="5" s="1"/>
  <c r="F211" i="6"/>
  <c r="F182" i="18"/>
  <c r="H182" i="18" s="1"/>
  <c r="F242" i="8"/>
  <c r="J242" i="8" s="1"/>
  <c r="L92" i="18"/>
  <c r="L91" i="18"/>
  <c r="F98" i="18"/>
  <c r="H98" i="18" s="1"/>
  <c r="F97" i="18"/>
  <c r="H97" i="18" s="1"/>
  <c r="F102" i="18"/>
  <c r="H102" i="18" s="1"/>
  <c r="F91" i="18"/>
  <c r="H91" i="18" s="1"/>
  <c r="J91" i="18" s="1"/>
  <c r="F107" i="18"/>
  <c r="H107" i="18" s="1"/>
  <c r="F92" i="18"/>
  <c r="H92" i="18" s="1"/>
  <c r="F108" i="18"/>
  <c r="H108" i="18" s="1"/>
  <c r="F99" i="18"/>
  <c r="H99" i="18" s="1"/>
  <c r="H88" i="18"/>
  <c r="F96" i="18"/>
  <c r="H96" i="18" s="1"/>
  <c r="F105" i="18"/>
  <c r="H105" i="18" s="1"/>
  <c r="F106" i="18"/>
  <c r="H106" i="18" s="1"/>
  <c r="J106" i="18" s="1"/>
  <c r="F93" i="18"/>
  <c r="H93" i="18" s="1"/>
  <c r="F103" i="18"/>
  <c r="H103" i="18" s="1"/>
  <c r="F94" i="18"/>
  <c r="H94" i="18" s="1"/>
  <c r="F100" i="18"/>
  <c r="H100" i="18" s="1"/>
  <c r="F95" i="18"/>
  <c r="H95" i="18" s="1"/>
  <c r="F101" i="18"/>
  <c r="H101" i="18" s="1"/>
  <c r="F104" i="18"/>
  <c r="H104" i="18" s="1"/>
  <c r="H100" i="8"/>
  <c r="L100" i="8"/>
  <c r="H106" i="8"/>
  <c r="L106" i="8"/>
  <c r="K97" i="8"/>
  <c r="G97" i="8"/>
  <c r="G103" i="8"/>
  <c r="K103" i="8"/>
  <c r="K89" i="8"/>
  <c r="G89" i="8"/>
  <c r="E181" i="18"/>
  <c r="AQ16" i="3"/>
  <c r="AS16" i="3" s="1"/>
  <c r="AQ28" i="3" s="1"/>
  <c r="AS28" i="3" s="1"/>
  <c r="E241" i="8"/>
  <c r="E241" i="5"/>
  <c r="E210" i="6"/>
  <c r="C257" i="5"/>
  <c r="G257" i="5" s="1"/>
  <c r="G242" i="5"/>
  <c r="L242" i="5" s="1"/>
  <c r="J104" i="6"/>
  <c r="D220" i="7"/>
  <c r="F220" i="7" s="1"/>
  <c r="H220" i="7" s="1"/>
  <c r="D217" i="7"/>
  <c r="F217" i="7" s="1"/>
  <c r="H217" i="7" s="1"/>
  <c r="D228" i="7"/>
  <c r="F228" i="7" s="1"/>
  <c r="H228" i="7" s="1"/>
  <c r="D226" i="7"/>
  <c r="F226" i="7" s="1"/>
  <c r="H226" i="7" s="1"/>
  <c r="D224" i="7"/>
  <c r="F224" i="7" s="1"/>
  <c r="H224" i="7" s="1"/>
  <c r="D230" i="7"/>
  <c r="F230" i="7" s="1"/>
  <c r="H230" i="7" s="1"/>
  <c r="D216" i="7"/>
  <c r="F216" i="7" s="1"/>
  <c r="H216" i="7" s="1"/>
  <c r="F210" i="7"/>
  <c r="H210" i="7" s="1"/>
  <c r="D213" i="7"/>
  <c r="F213" i="7" s="1"/>
  <c r="H213" i="7" s="1"/>
  <c r="D227" i="7"/>
  <c r="F227" i="7" s="1"/>
  <c r="H227" i="7" s="1"/>
  <c r="D225" i="7"/>
  <c r="F225" i="7" s="1"/>
  <c r="H225" i="7" s="1"/>
  <c r="D223" i="7"/>
  <c r="F223" i="7" s="1"/>
  <c r="H223" i="7" s="1"/>
  <c r="D215" i="7"/>
  <c r="F215" i="7" s="1"/>
  <c r="H215" i="7" s="1"/>
  <c r="D214" i="7"/>
  <c r="F214" i="7" s="1"/>
  <c r="H214" i="7" s="1"/>
  <c r="D229" i="7"/>
  <c r="F229" i="7" s="1"/>
  <c r="H229" i="7" s="1"/>
  <c r="D219" i="7"/>
  <c r="F219" i="7" s="1"/>
  <c r="H219" i="7" s="1"/>
  <c r="D218" i="7"/>
  <c r="F218" i="7" s="1"/>
  <c r="H218" i="7" s="1"/>
  <c r="D222" i="7"/>
  <c r="F222" i="7" s="1"/>
  <c r="H222" i="7" s="1"/>
  <c r="D221" i="7"/>
  <c r="F221" i="7" s="1"/>
  <c r="H221" i="7" s="1"/>
  <c r="L95" i="18"/>
  <c r="L98" i="18"/>
  <c r="F98" i="6"/>
  <c r="F104" i="6"/>
  <c r="F106" i="6"/>
  <c r="F95" i="6"/>
  <c r="F91" i="6"/>
  <c r="F94" i="6"/>
  <c r="F93" i="6"/>
  <c r="F90" i="6"/>
  <c r="F105" i="6"/>
  <c r="F89" i="6"/>
  <c r="F92" i="6"/>
  <c r="F99" i="6"/>
  <c r="F97" i="6"/>
  <c r="F103" i="6"/>
  <c r="F102" i="6"/>
  <c r="F101" i="6"/>
  <c r="F100" i="6"/>
  <c r="F96" i="6"/>
  <c r="L90" i="8"/>
  <c r="H90" i="8"/>
  <c r="H98" i="8"/>
  <c r="L98" i="8"/>
  <c r="L93" i="8"/>
  <c r="H93" i="8"/>
  <c r="K92" i="8"/>
  <c r="G92" i="8"/>
  <c r="G241" i="5"/>
  <c r="C247" i="5"/>
  <c r="G247" i="5" s="1"/>
  <c r="C250" i="5"/>
  <c r="G250" i="5" s="1"/>
  <c r="C260" i="5"/>
  <c r="G260" i="5" s="1"/>
  <c r="C258" i="5"/>
  <c r="G258" i="5" s="1"/>
  <c r="C256" i="5"/>
  <c r="G256" i="5" s="1"/>
  <c r="C246" i="5"/>
  <c r="G246" i="5" s="1"/>
  <c r="C245" i="5"/>
  <c r="G245" i="5" s="1"/>
  <c r="C254" i="5"/>
  <c r="G254" i="5" s="1"/>
  <c r="C251" i="5"/>
  <c r="G251" i="5" s="1"/>
  <c r="C261" i="5"/>
  <c r="G261" i="5" s="1"/>
  <c r="C252" i="5"/>
  <c r="G252" i="5" s="1"/>
  <c r="C255" i="5"/>
  <c r="G255" i="5" s="1"/>
  <c r="C249" i="5"/>
  <c r="G249" i="5" s="1"/>
  <c r="C253" i="5"/>
  <c r="G253" i="5" s="1"/>
  <c r="C244" i="5"/>
  <c r="G244" i="5" s="1"/>
  <c r="C248" i="5"/>
  <c r="G248" i="5" s="1"/>
  <c r="C259" i="5"/>
  <c r="G259" i="5" s="1"/>
  <c r="K242" i="8"/>
  <c r="G242" i="8"/>
  <c r="H241" i="5"/>
  <c r="D258" i="5"/>
  <c r="H258" i="5" s="1"/>
  <c r="D252" i="5"/>
  <c r="H252" i="5" s="1"/>
  <c r="D261" i="5"/>
  <c r="H261" i="5" s="1"/>
  <c r="D247" i="5"/>
  <c r="H247" i="5" s="1"/>
  <c r="D256" i="5"/>
  <c r="H256" i="5" s="1"/>
  <c r="D260" i="5"/>
  <c r="H260" i="5" s="1"/>
  <c r="D245" i="5"/>
  <c r="H245" i="5" s="1"/>
  <c r="D253" i="5"/>
  <c r="H253" i="5" s="1"/>
  <c r="D248" i="5"/>
  <c r="H248" i="5" s="1"/>
  <c r="D254" i="5"/>
  <c r="H254" i="5" s="1"/>
  <c r="D246" i="5"/>
  <c r="H246" i="5" s="1"/>
  <c r="D251" i="5"/>
  <c r="H251" i="5" s="1"/>
  <c r="D257" i="5"/>
  <c r="H257" i="5" s="1"/>
  <c r="D255" i="5"/>
  <c r="H255" i="5" s="1"/>
  <c r="D249" i="5"/>
  <c r="H249" i="5" s="1"/>
  <c r="D244" i="5"/>
  <c r="H244" i="5" s="1"/>
  <c r="D259" i="5"/>
  <c r="H259" i="5" s="1"/>
  <c r="D250" i="5"/>
  <c r="H250" i="5" s="1"/>
  <c r="L104" i="18"/>
  <c r="L108" i="18"/>
  <c r="J86" i="5"/>
  <c r="F106" i="5"/>
  <c r="J106" i="5" s="1"/>
  <c r="F100" i="5"/>
  <c r="J100" i="5" s="1"/>
  <c r="F90" i="5"/>
  <c r="J90" i="5" s="1"/>
  <c r="F94" i="5"/>
  <c r="J94" i="5" s="1"/>
  <c r="F98" i="5"/>
  <c r="J98" i="5" s="1"/>
  <c r="F93" i="5"/>
  <c r="J93" i="5" s="1"/>
  <c r="F89" i="5"/>
  <c r="J89" i="5" s="1"/>
  <c r="F91" i="5"/>
  <c r="J91" i="5" s="1"/>
  <c r="F105" i="5"/>
  <c r="J105" i="5" s="1"/>
  <c r="F96" i="5"/>
  <c r="J96" i="5" s="1"/>
  <c r="F95" i="5"/>
  <c r="J95" i="5" s="1"/>
  <c r="F99" i="5"/>
  <c r="J99" i="5" s="1"/>
  <c r="F97" i="5"/>
  <c r="J97" i="5" s="1"/>
  <c r="F103" i="5"/>
  <c r="J103" i="5" s="1"/>
  <c r="F101" i="5"/>
  <c r="J101" i="5" s="1"/>
  <c r="F92" i="5"/>
  <c r="J92" i="5" s="1"/>
  <c r="F104" i="5"/>
  <c r="J104" i="5" s="1"/>
  <c r="F102" i="5"/>
  <c r="J102" i="5" s="1"/>
  <c r="H104" i="8"/>
  <c r="L104" i="8"/>
  <c r="H105" i="8"/>
  <c r="L105" i="8"/>
  <c r="G94" i="8"/>
  <c r="K94" i="8"/>
  <c r="G100" i="8"/>
  <c r="K100" i="8"/>
  <c r="J211" i="6"/>
  <c r="L241" i="8"/>
  <c r="D245" i="8"/>
  <c r="D253" i="8"/>
  <c r="D260" i="8"/>
  <c r="D257" i="8"/>
  <c r="D258" i="8"/>
  <c r="D247" i="8"/>
  <c r="D246" i="8"/>
  <c r="D250" i="8"/>
  <c r="D251" i="8"/>
  <c r="D259" i="8"/>
  <c r="D261" i="8"/>
  <c r="D249" i="8"/>
  <c r="D255" i="8"/>
  <c r="D252" i="8"/>
  <c r="D254" i="8"/>
  <c r="H241" i="8"/>
  <c r="D244" i="8"/>
  <c r="D256" i="8"/>
  <c r="D248" i="8"/>
  <c r="L96" i="18"/>
  <c r="L102" i="18"/>
  <c r="F104" i="8"/>
  <c r="F106" i="8"/>
  <c r="F96" i="8"/>
  <c r="F95" i="8"/>
  <c r="F105" i="8"/>
  <c r="F99" i="8"/>
  <c r="F102" i="8"/>
  <c r="F94" i="8"/>
  <c r="F97" i="8"/>
  <c r="F92" i="8"/>
  <c r="F93" i="8"/>
  <c r="F98" i="8"/>
  <c r="F89" i="8"/>
  <c r="F101" i="8"/>
  <c r="F91" i="8"/>
  <c r="F100" i="8"/>
  <c r="F90" i="8"/>
  <c r="F103" i="8"/>
  <c r="L34" i="18"/>
  <c r="L41" i="18"/>
  <c r="L46" i="18"/>
  <c r="S69" i="18"/>
  <c r="L35" i="18"/>
  <c r="L42" i="18"/>
  <c r="E165" i="18"/>
  <c r="G165" i="18" s="1"/>
  <c r="I165" i="18" s="1"/>
  <c r="L165" i="18" s="1"/>
  <c r="E156" i="18"/>
  <c r="G156" i="18" s="1"/>
  <c r="I156" i="18" s="1"/>
  <c r="E273" i="5"/>
  <c r="I273" i="5" s="1"/>
  <c r="E169" i="18"/>
  <c r="G169" i="18" s="1"/>
  <c r="I169" i="18" s="1"/>
  <c r="E242" i="6"/>
  <c r="E253" i="6" s="1"/>
  <c r="E273" i="8"/>
  <c r="I273" i="8" s="1"/>
  <c r="E72" i="18"/>
  <c r="G72" i="18" s="1"/>
  <c r="I72" i="18" s="1"/>
  <c r="E166" i="18"/>
  <c r="G166" i="18" s="1"/>
  <c r="I166" i="18" s="1"/>
  <c r="E154" i="18"/>
  <c r="G154" i="18" s="1"/>
  <c r="I154" i="18" s="1"/>
  <c r="E35" i="6"/>
  <c r="E68" i="18"/>
  <c r="G68" i="18" s="1"/>
  <c r="I68" i="18" s="1"/>
  <c r="E167" i="18"/>
  <c r="G167" i="18" s="1"/>
  <c r="I167" i="18" s="1"/>
  <c r="E63" i="18"/>
  <c r="G63" i="18" s="1"/>
  <c r="I63" i="18" s="1"/>
  <c r="E67" i="18"/>
  <c r="G67" i="18" s="1"/>
  <c r="E155" i="18"/>
  <c r="G155" i="18" s="1"/>
  <c r="I155" i="18" s="1"/>
  <c r="F43" i="5"/>
  <c r="J43" i="5" s="1"/>
  <c r="E74" i="18"/>
  <c r="G74" i="18" s="1"/>
  <c r="I74" i="18" s="1"/>
  <c r="E64" i="18"/>
  <c r="G64" i="18" s="1"/>
  <c r="I64" i="18" s="1"/>
  <c r="E162" i="18"/>
  <c r="G162" i="18" s="1"/>
  <c r="I162" i="18" s="1"/>
  <c r="E163" i="18"/>
  <c r="G163" i="18" s="1"/>
  <c r="I163" i="18" s="1"/>
  <c r="L163" i="18" s="1"/>
  <c r="F39" i="5"/>
  <c r="J39" i="5" s="1"/>
  <c r="E73" i="18"/>
  <c r="G73" i="18" s="1"/>
  <c r="I73" i="18" s="1"/>
  <c r="E65" i="18"/>
  <c r="G65" i="18" s="1"/>
  <c r="I65" i="18" s="1"/>
  <c r="E77" i="18"/>
  <c r="G77" i="18" s="1"/>
  <c r="I77" i="18" s="1"/>
  <c r="E62" i="18"/>
  <c r="G62" i="18" s="1"/>
  <c r="I62" i="18" s="1"/>
  <c r="L62" i="18" s="1"/>
  <c r="E76" i="18"/>
  <c r="G76" i="18" s="1"/>
  <c r="I76" i="18" s="1"/>
  <c r="E69" i="18"/>
  <c r="G69" i="18" s="1"/>
  <c r="I69" i="18" s="1"/>
  <c r="E158" i="18"/>
  <c r="G158" i="18" s="1"/>
  <c r="I158" i="18" s="1"/>
  <c r="E170" i="18"/>
  <c r="G170" i="18" s="1"/>
  <c r="I170" i="18" s="1"/>
  <c r="E60" i="18"/>
  <c r="G60" i="18" s="1"/>
  <c r="I60" i="18" s="1"/>
  <c r="E70" i="18"/>
  <c r="G70" i="18" s="1"/>
  <c r="I70" i="18" s="1"/>
  <c r="E157" i="18"/>
  <c r="G157" i="18" s="1"/>
  <c r="I157" i="18" s="1"/>
  <c r="E153" i="18"/>
  <c r="G153" i="18" s="1"/>
  <c r="I153" i="18" s="1"/>
  <c r="AQ17" i="3"/>
  <c r="AS17" i="3" s="1"/>
  <c r="AQ29" i="3" s="1"/>
  <c r="AS29" i="3" s="1"/>
  <c r="I213" i="18" s="1"/>
  <c r="E212" i="18"/>
  <c r="L40" i="18"/>
  <c r="J162" i="18"/>
  <c r="U69" i="18" s="1"/>
  <c r="J153" i="18"/>
  <c r="U60" i="18" s="1"/>
  <c r="E61" i="18"/>
  <c r="G61" i="18" s="1"/>
  <c r="I61" i="18" s="1"/>
  <c r="E75" i="18"/>
  <c r="G75" i="18" s="1"/>
  <c r="I75" i="18" s="1"/>
  <c r="Y65" i="18"/>
  <c r="S65" i="18"/>
  <c r="S63" i="18"/>
  <c r="Y63" i="18"/>
  <c r="I151" i="18"/>
  <c r="L151" i="18" s="1"/>
  <c r="E168" i="18"/>
  <c r="G168" i="18" s="1"/>
  <c r="I168" i="18" s="1"/>
  <c r="E159" i="18"/>
  <c r="G159" i="18" s="1"/>
  <c r="I159" i="18" s="1"/>
  <c r="S46" i="18"/>
  <c r="Y46" i="18"/>
  <c r="S35" i="18"/>
  <c r="Y35" i="18"/>
  <c r="Y40" i="18"/>
  <c r="F230" i="18"/>
  <c r="H230" i="18" s="1"/>
  <c r="F215" i="18"/>
  <c r="H215" i="18" s="1"/>
  <c r="F118" i="5"/>
  <c r="J118" i="5" s="1"/>
  <c r="F120" i="18"/>
  <c r="H120" i="18" s="1"/>
  <c r="L38" i="18"/>
  <c r="J169" i="18"/>
  <c r="U76" i="18" s="1"/>
  <c r="J160" i="18"/>
  <c r="U67" i="18" s="1"/>
  <c r="J168" i="18"/>
  <c r="U75" i="18" s="1"/>
  <c r="S73" i="18"/>
  <c r="Y73" i="18"/>
  <c r="Y68" i="18"/>
  <c r="S68" i="18"/>
  <c r="S39" i="18"/>
  <c r="Y39" i="18"/>
  <c r="Y37" i="18"/>
  <c r="S37" i="18"/>
  <c r="S33" i="18"/>
  <c r="Y33" i="18"/>
  <c r="F222" i="18"/>
  <c r="H222" i="18" s="1"/>
  <c r="L128" i="18"/>
  <c r="J154" i="18"/>
  <c r="U61" i="18" s="1"/>
  <c r="J163" i="18"/>
  <c r="U70" i="18" s="1"/>
  <c r="J155" i="18"/>
  <c r="U62" i="18" s="1"/>
  <c r="L139" i="18"/>
  <c r="Y70" i="18"/>
  <c r="S70" i="18"/>
  <c r="I58" i="18"/>
  <c r="I150" i="18"/>
  <c r="S44" i="18"/>
  <c r="Y44" i="18"/>
  <c r="J58" i="18"/>
  <c r="U27" i="18" s="1"/>
  <c r="F217" i="18"/>
  <c r="H217" i="18" s="1"/>
  <c r="F225" i="18"/>
  <c r="H225" i="18" s="1"/>
  <c r="L39" i="18"/>
  <c r="J157" i="18"/>
  <c r="U64" i="18" s="1"/>
  <c r="J165" i="18"/>
  <c r="U72" i="18" s="1"/>
  <c r="J170" i="18"/>
  <c r="U77" i="18" s="1"/>
  <c r="S72" i="18"/>
  <c r="Y72" i="18"/>
  <c r="Y61" i="18"/>
  <c r="S61" i="18"/>
  <c r="E118" i="8"/>
  <c r="I118" i="8" s="1"/>
  <c r="E120" i="18"/>
  <c r="S32" i="18"/>
  <c r="Y32" i="18"/>
  <c r="Y31" i="18"/>
  <c r="S31" i="18"/>
  <c r="F226" i="18"/>
  <c r="H226" i="18" s="1"/>
  <c r="F223" i="18"/>
  <c r="H223" i="18" s="1"/>
  <c r="J156" i="18"/>
  <c r="U63" i="18" s="1"/>
  <c r="J164" i="18"/>
  <c r="U71" i="18" s="1"/>
  <c r="S67" i="18"/>
  <c r="Y67" i="18"/>
  <c r="Y77" i="18"/>
  <c r="S77" i="18"/>
  <c r="Y69" i="18"/>
  <c r="F74" i="18"/>
  <c r="H74" i="18" s="1"/>
  <c r="J74" i="18" s="1"/>
  <c r="U43" i="18" s="1"/>
  <c r="F77" i="18"/>
  <c r="H77" i="18" s="1"/>
  <c r="J77" i="18" s="1"/>
  <c r="U46" i="18" s="1"/>
  <c r="F70" i="18"/>
  <c r="H70" i="18" s="1"/>
  <c r="J70" i="18" s="1"/>
  <c r="U39" i="18" s="1"/>
  <c r="F65" i="18"/>
  <c r="H65" i="18" s="1"/>
  <c r="J65" i="18" s="1"/>
  <c r="U34" i="18" s="1"/>
  <c r="F73" i="18"/>
  <c r="H73" i="18" s="1"/>
  <c r="J73" i="18" s="1"/>
  <c r="U42" i="18" s="1"/>
  <c r="F69" i="18"/>
  <c r="H69" i="18" s="1"/>
  <c r="J69" i="18" s="1"/>
  <c r="U38" i="18" s="1"/>
  <c r="F72" i="18"/>
  <c r="H72" i="18" s="1"/>
  <c r="J72" i="18" s="1"/>
  <c r="U41" i="18" s="1"/>
  <c r="F62" i="18"/>
  <c r="H62" i="18" s="1"/>
  <c r="J62" i="18" s="1"/>
  <c r="U31" i="18" s="1"/>
  <c r="F71" i="18"/>
  <c r="H71" i="18" s="1"/>
  <c r="J71" i="18" s="1"/>
  <c r="U40" i="18" s="1"/>
  <c r="F61" i="18"/>
  <c r="H61" i="18" s="1"/>
  <c r="J61" i="18" s="1"/>
  <c r="U30" i="18" s="1"/>
  <c r="F64" i="18"/>
  <c r="H64" i="18" s="1"/>
  <c r="J64" i="18" s="1"/>
  <c r="U33" i="18" s="1"/>
  <c r="F67" i="18"/>
  <c r="H67" i="18" s="1"/>
  <c r="J67" i="18" s="1"/>
  <c r="U36" i="18" s="1"/>
  <c r="F75" i="18"/>
  <c r="H75" i="18" s="1"/>
  <c r="J75" i="18" s="1"/>
  <c r="U44" i="18" s="1"/>
  <c r="H57" i="18"/>
  <c r="J57" i="18" s="1"/>
  <c r="U26" i="18" s="1"/>
  <c r="F76" i="18"/>
  <c r="H76" i="18" s="1"/>
  <c r="J76" i="18" s="1"/>
  <c r="U45" i="18" s="1"/>
  <c r="F63" i="18"/>
  <c r="H63" i="18" s="1"/>
  <c r="J63" i="18" s="1"/>
  <c r="U32" i="18" s="1"/>
  <c r="F68" i="18"/>
  <c r="H68" i="18" s="1"/>
  <c r="J68" i="18" s="1"/>
  <c r="U37" i="18" s="1"/>
  <c r="F66" i="18"/>
  <c r="H66" i="18" s="1"/>
  <c r="J66" i="18" s="1"/>
  <c r="U35" i="18" s="1"/>
  <c r="F60" i="18"/>
  <c r="H60" i="18" s="1"/>
  <c r="J60" i="18" s="1"/>
  <c r="U29" i="18" s="1"/>
  <c r="Y34" i="18"/>
  <c r="S34" i="18"/>
  <c r="S29" i="18"/>
  <c r="Y29" i="18"/>
  <c r="F220" i="18"/>
  <c r="H220" i="18" s="1"/>
  <c r="F231" i="18"/>
  <c r="H231" i="18" s="1"/>
  <c r="F221" i="18"/>
  <c r="H221" i="18" s="1"/>
  <c r="AQ12" i="3"/>
  <c r="AS12" i="3" s="1"/>
  <c r="AQ24" i="3" s="1"/>
  <c r="AS24" i="3" s="1"/>
  <c r="E119" i="18"/>
  <c r="L45" i="18"/>
  <c r="J159" i="18"/>
  <c r="U66" i="18" s="1"/>
  <c r="J150" i="18"/>
  <c r="U57" i="18" s="1"/>
  <c r="S71" i="18"/>
  <c r="Y71" i="18"/>
  <c r="S75" i="18"/>
  <c r="Y75" i="18"/>
  <c r="L129" i="18"/>
  <c r="H119" i="18"/>
  <c r="L130" i="18"/>
  <c r="L125" i="18"/>
  <c r="S45" i="18"/>
  <c r="Y45" i="18"/>
  <c r="S38" i="18"/>
  <c r="Y38" i="18"/>
  <c r="F228" i="18"/>
  <c r="H228" i="18" s="1"/>
  <c r="F229" i="18"/>
  <c r="H229" i="18" s="1"/>
  <c r="F219" i="18"/>
  <c r="H219" i="18" s="1"/>
  <c r="L43" i="18"/>
  <c r="L36" i="18"/>
  <c r="J158" i="18"/>
  <c r="U65" i="18" s="1"/>
  <c r="J167" i="18"/>
  <c r="U74" i="18" s="1"/>
  <c r="E71" i="18"/>
  <c r="G71" i="18" s="1"/>
  <c r="I71" i="18" s="1"/>
  <c r="L71" i="18" s="1"/>
  <c r="E66" i="18"/>
  <c r="G66" i="18" s="1"/>
  <c r="I66" i="18" s="1"/>
  <c r="I57" i="18"/>
  <c r="L57" i="18" s="1"/>
  <c r="S60" i="18"/>
  <c r="Y60" i="18"/>
  <c r="Y74" i="18"/>
  <c r="S74" i="18"/>
  <c r="Y64" i="18"/>
  <c r="S64" i="18"/>
  <c r="E160" i="18"/>
  <c r="G160" i="18" s="1"/>
  <c r="I160" i="18" s="1"/>
  <c r="L160" i="18" s="1"/>
  <c r="E161" i="18"/>
  <c r="G161" i="18" s="1"/>
  <c r="I161" i="18" s="1"/>
  <c r="L135" i="18"/>
  <c r="L137" i="18"/>
  <c r="L230" i="18"/>
  <c r="S42" i="18"/>
  <c r="Y42" i="18"/>
  <c r="S41" i="18"/>
  <c r="Y41" i="18"/>
  <c r="Y30" i="18"/>
  <c r="S30" i="18"/>
  <c r="F218" i="18"/>
  <c r="H218" i="18" s="1"/>
  <c r="F224" i="18"/>
  <c r="H224" i="18" s="1"/>
  <c r="F232" i="18"/>
  <c r="H232" i="18" s="1"/>
  <c r="L37" i="18"/>
  <c r="G27" i="18"/>
  <c r="I27" i="18" s="1"/>
  <c r="E31" i="18"/>
  <c r="G31" i="18" s="1"/>
  <c r="I31" i="18" s="1"/>
  <c r="E40" i="18"/>
  <c r="G40" i="18" s="1"/>
  <c r="I40" i="18" s="1"/>
  <c r="J161" i="18"/>
  <c r="U68" i="18" s="1"/>
  <c r="J166" i="18"/>
  <c r="U73" i="18" s="1"/>
  <c r="I67" i="18"/>
  <c r="S62" i="18"/>
  <c r="Y62" i="18"/>
  <c r="S66" i="18"/>
  <c r="Y66" i="18"/>
  <c r="S76" i="18"/>
  <c r="L127" i="18"/>
  <c r="Y43" i="18"/>
  <c r="S43" i="18"/>
  <c r="Y36" i="18"/>
  <c r="S36" i="18"/>
  <c r="F216" i="18"/>
  <c r="H216" i="18" s="1"/>
  <c r="F227" i="18"/>
  <c r="H227" i="18" s="1"/>
  <c r="E36" i="6"/>
  <c r="E117" i="6"/>
  <c r="E135" i="6" s="1"/>
  <c r="E38" i="6"/>
  <c r="E37" i="6"/>
  <c r="E27" i="6"/>
  <c r="E43" i="6"/>
  <c r="E30" i="6"/>
  <c r="F118" i="6"/>
  <c r="I118" i="6" s="1"/>
  <c r="K118" i="6" s="1"/>
  <c r="L118" i="6" s="1"/>
  <c r="AD25" i="6" s="1"/>
  <c r="E39" i="6"/>
  <c r="E34" i="6"/>
  <c r="F118" i="8"/>
  <c r="E44" i="6"/>
  <c r="E41" i="6"/>
  <c r="E42" i="6"/>
  <c r="E27" i="5"/>
  <c r="I27" i="5" s="1"/>
  <c r="E32" i="6"/>
  <c r="E40" i="6"/>
  <c r="E29" i="6"/>
  <c r="E28" i="6"/>
  <c r="E33" i="6"/>
  <c r="L43" i="8"/>
  <c r="H42" i="8"/>
  <c r="L118" i="5"/>
  <c r="L56" i="5"/>
  <c r="M56" i="5" s="1"/>
  <c r="N56" i="5" s="1"/>
  <c r="AE25" i="5" s="1"/>
  <c r="I31" i="7"/>
  <c r="J31" i="7" s="1"/>
  <c r="U31" i="7" s="1"/>
  <c r="K211" i="5"/>
  <c r="I27" i="7"/>
  <c r="J27" i="7" s="1"/>
  <c r="U27" i="7" s="1"/>
  <c r="H27" i="8"/>
  <c r="F273" i="8"/>
  <c r="J273" i="8" s="1"/>
  <c r="F273" i="5"/>
  <c r="J273" i="5" s="1"/>
  <c r="F242" i="6"/>
  <c r="I36" i="7"/>
  <c r="J36" i="7" s="1"/>
  <c r="U36" i="7" s="1"/>
  <c r="E41" i="5"/>
  <c r="I41" i="5" s="1"/>
  <c r="I25" i="5"/>
  <c r="E29" i="5"/>
  <c r="I29" i="5" s="1"/>
  <c r="E36" i="5"/>
  <c r="I36" i="5" s="1"/>
  <c r="E33" i="5"/>
  <c r="I33" i="5" s="1"/>
  <c r="G38" i="8"/>
  <c r="H38" i="8"/>
  <c r="K179" i="8"/>
  <c r="E28" i="5"/>
  <c r="I28" i="5" s="1"/>
  <c r="E30" i="5"/>
  <c r="I30" i="5" s="1"/>
  <c r="E38" i="5"/>
  <c r="I38" i="5" s="1"/>
  <c r="E40" i="5"/>
  <c r="I40" i="5" s="1"/>
  <c r="E43" i="5"/>
  <c r="I43" i="5" s="1"/>
  <c r="E34" i="5"/>
  <c r="I34" i="5" s="1"/>
  <c r="F32" i="6"/>
  <c r="H35" i="8"/>
  <c r="H31" i="8"/>
  <c r="I30" i="7"/>
  <c r="J30" i="7" s="1"/>
  <c r="U30" i="7" s="1"/>
  <c r="K33" i="8"/>
  <c r="G39" i="8"/>
  <c r="L179" i="8"/>
  <c r="I34" i="7"/>
  <c r="J34" i="7" s="1"/>
  <c r="U34" i="7" s="1"/>
  <c r="I32" i="7"/>
  <c r="J32" i="7" s="1"/>
  <c r="U32" i="7" s="1"/>
  <c r="E44" i="5"/>
  <c r="I44" i="5" s="1"/>
  <c r="G34" i="8"/>
  <c r="G44" i="8"/>
  <c r="K44" i="8"/>
  <c r="G42" i="8"/>
  <c r="E32" i="5"/>
  <c r="I32" i="5" s="1"/>
  <c r="E35" i="5"/>
  <c r="I35" i="5" s="1"/>
  <c r="L28" i="8"/>
  <c r="I37" i="7"/>
  <c r="J37" i="7" s="1"/>
  <c r="U37" i="7" s="1"/>
  <c r="I33" i="7"/>
  <c r="J33" i="7" s="1"/>
  <c r="U33" i="7" s="1"/>
  <c r="P25" i="8"/>
  <c r="W25" i="8" s="1"/>
  <c r="E39" i="5"/>
  <c r="I39" i="5" s="1"/>
  <c r="E37" i="5"/>
  <c r="I37" i="5" s="1"/>
  <c r="E42" i="5"/>
  <c r="I42" i="5" s="1"/>
  <c r="H41" i="8"/>
  <c r="H33" i="8"/>
  <c r="I42" i="7"/>
  <c r="J42" i="7" s="1"/>
  <c r="U42" i="7" s="1"/>
  <c r="I41" i="7"/>
  <c r="J41" i="7" s="1"/>
  <c r="U41" i="7" s="1"/>
  <c r="L44" i="8"/>
  <c r="R25" i="8"/>
  <c r="Y25" i="8" s="1"/>
  <c r="I28" i="7"/>
  <c r="J28" i="7" s="1"/>
  <c r="U28" i="7" s="1"/>
  <c r="I40" i="7"/>
  <c r="J40" i="7" s="1"/>
  <c r="U40" i="7" s="1"/>
  <c r="I29" i="7"/>
  <c r="J29" i="7" s="1"/>
  <c r="U29" i="7" s="1"/>
  <c r="H39" i="8"/>
  <c r="AD25" i="7"/>
  <c r="AF25" i="7" s="1"/>
  <c r="AA53" i="9" s="1"/>
  <c r="I43" i="7"/>
  <c r="J43" i="7" s="1"/>
  <c r="U43" i="7" s="1"/>
  <c r="H40" i="8"/>
  <c r="I38" i="7"/>
  <c r="J38" i="7" s="1"/>
  <c r="U38" i="7" s="1"/>
  <c r="I35" i="7"/>
  <c r="J35" i="7" s="1"/>
  <c r="U35" i="7" s="1"/>
  <c r="K37" i="8"/>
  <c r="K36" i="8"/>
  <c r="I44" i="7"/>
  <c r="J44" i="7" s="1"/>
  <c r="U44" i="7" s="1"/>
  <c r="I39" i="7"/>
  <c r="J39" i="7" s="1"/>
  <c r="U39" i="7" s="1"/>
  <c r="L30" i="8"/>
  <c r="H32" i="8"/>
  <c r="L29" i="8"/>
  <c r="K40" i="8"/>
  <c r="G31" i="8"/>
  <c r="L36" i="8"/>
  <c r="H36" i="8"/>
  <c r="K27" i="8"/>
  <c r="K41" i="8"/>
  <c r="G29" i="8"/>
  <c r="G28" i="8"/>
  <c r="J56" i="8"/>
  <c r="G30" i="8"/>
  <c r="J258" i="6"/>
  <c r="I56" i="6"/>
  <c r="K56" i="6" s="1"/>
  <c r="L56" i="6" s="1"/>
  <c r="AB25" i="6" s="1"/>
  <c r="J64" i="6"/>
  <c r="J69" i="6"/>
  <c r="I69" i="7"/>
  <c r="J69" i="7" s="1"/>
  <c r="V38" i="7" s="1"/>
  <c r="J60" i="6"/>
  <c r="J257" i="6"/>
  <c r="W92" i="5"/>
  <c r="J66" i="6"/>
  <c r="J65" i="6"/>
  <c r="I70" i="7"/>
  <c r="J70" i="7" s="1"/>
  <c r="V39" i="7" s="1"/>
  <c r="W60" i="5"/>
  <c r="I199" i="7"/>
  <c r="J199" i="7" s="1"/>
  <c r="Z44" i="7" s="1"/>
  <c r="W124" i="5"/>
  <c r="W137" i="5"/>
  <c r="J260" i="6"/>
  <c r="W73" i="5"/>
  <c r="W42" i="5"/>
  <c r="W30" i="5"/>
  <c r="I62" i="7"/>
  <c r="J62" i="7" s="1"/>
  <c r="V31" i="7" s="1"/>
  <c r="W62" i="5"/>
  <c r="W130" i="5"/>
  <c r="W120" i="5"/>
  <c r="J136" i="6"/>
  <c r="J199" i="6"/>
  <c r="J68" i="6"/>
  <c r="V25" i="5"/>
  <c r="X25" i="5" s="1"/>
  <c r="Z25" i="5" s="1"/>
  <c r="AA25" i="5" s="1"/>
  <c r="AM25" i="5" s="1"/>
  <c r="T56" i="8"/>
  <c r="V56" i="8"/>
  <c r="I56" i="8"/>
  <c r="Q56" i="8"/>
  <c r="X56" i="8" s="1"/>
  <c r="R56" i="8"/>
  <c r="S56" i="8"/>
  <c r="U56" i="8"/>
  <c r="P56" i="8"/>
  <c r="AN25" i="8"/>
  <c r="AU25" i="8" s="1"/>
  <c r="AP25" i="8"/>
  <c r="AW25" i="8" s="1"/>
  <c r="AO25" i="8"/>
  <c r="AV25" i="8" s="1"/>
  <c r="AQ25" i="8"/>
  <c r="AX25" i="8" s="1"/>
  <c r="AT25" i="8"/>
  <c r="AR25" i="8"/>
  <c r="AY25" i="8" s="1"/>
  <c r="AI25" i="8"/>
  <c r="AK25" i="8" s="1"/>
  <c r="AL25" i="8" s="1"/>
  <c r="BL25" i="8" s="1"/>
  <c r="AS25" i="8"/>
  <c r="AZ25" i="8" s="1"/>
  <c r="W99" i="5"/>
  <c r="J125" i="6"/>
  <c r="I182" i="7"/>
  <c r="J182" i="7" s="1"/>
  <c r="Z27" i="7" s="1"/>
  <c r="W72" i="5"/>
  <c r="I198" i="7"/>
  <c r="J198" i="7" s="1"/>
  <c r="Z43" i="7" s="1"/>
  <c r="J196" i="6"/>
  <c r="I66" i="7"/>
  <c r="J66" i="7" s="1"/>
  <c r="V35" i="7" s="1"/>
  <c r="I135" i="7"/>
  <c r="J135" i="7" s="1"/>
  <c r="X42" i="7" s="1"/>
  <c r="I252" i="7"/>
  <c r="J252" i="7" s="1"/>
  <c r="AB35" i="7" s="1"/>
  <c r="W37" i="5"/>
  <c r="W68" i="5"/>
  <c r="J253" i="6"/>
  <c r="I189" i="7"/>
  <c r="J189" i="7" s="1"/>
  <c r="Z34" i="7" s="1"/>
  <c r="I197" i="7"/>
  <c r="J197" i="7" s="1"/>
  <c r="Z42" i="7" s="1"/>
  <c r="I129" i="7"/>
  <c r="J129" i="7" s="1"/>
  <c r="X36" i="7" s="1"/>
  <c r="I127" i="7"/>
  <c r="J127" i="7" s="1"/>
  <c r="X34" i="7" s="1"/>
  <c r="I137" i="7"/>
  <c r="J137" i="7" s="1"/>
  <c r="X44" i="7" s="1"/>
  <c r="W126" i="5"/>
  <c r="W132" i="5"/>
  <c r="I260" i="7"/>
  <c r="J260" i="7" s="1"/>
  <c r="AB43" i="7" s="1"/>
  <c r="I241" i="7"/>
  <c r="J241" i="7" s="1"/>
  <c r="AB24" i="7" s="1"/>
  <c r="J183" i="6"/>
  <c r="W98" i="5"/>
  <c r="W100" i="5"/>
  <c r="W41" i="5"/>
  <c r="W29" i="5"/>
  <c r="W33" i="5"/>
  <c r="I65" i="7"/>
  <c r="J65" i="7" s="1"/>
  <c r="V34" i="7" s="1"/>
  <c r="I60" i="7"/>
  <c r="J60" i="7" s="1"/>
  <c r="V29" i="7" s="1"/>
  <c r="W59" i="5"/>
  <c r="W106" i="5"/>
  <c r="W58" i="5"/>
  <c r="W129" i="5"/>
  <c r="W94" i="5"/>
  <c r="W43" i="5"/>
  <c r="W38" i="5"/>
  <c r="W28" i="5"/>
  <c r="I75" i="7"/>
  <c r="J75" i="7" s="1"/>
  <c r="V44" i="7" s="1"/>
  <c r="J134" i="6"/>
  <c r="W74" i="5"/>
  <c r="W75" i="5"/>
  <c r="W122" i="5"/>
  <c r="W134" i="5"/>
  <c r="W97" i="5"/>
  <c r="W89" i="5"/>
  <c r="W27" i="5"/>
  <c r="W34" i="5"/>
  <c r="J75" i="6"/>
  <c r="I59" i="7"/>
  <c r="J59" i="7" s="1"/>
  <c r="V28" i="7" s="1"/>
  <c r="W65" i="5"/>
  <c r="W90" i="5"/>
  <c r="J129" i="6"/>
  <c r="W95" i="5"/>
  <c r="W39" i="5"/>
  <c r="J122" i="6"/>
  <c r="J117" i="6"/>
  <c r="W64" i="5"/>
  <c r="W66" i="5"/>
  <c r="W61" i="5"/>
  <c r="I183" i="7"/>
  <c r="J183" i="7" s="1"/>
  <c r="Z28" i="7" s="1"/>
  <c r="I195" i="7"/>
  <c r="J195" i="7" s="1"/>
  <c r="Z40" i="7" s="1"/>
  <c r="I190" i="7"/>
  <c r="J190" i="7" s="1"/>
  <c r="Z35" i="7" s="1"/>
  <c r="I120" i="7"/>
  <c r="J120" i="7" s="1"/>
  <c r="X27" i="7" s="1"/>
  <c r="J121" i="6"/>
  <c r="W123" i="5"/>
  <c r="W127" i="5"/>
  <c r="W128" i="5"/>
  <c r="I247" i="7"/>
  <c r="J247" i="7" s="1"/>
  <c r="AB30" i="7" s="1"/>
  <c r="I253" i="7"/>
  <c r="J253" i="7" s="1"/>
  <c r="AB36" i="7" s="1"/>
  <c r="J195" i="6"/>
  <c r="W96" i="5"/>
  <c r="W105" i="5"/>
  <c r="W101" i="5"/>
  <c r="W44" i="5"/>
  <c r="W36" i="5"/>
  <c r="J74" i="6"/>
  <c r="I72" i="7"/>
  <c r="J72" i="7" s="1"/>
  <c r="V41" i="7" s="1"/>
  <c r="J70" i="6"/>
  <c r="W63" i="5"/>
  <c r="W70" i="5"/>
  <c r="W69" i="5"/>
  <c r="J255" i="6"/>
  <c r="J245" i="6"/>
  <c r="W136" i="5"/>
  <c r="W131" i="5"/>
  <c r="W135" i="5"/>
  <c r="W102" i="5"/>
  <c r="W93" i="5"/>
  <c r="J55" i="8"/>
  <c r="W35" i="5"/>
  <c r="W40" i="5"/>
  <c r="W71" i="5"/>
  <c r="W103" i="5"/>
  <c r="W67" i="5"/>
  <c r="J251" i="6"/>
  <c r="I196" i="7"/>
  <c r="J196" i="7" s="1"/>
  <c r="Z41" i="7" s="1"/>
  <c r="I132" i="7"/>
  <c r="J132" i="7" s="1"/>
  <c r="X39" i="7" s="1"/>
  <c r="I131" i="7"/>
  <c r="J131" i="7" s="1"/>
  <c r="X38" i="7" s="1"/>
  <c r="W121" i="5"/>
  <c r="W125" i="5"/>
  <c r="W133" i="5"/>
  <c r="J187" i="6"/>
  <c r="I259" i="7"/>
  <c r="J259" i="7" s="1"/>
  <c r="AB42" i="7" s="1"/>
  <c r="I261" i="7"/>
  <c r="J261" i="7" s="1"/>
  <c r="AB44" i="7" s="1"/>
  <c r="J72" i="6"/>
  <c r="J59" i="6"/>
  <c r="W91" i="5"/>
  <c r="W104" i="5"/>
  <c r="W31" i="5"/>
  <c r="W32" i="5"/>
  <c r="I63" i="7"/>
  <c r="J63" i="7" s="1"/>
  <c r="V32" i="7" s="1"/>
  <c r="Y30" i="5"/>
  <c r="S30" i="5"/>
  <c r="K68" i="8"/>
  <c r="G68" i="8"/>
  <c r="G278" i="8"/>
  <c r="K278" i="8"/>
  <c r="Y120" i="5"/>
  <c r="S120" i="5"/>
  <c r="S125" i="5"/>
  <c r="Y125" i="5"/>
  <c r="Y106" i="5"/>
  <c r="S106" i="5"/>
  <c r="S101" i="5"/>
  <c r="Y101" i="5"/>
  <c r="L214" i="8"/>
  <c r="H214" i="8"/>
  <c r="L221" i="8"/>
  <c r="H221" i="8"/>
  <c r="F75" i="5"/>
  <c r="J75" i="5" s="1"/>
  <c r="F69" i="5"/>
  <c r="J69" i="5" s="1"/>
  <c r="F62" i="5"/>
  <c r="J62" i="5" s="1"/>
  <c r="F70" i="5"/>
  <c r="J70" i="5" s="1"/>
  <c r="F68" i="5"/>
  <c r="J68" i="5" s="1"/>
  <c r="F61" i="5"/>
  <c r="J61" i="5" s="1"/>
  <c r="F63" i="5"/>
  <c r="J63" i="5" s="1"/>
  <c r="J55" i="5"/>
  <c r="F64" i="5"/>
  <c r="J64" i="5" s="1"/>
  <c r="F72" i="5"/>
  <c r="J72" i="5" s="1"/>
  <c r="F71" i="5"/>
  <c r="J71" i="5" s="1"/>
  <c r="F59" i="5"/>
  <c r="J59" i="5" s="1"/>
  <c r="F74" i="5"/>
  <c r="J74" i="5" s="1"/>
  <c r="F73" i="5"/>
  <c r="J73" i="5" s="1"/>
  <c r="F60" i="5"/>
  <c r="J60" i="5" s="1"/>
  <c r="F66" i="5"/>
  <c r="J66" i="5" s="1"/>
  <c r="F67" i="5"/>
  <c r="J67" i="5" s="1"/>
  <c r="F58" i="5"/>
  <c r="J58" i="5" s="1"/>
  <c r="F65" i="5"/>
  <c r="J65" i="5" s="1"/>
  <c r="K122" i="8"/>
  <c r="G122" i="8"/>
  <c r="K124" i="8"/>
  <c r="G124" i="8"/>
  <c r="K136" i="8"/>
  <c r="G136" i="8"/>
  <c r="L122" i="8"/>
  <c r="H122" i="8"/>
  <c r="L123" i="8"/>
  <c r="H123" i="8"/>
  <c r="J190" i="6"/>
  <c r="K289" i="8"/>
  <c r="G289" i="8"/>
  <c r="S130" i="5"/>
  <c r="Y130" i="5"/>
  <c r="K225" i="8"/>
  <c r="G225" i="8"/>
  <c r="S58" i="5"/>
  <c r="Y58" i="5"/>
  <c r="S73" i="5"/>
  <c r="Y73" i="5"/>
  <c r="S66" i="5"/>
  <c r="Y66" i="5"/>
  <c r="Y62" i="5"/>
  <c r="S62" i="5"/>
  <c r="J123" i="6"/>
  <c r="Y41" i="5"/>
  <c r="S41" i="5"/>
  <c r="J254" i="6"/>
  <c r="I121" i="7"/>
  <c r="J121" i="7" s="1"/>
  <c r="X28" i="7" s="1"/>
  <c r="G288" i="8"/>
  <c r="K288" i="8"/>
  <c r="H216" i="8"/>
  <c r="L216" i="8"/>
  <c r="L290" i="8"/>
  <c r="H290" i="8"/>
  <c r="L277" i="8"/>
  <c r="H277" i="8"/>
  <c r="L285" i="8"/>
  <c r="H285" i="8"/>
  <c r="H69" i="8"/>
  <c r="L69" i="8"/>
  <c r="L75" i="8"/>
  <c r="H75" i="8"/>
  <c r="L64" i="8"/>
  <c r="H64" i="8"/>
  <c r="S68" i="5"/>
  <c r="Y68" i="5"/>
  <c r="Y67" i="5"/>
  <c r="S67" i="5"/>
  <c r="S74" i="5"/>
  <c r="Y74" i="5"/>
  <c r="J124" i="6"/>
  <c r="J128" i="6"/>
  <c r="S42" i="5"/>
  <c r="Y42" i="5"/>
  <c r="S27" i="5"/>
  <c r="Y27" i="5"/>
  <c r="G62" i="8"/>
  <c r="K62" i="8"/>
  <c r="K74" i="8"/>
  <c r="G74" i="8"/>
  <c r="K59" i="8"/>
  <c r="G59" i="8"/>
  <c r="I125" i="7"/>
  <c r="J125" i="7" s="1"/>
  <c r="X32" i="7" s="1"/>
  <c r="G292" i="8"/>
  <c r="K292" i="8"/>
  <c r="K290" i="8"/>
  <c r="G290" i="8"/>
  <c r="I272" i="8"/>
  <c r="T272" i="8"/>
  <c r="AA272" i="8" s="1"/>
  <c r="S272" i="8"/>
  <c r="Z272" i="8" s="1"/>
  <c r="AI56" i="8"/>
  <c r="AK56" i="8" s="1"/>
  <c r="AL56" i="8" s="1"/>
  <c r="BM25" i="8" s="1"/>
  <c r="AS56" i="8"/>
  <c r="AZ56" i="8" s="1"/>
  <c r="AR56" i="8"/>
  <c r="AY56" i="8" s="1"/>
  <c r="AN56" i="8"/>
  <c r="AU56" i="8" s="1"/>
  <c r="AQ56" i="8"/>
  <c r="AX56" i="8" s="1"/>
  <c r="AP56" i="8"/>
  <c r="AW56" i="8" s="1"/>
  <c r="AT56" i="8"/>
  <c r="AO56" i="8"/>
  <c r="AV56" i="8" s="1"/>
  <c r="Y136" i="5"/>
  <c r="S136" i="5"/>
  <c r="Y124" i="5"/>
  <c r="S124" i="5"/>
  <c r="S93" i="5"/>
  <c r="Y93" i="5"/>
  <c r="L222" i="8"/>
  <c r="H222" i="8"/>
  <c r="L228" i="8"/>
  <c r="H228" i="8"/>
  <c r="G227" i="8"/>
  <c r="K227" i="8"/>
  <c r="K228" i="8"/>
  <c r="G228" i="8"/>
  <c r="G218" i="8"/>
  <c r="K218" i="8"/>
  <c r="K125" i="8"/>
  <c r="G125" i="8"/>
  <c r="K128" i="8"/>
  <c r="G128" i="8"/>
  <c r="H130" i="8"/>
  <c r="L130" i="8"/>
  <c r="H135" i="8"/>
  <c r="L135" i="8"/>
  <c r="L124" i="8"/>
  <c r="H124" i="8"/>
  <c r="J241" i="6"/>
  <c r="J259" i="6"/>
  <c r="J197" i="6"/>
  <c r="L284" i="8"/>
  <c r="H284" i="8"/>
  <c r="L283" i="8"/>
  <c r="H283" i="8"/>
  <c r="L289" i="8"/>
  <c r="H289" i="8"/>
  <c r="H61" i="8"/>
  <c r="L61" i="8"/>
  <c r="L68" i="8"/>
  <c r="H68" i="8"/>
  <c r="J55" i="6"/>
  <c r="I55" i="6"/>
  <c r="I74" i="7"/>
  <c r="J74" i="7" s="1"/>
  <c r="V43" i="7" s="1"/>
  <c r="S65" i="5"/>
  <c r="Y65" i="5"/>
  <c r="J135" i="6"/>
  <c r="S31" i="5"/>
  <c r="Y31" i="5"/>
  <c r="F223" i="8"/>
  <c r="F215" i="8"/>
  <c r="F225" i="8"/>
  <c r="F219" i="8"/>
  <c r="F227" i="8"/>
  <c r="F220" i="8"/>
  <c r="F214" i="8"/>
  <c r="F229" i="8"/>
  <c r="F222" i="8"/>
  <c r="F221" i="8"/>
  <c r="F217" i="8"/>
  <c r="F230" i="8"/>
  <c r="F213" i="8"/>
  <c r="F224" i="8"/>
  <c r="F218" i="8"/>
  <c r="F228" i="8"/>
  <c r="F216" i="8"/>
  <c r="F226" i="8"/>
  <c r="G286" i="8"/>
  <c r="K286" i="8"/>
  <c r="E68" i="6"/>
  <c r="E70" i="6"/>
  <c r="E60" i="6"/>
  <c r="E61" i="6"/>
  <c r="E75" i="6"/>
  <c r="E59" i="6"/>
  <c r="E58" i="6"/>
  <c r="E67" i="6"/>
  <c r="E66" i="6"/>
  <c r="E64" i="6"/>
  <c r="E63" i="6"/>
  <c r="E73" i="6"/>
  <c r="E71" i="6"/>
  <c r="E62" i="6"/>
  <c r="E65" i="6"/>
  <c r="E72" i="6"/>
  <c r="E74" i="6"/>
  <c r="E69" i="6"/>
  <c r="E218" i="5"/>
  <c r="E224" i="5"/>
  <c r="E220" i="5"/>
  <c r="E219" i="5"/>
  <c r="E229" i="5"/>
  <c r="I229" i="5" s="1"/>
  <c r="E222" i="5"/>
  <c r="I222" i="5" s="1"/>
  <c r="E230" i="5"/>
  <c r="E216" i="5"/>
  <c r="E228" i="5"/>
  <c r="E213" i="5"/>
  <c r="E227" i="5"/>
  <c r="I210" i="5"/>
  <c r="E214" i="5"/>
  <c r="I214" i="5" s="1"/>
  <c r="E225" i="5"/>
  <c r="I225" i="5" s="1"/>
  <c r="E223" i="5"/>
  <c r="I223" i="5" s="1"/>
  <c r="E221" i="5"/>
  <c r="E226" i="5"/>
  <c r="E217" i="5"/>
  <c r="E215" i="5"/>
  <c r="S135" i="5"/>
  <c r="Y135" i="5"/>
  <c r="Y96" i="5"/>
  <c r="S96" i="5"/>
  <c r="Y90" i="5"/>
  <c r="S90" i="5"/>
  <c r="H224" i="8"/>
  <c r="L224" i="8"/>
  <c r="G222" i="8"/>
  <c r="K222" i="8"/>
  <c r="K214" i="8"/>
  <c r="G214" i="8"/>
  <c r="K216" i="8"/>
  <c r="G216" i="8"/>
  <c r="K137" i="8"/>
  <c r="G137" i="8"/>
  <c r="H128" i="8"/>
  <c r="L128" i="8"/>
  <c r="H136" i="8"/>
  <c r="L136" i="8"/>
  <c r="J256" i="6"/>
  <c r="J250" i="6"/>
  <c r="G71" i="8"/>
  <c r="K71" i="8"/>
  <c r="K66" i="8"/>
  <c r="G66" i="8"/>
  <c r="G70" i="8"/>
  <c r="K70" i="8"/>
  <c r="Y103" i="5"/>
  <c r="S103" i="5"/>
  <c r="L230" i="8"/>
  <c r="H230" i="8"/>
  <c r="L276" i="8"/>
  <c r="H276" i="8"/>
  <c r="L286" i="8"/>
  <c r="H286" i="8"/>
  <c r="E287" i="8"/>
  <c r="E282" i="8"/>
  <c r="E291" i="8"/>
  <c r="E289" i="8"/>
  <c r="E292" i="8"/>
  <c r="E280" i="8"/>
  <c r="E276" i="8"/>
  <c r="E279" i="8"/>
  <c r="E288" i="8"/>
  <c r="E277" i="8"/>
  <c r="E281" i="8"/>
  <c r="E286" i="8"/>
  <c r="E290" i="8"/>
  <c r="E285" i="8"/>
  <c r="E283" i="8"/>
  <c r="E278" i="8"/>
  <c r="E284" i="8"/>
  <c r="E275" i="8"/>
  <c r="L73" i="8"/>
  <c r="H73" i="8"/>
  <c r="H58" i="8"/>
  <c r="L58" i="8"/>
  <c r="J73" i="6"/>
  <c r="K275" i="8"/>
  <c r="G275" i="8"/>
  <c r="L129" i="8"/>
  <c r="H129" i="8"/>
  <c r="I248" i="7"/>
  <c r="J248" i="7" s="1"/>
  <c r="AB31" i="7" s="1"/>
  <c r="Y69" i="5"/>
  <c r="S69" i="5"/>
  <c r="Y60" i="5"/>
  <c r="S60" i="5"/>
  <c r="S70" i="5"/>
  <c r="Y70" i="5"/>
  <c r="Y34" i="5"/>
  <c r="S34" i="5"/>
  <c r="Y38" i="5"/>
  <c r="S38" i="5"/>
  <c r="J246" i="6"/>
  <c r="G65" i="8"/>
  <c r="K65" i="8"/>
  <c r="G64" i="8"/>
  <c r="K64" i="8"/>
  <c r="I193" i="7"/>
  <c r="J193" i="7" s="1"/>
  <c r="Z38" i="7" s="1"/>
  <c r="I186" i="7"/>
  <c r="J186" i="7" s="1"/>
  <c r="Z31" i="7" s="1"/>
  <c r="I128" i="7"/>
  <c r="J128" i="7" s="1"/>
  <c r="X35" i="7" s="1"/>
  <c r="G281" i="8"/>
  <c r="K281" i="8"/>
  <c r="K291" i="8"/>
  <c r="G291" i="8"/>
  <c r="K280" i="8"/>
  <c r="G280" i="8"/>
  <c r="S131" i="5"/>
  <c r="Y131" i="5"/>
  <c r="Y137" i="5"/>
  <c r="S137" i="5"/>
  <c r="S129" i="5"/>
  <c r="Y129" i="5"/>
  <c r="Y102" i="5"/>
  <c r="S102" i="5"/>
  <c r="H227" i="8"/>
  <c r="L227" i="8"/>
  <c r="H229" i="8"/>
  <c r="L229" i="8"/>
  <c r="L220" i="8"/>
  <c r="H220" i="8"/>
  <c r="AH34" i="8"/>
  <c r="AJ34" i="8" s="1"/>
  <c r="AH36" i="8"/>
  <c r="AJ36" i="8" s="1"/>
  <c r="AH40" i="8"/>
  <c r="AJ40" i="8" s="1"/>
  <c r="AH27" i="8"/>
  <c r="AJ27" i="8" s="1"/>
  <c r="AH44" i="8"/>
  <c r="AJ44" i="8" s="1"/>
  <c r="AH39" i="8"/>
  <c r="AJ39" i="8" s="1"/>
  <c r="AH28" i="8"/>
  <c r="AJ28" i="8" s="1"/>
  <c r="AH31" i="8"/>
  <c r="AJ31" i="8" s="1"/>
  <c r="AJ24" i="8"/>
  <c r="AH30" i="8"/>
  <c r="AJ30" i="8" s="1"/>
  <c r="AH32" i="8"/>
  <c r="AJ32" i="8" s="1"/>
  <c r="AH35" i="8"/>
  <c r="AJ35" i="8" s="1"/>
  <c r="AH37" i="8"/>
  <c r="AJ37" i="8" s="1"/>
  <c r="AH29" i="8"/>
  <c r="AJ29" i="8" s="1"/>
  <c r="AH38" i="8"/>
  <c r="AJ38" i="8" s="1"/>
  <c r="AH33" i="8"/>
  <c r="AJ33" i="8" s="1"/>
  <c r="AH42" i="8"/>
  <c r="AJ42" i="8" s="1"/>
  <c r="AH43" i="8"/>
  <c r="AJ43" i="8" s="1"/>
  <c r="AH41" i="8"/>
  <c r="AJ41" i="8" s="1"/>
  <c r="K229" i="8"/>
  <c r="G229" i="8"/>
  <c r="K213" i="8"/>
  <c r="G213" i="8"/>
  <c r="K134" i="8"/>
  <c r="G134" i="8"/>
  <c r="I117" i="8"/>
  <c r="K135" i="8"/>
  <c r="G135" i="8"/>
  <c r="L120" i="8"/>
  <c r="H120" i="8"/>
  <c r="L125" i="8"/>
  <c r="H125" i="8"/>
  <c r="J261" i="6"/>
  <c r="I244" i="7"/>
  <c r="J244" i="7" s="1"/>
  <c r="AB27" i="7" s="1"/>
  <c r="J198" i="6"/>
  <c r="J186" i="6"/>
  <c r="L281" i="8"/>
  <c r="H281" i="8"/>
  <c r="L280" i="8"/>
  <c r="H280" i="8"/>
  <c r="H71" i="8"/>
  <c r="L71" i="8"/>
  <c r="H60" i="8"/>
  <c r="L60" i="8"/>
  <c r="H66" i="8"/>
  <c r="L66" i="8"/>
  <c r="U211" i="8"/>
  <c r="AB211" i="8" s="1"/>
  <c r="P211" i="8"/>
  <c r="W211" i="8" s="1"/>
  <c r="Q211" i="8"/>
  <c r="X211" i="8" s="1"/>
  <c r="S211" i="8"/>
  <c r="Z211" i="8" s="1"/>
  <c r="I211" i="8"/>
  <c r="M211" i="8" s="1"/>
  <c r="N211" i="8" s="1"/>
  <c r="BI25" i="8" s="1"/>
  <c r="R211" i="8"/>
  <c r="Y211" i="8" s="1"/>
  <c r="T211" i="8"/>
  <c r="AA211" i="8" s="1"/>
  <c r="V211" i="8"/>
  <c r="F244" i="6"/>
  <c r="F247" i="6"/>
  <c r="I64" i="7"/>
  <c r="J64" i="7" s="1"/>
  <c r="V33" i="7" s="1"/>
  <c r="J180" i="6"/>
  <c r="I180" i="6"/>
  <c r="Y64" i="5"/>
  <c r="S64" i="5"/>
  <c r="S59" i="5"/>
  <c r="Y59" i="5"/>
  <c r="Y61" i="5"/>
  <c r="S61" i="5"/>
  <c r="J127" i="6"/>
  <c r="I122" i="7"/>
  <c r="J122" i="7" s="1"/>
  <c r="X29" i="7" s="1"/>
  <c r="S33" i="5"/>
  <c r="Y33" i="5"/>
  <c r="Y36" i="5"/>
  <c r="S36" i="5"/>
  <c r="G72" i="8"/>
  <c r="K72" i="8"/>
  <c r="Q55" i="8"/>
  <c r="I55" i="8"/>
  <c r="U55" i="8"/>
  <c r="R55" i="8"/>
  <c r="V55" i="8"/>
  <c r="P55" i="8"/>
  <c r="S55" i="8"/>
  <c r="T55" i="8"/>
  <c r="G75" i="8"/>
  <c r="K75" i="8"/>
  <c r="I192" i="7"/>
  <c r="J192" i="7" s="1"/>
  <c r="Z37" i="7" s="1"/>
  <c r="I194" i="7"/>
  <c r="J194" i="7" s="1"/>
  <c r="Z39" i="7" s="1"/>
  <c r="I179" i="7"/>
  <c r="J179" i="7" s="1"/>
  <c r="I124" i="7"/>
  <c r="J124" i="7" s="1"/>
  <c r="X31" i="7" s="1"/>
  <c r="I130" i="7"/>
  <c r="J130" i="7" s="1"/>
  <c r="X37" i="7" s="1"/>
  <c r="G276" i="8"/>
  <c r="K276" i="8"/>
  <c r="G285" i="8"/>
  <c r="K285" i="8"/>
  <c r="V87" i="5"/>
  <c r="X87" i="5" s="1"/>
  <c r="Z87" i="5" s="1"/>
  <c r="AA87" i="5" s="1"/>
  <c r="AO25" i="5" s="1"/>
  <c r="S122" i="5"/>
  <c r="Y122" i="5"/>
  <c r="S123" i="5"/>
  <c r="Y123" i="5"/>
  <c r="S133" i="5"/>
  <c r="Y133" i="5"/>
  <c r="Y105" i="5"/>
  <c r="S105" i="5"/>
  <c r="Y97" i="5"/>
  <c r="S97" i="5"/>
  <c r="L226" i="8"/>
  <c r="H226" i="8"/>
  <c r="L219" i="8"/>
  <c r="H219" i="8"/>
  <c r="L213" i="8"/>
  <c r="H213" i="8"/>
  <c r="F64" i="6"/>
  <c r="F68" i="6"/>
  <c r="F71" i="6"/>
  <c r="F65" i="6"/>
  <c r="F62" i="6"/>
  <c r="F61" i="6"/>
  <c r="F74" i="6"/>
  <c r="F69" i="6"/>
  <c r="F75" i="6"/>
  <c r="F58" i="6"/>
  <c r="F70" i="6"/>
  <c r="F63" i="6"/>
  <c r="F66" i="6"/>
  <c r="F60" i="6"/>
  <c r="F67" i="6"/>
  <c r="F72" i="6"/>
  <c r="F73" i="6"/>
  <c r="F59" i="6"/>
  <c r="K215" i="8"/>
  <c r="G215" i="8"/>
  <c r="G219" i="8"/>
  <c r="K219" i="8"/>
  <c r="G132" i="8"/>
  <c r="K132" i="8"/>
  <c r="K129" i="8"/>
  <c r="G129" i="8"/>
  <c r="G133" i="8"/>
  <c r="K133" i="8"/>
  <c r="L137" i="8"/>
  <c r="H137" i="8"/>
  <c r="L121" i="8"/>
  <c r="H121" i="8"/>
  <c r="I245" i="7"/>
  <c r="J245" i="7" s="1"/>
  <c r="AB28" i="7" s="1"/>
  <c r="I257" i="7"/>
  <c r="J257" i="7" s="1"/>
  <c r="AB40" i="7" s="1"/>
  <c r="I255" i="7"/>
  <c r="J255" i="7" s="1"/>
  <c r="AB38" i="7" s="1"/>
  <c r="J192" i="6"/>
  <c r="J185" i="6"/>
  <c r="J179" i="6"/>
  <c r="I179" i="6"/>
  <c r="L279" i="8"/>
  <c r="H279" i="8"/>
  <c r="L291" i="8"/>
  <c r="H291" i="8"/>
  <c r="L292" i="8"/>
  <c r="H292" i="8"/>
  <c r="L65" i="8"/>
  <c r="H65" i="8"/>
  <c r="H63" i="8"/>
  <c r="L63" i="8"/>
  <c r="L72" i="8"/>
  <c r="H72" i="8"/>
  <c r="J62" i="6"/>
  <c r="I68" i="7"/>
  <c r="J68" i="7" s="1"/>
  <c r="V37" i="7" s="1"/>
  <c r="I67" i="7"/>
  <c r="J67" i="7" s="1"/>
  <c r="V36" i="7" s="1"/>
  <c r="Y63" i="5"/>
  <c r="S63" i="5"/>
  <c r="J126" i="6"/>
  <c r="J131" i="6"/>
  <c r="Y44" i="5"/>
  <c r="S44" i="5"/>
  <c r="S28" i="5"/>
  <c r="Y28" i="5"/>
  <c r="S43" i="5"/>
  <c r="Y43" i="5"/>
  <c r="J247" i="6"/>
  <c r="K73" i="8"/>
  <c r="G73" i="8"/>
  <c r="G63" i="8"/>
  <c r="K63" i="8"/>
  <c r="G67" i="8"/>
  <c r="K67" i="8"/>
  <c r="I185" i="7"/>
  <c r="J185" i="7" s="1"/>
  <c r="Z30" i="7" s="1"/>
  <c r="I187" i="7"/>
  <c r="J187" i="7" s="1"/>
  <c r="Z32" i="7" s="1"/>
  <c r="I134" i="7"/>
  <c r="J134" i="7" s="1"/>
  <c r="X41" i="7" s="1"/>
  <c r="I136" i="7"/>
  <c r="J136" i="7" s="1"/>
  <c r="X43" i="7" s="1"/>
  <c r="I117" i="7"/>
  <c r="J117" i="7" s="1"/>
  <c r="J137" i="6"/>
  <c r="J210" i="5"/>
  <c r="F213" i="5"/>
  <c r="J213" i="5" s="1"/>
  <c r="F221" i="5"/>
  <c r="J221" i="5" s="1"/>
  <c r="F217" i="5"/>
  <c r="J217" i="5" s="1"/>
  <c r="F225" i="5"/>
  <c r="J225" i="5" s="1"/>
  <c r="F226" i="5"/>
  <c r="J226" i="5" s="1"/>
  <c r="F220" i="5"/>
  <c r="J220" i="5" s="1"/>
  <c r="F218" i="5"/>
  <c r="J218" i="5" s="1"/>
  <c r="F224" i="5"/>
  <c r="J224" i="5" s="1"/>
  <c r="F222" i="5"/>
  <c r="J222" i="5" s="1"/>
  <c r="F216" i="5"/>
  <c r="J216" i="5" s="1"/>
  <c r="F223" i="5"/>
  <c r="J223" i="5" s="1"/>
  <c r="F214" i="5"/>
  <c r="J214" i="5" s="1"/>
  <c r="F230" i="5"/>
  <c r="J230" i="5" s="1"/>
  <c r="F215" i="5"/>
  <c r="J215" i="5" s="1"/>
  <c r="F227" i="5"/>
  <c r="J227" i="5" s="1"/>
  <c r="F229" i="5"/>
  <c r="J229" i="5" s="1"/>
  <c r="F219" i="5"/>
  <c r="J219" i="5" s="1"/>
  <c r="F228" i="5"/>
  <c r="J228" i="5" s="1"/>
  <c r="K283" i="8"/>
  <c r="G283" i="8"/>
  <c r="K284" i="8"/>
  <c r="G284" i="8"/>
  <c r="AG35" i="8"/>
  <c r="AG33" i="8"/>
  <c r="AG43" i="8"/>
  <c r="AI24" i="8"/>
  <c r="AG30" i="8"/>
  <c r="AG28" i="8"/>
  <c r="AN24" i="8"/>
  <c r="AU24" i="8" s="1"/>
  <c r="AR24" i="8"/>
  <c r="AY24" i="8" s="1"/>
  <c r="AG32" i="8"/>
  <c r="AG42" i="8"/>
  <c r="AG37" i="8"/>
  <c r="AQ24" i="8"/>
  <c r="AX24" i="8" s="1"/>
  <c r="AG29" i="8"/>
  <c r="AG40" i="8"/>
  <c r="AG27" i="8"/>
  <c r="AG31" i="8"/>
  <c r="AS24" i="8"/>
  <c r="AZ24" i="8" s="1"/>
  <c r="AG38" i="8"/>
  <c r="AG36" i="8"/>
  <c r="AG44" i="8"/>
  <c r="AG34" i="8"/>
  <c r="AG41" i="8"/>
  <c r="AG39" i="8"/>
  <c r="AP24" i="8"/>
  <c r="AW24" i="8" s="1"/>
  <c r="AO24" i="8"/>
  <c r="AV24" i="8" s="1"/>
  <c r="AT24" i="8"/>
  <c r="AI55" i="8"/>
  <c r="AG75" i="8"/>
  <c r="AG66" i="8"/>
  <c r="AG68" i="8"/>
  <c r="AG69" i="8"/>
  <c r="AG71" i="8"/>
  <c r="AG72" i="8"/>
  <c r="AG62" i="8"/>
  <c r="AG74" i="8"/>
  <c r="AG65" i="8"/>
  <c r="AO55" i="8"/>
  <c r="AV55" i="8" s="1"/>
  <c r="AG63" i="8"/>
  <c r="AG70" i="8"/>
  <c r="AG59" i="8"/>
  <c r="AP55" i="8"/>
  <c r="AW55" i="8" s="1"/>
  <c r="AG61" i="8"/>
  <c r="AG58" i="8"/>
  <c r="AG64" i="8"/>
  <c r="AQ55" i="8"/>
  <c r="AX55" i="8" s="1"/>
  <c r="AT55" i="8"/>
  <c r="AS55" i="8"/>
  <c r="AZ55" i="8" s="1"/>
  <c r="AG73" i="8"/>
  <c r="AG60" i="8"/>
  <c r="AN55" i="8"/>
  <c r="AU55" i="8" s="1"/>
  <c r="AR55" i="8"/>
  <c r="AY55" i="8" s="1"/>
  <c r="AG67" i="8"/>
  <c r="Y134" i="5"/>
  <c r="S134" i="5"/>
  <c r="S126" i="5"/>
  <c r="Y126" i="5"/>
  <c r="S89" i="5"/>
  <c r="Y89" i="5"/>
  <c r="Y104" i="5"/>
  <c r="S104" i="5"/>
  <c r="S92" i="5"/>
  <c r="Y92" i="5"/>
  <c r="L215" i="8"/>
  <c r="H215" i="8"/>
  <c r="L217" i="8"/>
  <c r="H217" i="8"/>
  <c r="Q210" i="8"/>
  <c r="X210" i="8" s="1"/>
  <c r="V210" i="8"/>
  <c r="I210" i="8"/>
  <c r="R210" i="8"/>
  <c r="Y210" i="8" s="1"/>
  <c r="S210" i="8"/>
  <c r="Z210" i="8" s="1"/>
  <c r="P210" i="8"/>
  <c r="W210" i="8" s="1"/>
  <c r="U210" i="8"/>
  <c r="AB210" i="8" s="1"/>
  <c r="T210" i="8"/>
  <c r="AA210" i="8" s="1"/>
  <c r="K221" i="8"/>
  <c r="G221" i="8"/>
  <c r="K230" i="8"/>
  <c r="G230" i="8"/>
  <c r="K121" i="8"/>
  <c r="G121" i="8"/>
  <c r="G131" i="8"/>
  <c r="K131" i="8"/>
  <c r="L133" i="8"/>
  <c r="H133" i="8"/>
  <c r="L134" i="8"/>
  <c r="H134" i="8"/>
  <c r="J194" i="6"/>
  <c r="I249" i="7"/>
  <c r="J249" i="7" s="1"/>
  <c r="AB32" i="7" s="1"/>
  <c r="I258" i="7"/>
  <c r="J258" i="7" s="1"/>
  <c r="AB41" i="7" s="1"/>
  <c r="J182" i="6"/>
  <c r="J193" i="6"/>
  <c r="L282" i="8"/>
  <c r="H282" i="8"/>
  <c r="L278" i="8"/>
  <c r="H278" i="8"/>
  <c r="L67" i="8"/>
  <c r="H67" i="8"/>
  <c r="L62" i="8"/>
  <c r="H62" i="8"/>
  <c r="J67" i="6"/>
  <c r="J272" i="5"/>
  <c r="I58" i="7"/>
  <c r="J58" i="7" s="1"/>
  <c r="V27" i="7" s="1"/>
  <c r="S75" i="5"/>
  <c r="Y75" i="5"/>
  <c r="Y72" i="5"/>
  <c r="S72" i="5"/>
  <c r="Y35" i="5"/>
  <c r="S35" i="5"/>
  <c r="S40" i="5"/>
  <c r="Y40" i="5"/>
  <c r="S37" i="5"/>
  <c r="Y37" i="5"/>
  <c r="J248" i="6"/>
  <c r="G61" i="8"/>
  <c r="K61" i="8"/>
  <c r="K60" i="8"/>
  <c r="G60" i="8"/>
  <c r="I184" i="7"/>
  <c r="J184" i="7" s="1"/>
  <c r="Z29" i="7" s="1"/>
  <c r="I191" i="7"/>
  <c r="J191" i="7" s="1"/>
  <c r="Z36" i="7" s="1"/>
  <c r="I133" i="7"/>
  <c r="J133" i="7" s="1"/>
  <c r="X40" i="7" s="1"/>
  <c r="I126" i="7"/>
  <c r="J126" i="7" s="1"/>
  <c r="X33" i="7" s="1"/>
  <c r="F184" i="6"/>
  <c r="F190" i="6"/>
  <c r="F189" i="6"/>
  <c r="F187" i="6"/>
  <c r="F188" i="6"/>
  <c r="F191" i="6"/>
  <c r="F195" i="6"/>
  <c r="F199" i="6"/>
  <c r="F196" i="6"/>
  <c r="F183" i="6"/>
  <c r="F193" i="6"/>
  <c r="F198" i="6"/>
  <c r="F182" i="6"/>
  <c r="F192" i="6"/>
  <c r="F194" i="6"/>
  <c r="F185" i="6"/>
  <c r="F197" i="6"/>
  <c r="F186" i="6"/>
  <c r="K277" i="8"/>
  <c r="G277" i="8"/>
  <c r="K282" i="8"/>
  <c r="G282" i="8"/>
  <c r="E71" i="8"/>
  <c r="E69" i="8"/>
  <c r="E65" i="8"/>
  <c r="E61" i="8"/>
  <c r="E75" i="8"/>
  <c r="E63" i="8"/>
  <c r="E58" i="8"/>
  <c r="E74" i="8"/>
  <c r="E72" i="8"/>
  <c r="E68" i="8"/>
  <c r="E62" i="8"/>
  <c r="E64" i="8"/>
  <c r="E73" i="8"/>
  <c r="E70" i="8"/>
  <c r="E60" i="8"/>
  <c r="E67" i="8"/>
  <c r="E66" i="8"/>
  <c r="E59" i="8"/>
  <c r="E220" i="8"/>
  <c r="E226" i="8"/>
  <c r="E217" i="8"/>
  <c r="E224" i="8"/>
  <c r="E223" i="8"/>
  <c r="E218" i="8"/>
  <c r="E214" i="8"/>
  <c r="E222" i="8"/>
  <c r="E227" i="8"/>
  <c r="E229" i="8"/>
  <c r="E230" i="8"/>
  <c r="E228" i="8"/>
  <c r="E216" i="8"/>
  <c r="E221" i="8"/>
  <c r="E219" i="8"/>
  <c r="E213" i="8"/>
  <c r="E215" i="8"/>
  <c r="E225" i="8"/>
  <c r="S121" i="5"/>
  <c r="Y121" i="5"/>
  <c r="Y128" i="5"/>
  <c r="S128" i="5"/>
  <c r="Y98" i="5"/>
  <c r="S98" i="5"/>
  <c r="Y99" i="5"/>
  <c r="S99" i="5"/>
  <c r="S91" i="5"/>
  <c r="Y91" i="5"/>
  <c r="J210" i="8"/>
  <c r="L218" i="8"/>
  <c r="H218" i="8"/>
  <c r="G223" i="8"/>
  <c r="K223" i="8"/>
  <c r="K226" i="8"/>
  <c r="G226" i="8"/>
  <c r="K217" i="8"/>
  <c r="G217" i="8"/>
  <c r="K126" i="8"/>
  <c r="G126" i="8"/>
  <c r="K123" i="8"/>
  <c r="G123" i="8"/>
  <c r="L126" i="8"/>
  <c r="H126" i="8"/>
  <c r="L131" i="8"/>
  <c r="H131" i="8"/>
  <c r="J191" i="6"/>
  <c r="J244" i="6"/>
  <c r="I246" i="7"/>
  <c r="J246" i="7" s="1"/>
  <c r="AB29" i="7" s="1"/>
  <c r="I256" i="7"/>
  <c r="J256" i="7" s="1"/>
  <c r="AB39" i="7" s="1"/>
  <c r="J184" i="6"/>
  <c r="J189" i="6"/>
  <c r="L287" i="8"/>
  <c r="H287" i="8"/>
  <c r="L275" i="8"/>
  <c r="H275" i="8"/>
  <c r="H74" i="8"/>
  <c r="L74" i="8"/>
  <c r="L70" i="8"/>
  <c r="H70" i="8"/>
  <c r="I71" i="7"/>
  <c r="J71" i="7" s="1"/>
  <c r="V40" i="7" s="1"/>
  <c r="I61" i="7"/>
  <c r="J61" i="7" s="1"/>
  <c r="V30" i="7" s="1"/>
  <c r="Y71" i="5"/>
  <c r="S71" i="5"/>
  <c r="I254" i="7"/>
  <c r="J254" i="7" s="1"/>
  <c r="AB37" i="7" s="1"/>
  <c r="J130" i="6"/>
  <c r="Y39" i="5"/>
  <c r="S39" i="5"/>
  <c r="S32" i="5"/>
  <c r="Y32" i="5"/>
  <c r="Y29" i="5"/>
  <c r="S29" i="5"/>
  <c r="J252" i="6"/>
  <c r="K58" i="8"/>
  <c r="G58" i="8"/>
  <c r="G69" i="8"/>
  <c r="K69" i="8"/>
  <c r="I188" i="7"/>
  <c r="J188" i="7" s="1"/>
  <c r="Z33" i="7" s="1"/>
  <c r="I123" i="7"/>
  <c r="J123" i="7" s="1"/>
  <c r="X30" i="7" s="1"/>
  <c r="AJ55" i="8"/>
  <c r="AH71" i="8"/>
  <c r="AJ71" i="8" s="1"/>
  <c r="AH60" i="8"/>
  <c r="AJ60" i="8" s="1"/>
  <c r="AH59" i="8"/>
  <c r="AJ59" i="8" s="1"/>
  <c r="AH72" i="8"/>
  <c r="AJ72" i="8" s="1"/>
  <c r="AH64" i="8"/>
  <c r="AJ64" i="8" s="1"/>
  <c r="AH61" i="8"/>
  <c r="AJ61" i="8" s="1"/>
  <c r="AH70" i="8"/>
  <c r="AJ70" i="8" s="1"/>
  <c r="AH75" i="8"/>
  <c r="AJ75" i="8" s="1"/>
  <c r="AH67" i="8"/>
  <c r="AJ67" i="8" s="1"/>
  <c r="AH63" i="8"/>
  <c r="AJ63" i="8" s="1"/>
  <c r="AH66" i="8"/>
  <c r="AJ66" i="8" s="1"/>
  <c r="AH74" i="8"/>
  <c r="AJ74" i="8" s="1"/>
  <c r="AH73" i="8"/>
  <c r="AJ73" i="8" s="1"/>
  <c r="AH58" i="8"/>
  <c r="AJ58" i="8" s="1"/>
  <c r="AH68" i="8"/>
  <c r="AJ68" i="8" s="1"/>
  <c r="AH62" i="8"/>
  <c r="AJ62" i="8" s="1"/>
  <c r="AH69" i="8"/>
  <c r="AJ69" i="8" s="1"/>
  <c r="AH65" i="8"/>
  <c r="AJ65" i="8" s="1"/>
  <c r="K279" i="8"/>
  <c r="G279" i="8"/>
  <c r="G287" i="8"/>
  <c r="K287" i="8"/>
  <c r="E72" i="5"/>
  <c r="I72" i="5" s="1"/>
  <c r="E68" i="5"/>
  <c r="I68" i="5" s="1"/>
  <c r="E67" i="5"/>
  <c r="I67" i="5" s="1"/>
  <c r="E64" i="5"/>
  <c r="I64" i="5" s="1"/>
  <c r="E65" i="5"/>
  <c r="I65" i="5" s="1"/>
  <c r="E73" i="5"/>
  <c r="I73" i="5" s="1"/>
  <c r="E59" i="5"/>
  <c r="I59" i="5" s="1"/>
  <c r="E58" i="5"/>
  <c r="I58" i="5" s="1"/>
  <c r="E61" i="5"/>
  <c r="I61" i="5" s="1"/>
  <c r="E75" i="5"/>
  <c r="I75" i="5" s="1"/>
  <c r="E70" i="5"/>
  <c r="I70" i="5" s="1"/>
  <c r="E66" i="5"/>
  <c r="I66" i="5" s="1"/>
  <c r="E60" i="5"/>
  <c r="I60" i="5" s="1"/>
  <c r="E74" i="5"/>
  <c r="I74" i="5" s="1"/>
  <c r="E62" i="5"/>
  <c r="I62" i="5" s="1"/>
  <c r="E63" i="5"/>
  <c r="I63" i="5" s="1"/>
  <c r="E69" i="5"/>
  <c r="I69" i="5" s="1"/>
  <c r="I55" i="5"/>
  <c r="E71" i="5"/>
  <c r="I71" i="5" s="1"/>
  <c r="E196" i="6"/>
  <c r="E187" i="6"/>
  <c r="E193" i="6"/>
  <c r="E199" i="6"/>
  <c r="E188" i="6"/>
  <c r="E197" i="6"/>
  <c r="E185" i="6"/>
  <c r="E191" i="6"/>
  <c r="E195" i="6"/>
  <c r="E186" i="6"/>
  <c r="E190" i="6"/>
  <c r="E198" i="6"/>
  <c r="E189" i="6"/>
  <c r="E184" i="6"/>
  <c r="E182" i="6"/>
  <c r="E194" i="6"/>
  <c r="E183" i="6"/>
  <c r="E192" i="6"/>
  <c r="Y127" i="5"/>
  <c r="S127" i="5"/>
  <c r="S132" i="5"/>
  <c r="Y132" i="5"/>
  <c r="Y95" i="5"/>
  <c r="S95" i="5"/>
  <c r="Y94" i="5"/>
  <c r="S94" i="5"/>
  <c r="S100" i="5"/>
  <c r="Y100" i="5"/>
  <c r="H223" i="8"/>
  <c r="L223" i="8"/>
  <c r="H225" i="8"/>
  <c r="L225" i="8"/>
  <c r="F67" i="8"/>
  <c r="F62" i="8"/>
  <c r="F72" i="8"/>
  <c r="F66" i="8"/>
  <c r="F68" i="8"/>
  <c r="F71" i="8"/>
  <c r="F59" i="8"/>
  <c r="F70" i="8"/>
  <c r="F58" i="8"/>
  <c r="F65" i="8"/>
  <c r="F74" i="8"/>
  <c r="F75" i="8"/>
  <c r="F64" i="8"/>
  <c r="F61" i="8"/>
  <c r="F73" i="8"/>
  <c r="F69" i="8"/>
  <c r="F63" i="8"/>
  <c r="F60" i="8"/>
  <c r="K220" i="8"/>
  <c r="G220" i="8"/>
  <c r="G224" i="8"/>
  <c r="K224" i="8"/>
  <c r="G130" i="8"/>
  <c r="K130" i="8"/>
  <c r="K120" i="8"/>
  <c r="G120" i="8"/>
  <c r="K127" i="8"/>
  <c r="G127" i="8"/>
  <c r="L132" i="8"/>
  <c r="H132" i="8"/>
  <c r="L127" i="8"/>
  <c r="H127" i="8"/>
  <c r="J249" i="6"/>
  <c r="I250" i="7"/>
  <c r="J250" i="7" s="1"/>
  <c r="AB33" i="7" s="1"/>
  <c r="I251" i="7"/>
  <c r="J251" i="7" s="1"/>
  <c r="AB34" i="7" s="1"/>
  <c r="J61" i="6"/>
  <c r="J188" i="6"/>
  <c r="L288" i="8"/>
  <c r="H288" i="8"/>
  <c r="J272" i="8"/>
  <c r="L59" i="8"/>
  <c r="H59" i="8"/>
  <c r="J71" i="6"/>
  <c r="J58" i="6"/>
  <c r="I73" i="7"/>
  <c r="J73" i="7" s="1"/>
  <c r="V42" i="7" s="1"/>
  <c r="I55" i="7"/>
  <c r="J55" i="7" s="1"/>
  <c r="I35" i="8" l="1"/>
  <c r="I230" i="5"/>
  <c r="I219" i="5"/>
  <c r="I215" i="5"/>
  <c r="I227" i="5"/>
  <c r="I220" i="5"/>
  <c r="I241" i="6"/>
  <c r="E29" i="8"/>
  <c r="I29" i="8" s="1"/>
  <c r="I217" i="5"/>
  <c r="I213" i="5"/>
  <c r="I224" i="5"/>
  <c r="I226" i="5"/>
  <c r="I228" i="5"/>
  <c r="I218" i="5"/>
  <c r="F27" i="8"/>
  <c r="I221" i="5"/>
  <c r="I216" i="5"/>
  <c r="I25" i="6"/>
  <c r="K25" i="6" s="1"/>
  <c r="L25" i="6" s="1"/>
  <c r="AA25" i="6" s="1"/>
  <c r="F31" i="6"/>
  <c r="F40" i="6"/>
  <c r="F30" i="6"/>
  <c r="F38" i="5"/>
  <c r="J38" i="5" s="1"/>
  <c r="F38" i="6"/>
  <c r="F34" i="6"/>
  <c r="F39" i="6"/>
  <c r="I39" i="6" s="1"/>
  <c r="K39" i="6" s="1"/>
  <c r="L39" i="6" s="1"/>
  <c r="AA39" i="6" s="1"/>
  <c r="F35" i="6"/>
  <c r="F28" i="6"/>
  <c r="F33" i="6"/>
  <c r="F36" i="6"/>
  <c r="F29" i="6"/>
  <c r="F37" i="6"/>
  <c r="F42" i="6"/>
  <c r="F27" i="6"/>
  <c r="I27" i="6" s="1"/>
  <c r="K27" i="6" s="1"/>
  <c r="L27" i="6" s="1"/>
  <c r="AA27" i="6" s="1"/>
  <c r="F44" i="6"/>
  <c r="F43" i="6"/>
  <c r="P272" i="8"/>
  <c r="W272" i="8" s="1"/>
  <c r="Q272" i="8"/>
  <c r="X272" i="8" s="1"/>
  <c r="U272" i="8"/>
  <c r="AB272" i="8" s="1"/>
  <c r="V272" i="8"/>
  <c r="F35" i="8"/>
  <c r="F37" i="8"/>
  <c r="F31" i="8"/>
  <c r="F44" i="8"/>
  <c r="J44" i="8" s="1"/>
  <c r="M211" i="5"/>
  <c r="N211" i="5" s="1"/>
  <c r="AJ25" i="5" s="1"/>
  <c r="F39" i="8"/>
  <c r="F38" i="8"/>
  <c r="F42" i="8"/>
  <c r="F40" i="8"/>
  <c r="F38" i="18"/>
  <c r="H38" i="18" s="1"/>
  <c r="J38" i="18" s="1"/>
  <c r="F34" i="8"/>
  <c r="J34" i="8" s="1"/>
  <c r="F29" i="8"/>
  <c r="J29" i="8" s="1"/>
  <c r="F41" i="8"/>
  <c r="E38" i="8"/>
  <c r="S25" i="8"/>
  <c r="Z25" i="8" s="1"/>
  <c r="T25" i="8"/>
  <c r="AA25" i="8" s="1"/>
  <c r="F36" i="8"/>
  <c r="Q25" i="8"/>
  <c r="X25" i="8" s="1"/>
  <c r="V25" i="8"/>
  <c r="F30" i="8"/>
  <c r="J30" i="8" s="1"/>
  <c r="F33" i="8"/>
  <c r="U25" i="8"/>
  <c r="AB25" i="8" s="1"/>
  <c r="F28" i="8"/>
  <c r="J28" i="8" s="1"/>
  <c r="F43" i="8"/>
  <c r="J25" i="8"/>
  <c r="M25" i="8" s="1"/>
  <c r="N25" i="8" s="1"/>
  <c r="BC25" i="8" s="1"/>
  <c r="E44" i="8"/>
  <c r="I44" i="8" s="1"/>
  <c r="E38" i="18"/>
  <c r="G38" i="18" s="1"/>
  <c r="I38" i="18" s="1"/>
  <c r="E45" i="18"/>
  <c r="G45" i="18" s="1"/>
  <c r="I45" i="18" s="1"/>
  <c r="F46" i="18"/>
  <c r="H46" i="18" s="1"/>
  <c r="J46" i="18" s="1"/>
  <c r="E43" i="18"/>
  <c r="G43" i="18" s="1"/>
  <c r="I43" i="18" s="1"/>
  <c r="E35" i="18"/>
  <c r="G35" i="18" s="1"/>
  <c r="I35" i="18" s="1"/>
  <c r="H27" i="18"/>
  <c r="J27" i="18" s="1"/>
  <c r="E36" i="18"/>
  <c r="G36" i="18" s="1"/>
  <c r="I36" i="18" s="1"/>
  <c r="E39" i="18"/>
  <c r="G39" i="18" s="1"/>
  <c r="I39" i="18" s="1"/>
  <c r="E30" i="18"/>
  <c r="G30" i="18" s="1"/>
  <c r="I30" i="18" s="1"/>
  <c r="E41" i="18"/>
  <c r="G41" i="18" s="1"/>
  <c r="I41" i="18" s="1"/>
  <c r="E33" i="18"/>
  <c r="G33" i="18" s="1"/>
  <c r="I33" i="18" s="1"/>
  <c r="E37" i="18"/>
  <c r="G37" i="18" s="1"/>
  <c r="I37" i="18" s="1"/>
  <c r="E34" i="18"/>
  <c r="G34" i="18" s="1"/>
  <c r="I34" i="18" s="1"/>
  <c r="F30" i="18"/>
  <c r="H30" i="18" s="1"/>
  <c r="J30" i="18" s="1"/>
  <c r="E42" i="18"/>
  <c r="G42" i="18" s="1"/>
  <c r="I42" i="18" s="1"/>
  <c r="E44" i="18"/>
  <c r="G44" i="18" s="1"/>
  <c r="I44" i="18" s="1"/>
  <c r="E29" i="18"/>
  <c r="G29" i="18" s="1"/>
  <c r="I29" i="18" s="1"/>
  <c r="F33" i="18"/>
  <c r="H33" i="18" s="1"/>
  <c r="J33" i="18" s="1"/>
  <c r="E123" i="6"/>
  <c r="E46" i="18"/>
  <c r="G46" i="18" s="1"/>
  <c r="I46" i="18" s="1"/>
  <c r="E32" i="18"/>
  <c r="G32" i="18" s="1"/>
  <c r="I32" i="18" s="1"/>
  <c r="F30" i="5"/>
  <c r="J30" i="5" s="1"/>
  <c r="F29" i="5"/>
  <c r="J29" i="5" s="1"/>
  <c r="F40" i="5"/>
  <c r="J40" i="5" s="1"/>
  <c r="K40" i="5" s="1"/>
  <c r="M40" i="5" s="1"/>
  <c r="N40" i="5" s="1"/>
  <c r="AD40" i="5" s="1"/>
  <c r="F28" i="5"/>
  <c r="J28" i="5" s="1"/>
  <c r="M87" i="8"/>
  <c r="N87" i="8" s="1"/>
  <c r="BE25" i="8" s="1"/>
  <c r="F27" i="5"/>
  <c r="J27" i="5" s="1"/>
  <c r="F35" i="5"/>
  <c r="J35" i="5" s="1"/>
  <c r="F41" i="5"/>
  <c r="J41" i="5" s="1"/>
  <c r="K41" i="5" s="1"/>
  <c r="M41" i="5" s="1"/>
  <c r="N41" i="5" s="1"/>
  <c r="AD41" i="5" s="1"/>
  <c r="E126" i="5"/>
  <c r="I126" i="5" s="1"/>
  <c r="F32" i="5"/>
  <c r="J32" i="5" s="1"/>
  <c r="K32" i="5" s="1"/>
  <c r="M32" i="5" s="1"/>
  <c r="N32" i="5" s="1"/>
  <c r="AD32" i="5" s="1"/>
  <c r="E30" i="8"/>
  <c r="E43" i="8"/>
  <c r="I43" i="8" s="1"/>
  <c r="E36" i="8"/>
  <c r="I36" i="8" s="1"/>
  <c r="I24" i="6"/>
  <c r="K24" i="6" s="1"/>
  <c r="L24" i="6" s="1"/>
  <c r="AA24" i="6" s="1"/>
  <c r="J151" i="6"/>
  <c r="I38" i="8"/>
  <c r="F37" i="5"/>
  <c r="J37" i="5" s="1"/>
  <c r="F34" i="5"/>
  <c r="J34" i="5" s="1"/>
  <c r="K34" i="5" s="1"/>
  <c r="M34" i="5" s="1"/>
  <c r="N34" i="5" s="1"/>
  <c r="AD34" i="5" s="1"/>
  <c r="F36" i="5"/>
  <c r="J36" i="5" s="1"/>
  <c r="K36" i="5" s="1"/>
  <c r="M36" i="5" s="1"/>
  <c r="N36" i="5" s="1"/>
  <c r="AD36" i="5" s="1"/>
  <c r="E37" i="8"/>
  <c r="I37" i="8" s="1"/>
  <c r="F31" i="5"/>
  <c r="J31" i="5" s="1"/>
  <c r="F42" i="5"/>
  <c r="J42" i="5" s="1"/>
  <c r="E31" i="8"/>
  <c r="F33" i="5"/>
  <c r="J33" i="5" s="1"/>
  <c r="F44" i="5"/>
  <c r="J44" i="5" s="1"/>
  <c r="E33" i="8"/>
  <c r="I33" i="8" s="1"/>
  <c r="E42" i="8"/>
  <c r="T42" i="8" s="1"/>
  <c r="AA42" i="8" s="1"/>
  <c r="E28" i="8"/>
  <c r="I28" i="8" s="1"/>
  <c r="E27" i="8"/>
  <c r="I27" i="8" s="1"/>
  <c r="E34" i="8"/>
  <c r="E41" i="8"/>
  <c r="I41" i="8" s="1"/>
  <c r="E32" i="8"/>
  <c r="I32" i="8" s="1"/>
  <c r="F32" i="8"/>
  <c r="I28" i="6"/>
  <c r="K28" i="6" s="1"/>
  <c r="L28" i="6" s="1"/>
  <c r="AA28" i="6" s="1"/>
  <c r="J26" i="18"/>
  <c r="F39" i="18"/>
  <c r="H39" i="18" s="1"/>
  <c r="J39" i="18" s="1"/>
  <c r="F31" i="18"/>
  <c r="H31" i="18" s="1"/>
  <c r="J31" i="18" s="1"/>
  <c r="K31" i="18" s="1"/>
  <c r="M31" i="18" s="1"/>
  <c r="N31" i="18" s="1"/>
  <c r="AD31" i="18" s="1"/>
  <c r="I24" i="8"/>
  <c r="M24" i="8" s="1"/>
  <c r="N24" i="8" s="1"/>
  <c r="BC24" i="8" s="1"/>
  <c r="P24" i="8"/>
  <c r="W24" i="8" s="1"/>
  <c r="V24" i="8"/>
  <c r="R24" i="8"/>
  <c r="Y24" i="8" s="1"/>
  <c r="T24" i="8"/>
  <c r="AA24" i="8" s="1"/>
  <c r="S24" i="8"/>
  <c r="Z24" i="8" s="1"/>
  <c r="Q24" i="8"/>
  <c r="X24" i="8" s="1"/>
  <c r="U24" i="8"/>
  <c r="AB24" i="8" s="1"/>
  <c r="E40" i="8"/>
  <c r="I40" i="8" s="1"/>
  <c r="F43" i="18"/>
  <c r="H43" i="18" s="1"/>
  <c r="J43" i="18" s="1"/>
  <c r="F37" i="18"/>
  <c r="H37" i="18" s="1"/>
  <c r="J37" i="18" s="1"/>
  <c r="F45" i="18"/>
  <c r="H45" i="18" s="1"/>
  <c r="J45" i="18" s="1"/>
  <c r="F36" i="18"/>
  <c r="H36" i="18" s="1"/>
  <c r="J36" i="18" s="1"/>
  <c r="F42" i="18"/>
  <c r="H42" i="18" s="1"/>
  <c r="J42" i="18" s="1"/>
  <c r="K24" i="5"/>
  <c r="M24" i="5" s="1"/>
  <c r="N24" i="5" s="1"/>
  <c r="AD24" i="5" s="1"/>
  <c r="F41" i="18"/>
  <c r="H41" i="18" s="1"/>
  <c r="J41" i="18" s="1"/>
  <c r="K41" i="18" s="1"/>
  <c r="M41" i="18" s="1"/>
  <c r="N41" i="18" s="1"/>
  <c r="AD41" i="18" s="1"/>
  <c r="F29" i="18"/>
  <c r="H29" i="18" s="1"/>
  <c r="J29" i="18" s="1"/>
  <c r="F44" i="18"/>
  <c r="H44" i="18" s="1"/>
  <c r="J44" i="18" s="1"/>
  <c r="I26" i="18"/>
  <c r="M273" i="8"/>
  <c r="N273" i="8" s="1"/>
  <c r="BK25" i="8" s="1"/>
  <c r="F32" i="18"/>
  <c r="H32" i="18" s="1"/>
  <c r="J32" i="18" s="1"/>
  <c r="K32" i="18" s="1"/>
  <c r="M32" i="18" s="1"/>
  <c r="N32" i="18" s="1"/>
  <c r="AD32" i="18" s="1"/>
  <c r="F40" i="18"/>
  <c r="H40" i="18" s="1"/>
  <c r="J40" i="18" s="1"/>
  <c r="K40" i="18" s="1"/>
  <c r="M40" i="18" s="1"/>
  <c r="N40" i="18" s="1"/>
  <c r="AD40" i="18" s="1"/>
  <c r="F34" i="18"/>
  <c r="H34" i="18" s="1"/>
  <c r="J34" i="18" s="1"/>
  <c r="K34" i="18" s="1"/>
  <c r="M34" i="18" s="1"/>
  <c r="N34" i="18" s="1"/>
  <c r="AD34" i="18" s="1"/>
  <c r="F35" i="18"/>
  <c r="H35" i="18" s="1"/>
  <c r="J35" i="18" s="1"/>
  <c r="K35" i="18" s="1"/>
  <c r="M35" i="18" s="1"/>
  <c r="N35" i="18" s="1"/>
  <c r="AD35" i="18" s="1"/>
  <c r="E31" i="5"/>
  <c r="I31" i="5" s="1"/>
  <c r="E31" i="6"/>
  <c r="I31" i="6" s="1"/>
  <c r="K31" i="6" s="1"/>
  <c r="L31" i="6" s="1"/>
  <c r="AA31" i="6" s="1"/>
  <c r="E130" i="6"/>
  <c r="E137" i="5"/>
  <c r="I137" i="5" s="1"/>
  <c r="I31" i="8"/>
  <c r="R43" i="8"/>
  <c r="Y43" i="8" s="1"/>
  <c r="E291" i="5"/>
  <c r="I291" i="5" s="1"/>
  <c r="L167" i="18"/>
  <c r="L76" i="18"/>
  <c r="L159" i="18"/>
  <c r="L153" i="18"/>
  <c r="L168" i="18"/>
  <c r="L169" i="18"/>
  <c r="J163" i="6"/>
  <c r="L65" i="18"/>
  <c r="L155" i="18"/>
  <c r="L154" i="18"/>
  <c r="L156" i="18"/>
  <c r="L164" i="18"/>
  <c r="L166" i="18"/>
  <c r="L162" i="18"/>
  <c r="I242" i="6"/>
  <c r="K242" i="6" s="1"/>
  <c r="L242" i="6" s="1"/>
  <c r="AH25" i="6" s="1"/>
  <c r="L161" i="18"/>
  <c r="L158" i="18"/>
  <c r="L75" i="18"/>
  <c r="L157" i="18"/>
  <c r="L69" i="18"/>
  <c r="L73" i="18"/>
  <c r="L74" i="18"/>
  <c r="E134" i="8"/>
  <c r="Q118" i="8"/>
  <c r="X118" i="8" s="1"/>
  <c r="L61" i="18"/>
  <c r="L70" i="18"/>
  <c r="E130" i="8"/>
  <c r="L67" i="18"/>
  <c r="L60" i="18"/>
  <c r="L68" i="18"/>
  <c r="E128" i="5"/>
  <c r="I128" i="5" s="1"/>
  <c r="E123" i="5"/>
  <c r="I123" i="5" s="1"/>
  <c r="L66" i="18"/>
  <c r="L58" i="18"/>
  <c r="L72" i="18"/>
  <c r="L64" i="18"/>
  <c r="L150" i="18"/>
  <c r="K190" i="8"/>
  <c r="L77" i="18"/>
  <c r="L170" i="18"/>
  <c r="L63" i="18"/>
  <c r="J40" i="8"/>
  <c r="I117" i="6"/>
  <c r="I148" i="6" s="1"/>
  <c r="E120" i="6"/>
  <c r="E133" i="6"/>
  <c r="E121" i="6"/>
  <c r="E137" i="6"/>
  <c r="E136" i="6"/>
  <c r="E124" i="6"/>
  <c r="E131" i="6"/>
  <c r="E125" i="6"/>
  <c r="E126" i="6"/>
  <c r="E127" i="6"/>
  <c r="E129" i="6"/>
  <c r="E122" i="6"/>
  <c r="E134" i="6"/>
  <c r="E132" i="6"/>
  <c r="S86" i="8"/>
  <c r="Z86" i="8" s="1"/>
  <c r="E128" i="6"/>
  <c r="J156" i="6"/>
  <c r="F248" i="6"/>
  <c r="F260" i="6"/>
  <c r="I39" i="8"/>
  <c r="I211" i="6"/>
  <c r="K211" i="6" s="1"/>
  <c r="L211" i="6" s="1"/>
  <c r="AG25" i="6" s="1"/>
  <c r="F256" i="6"/>
  <c r="F252" i="6"/>
  <c r="F249" i="6"/>
  <c r="F245" i="6"/>
  <c r="F254" i="6"/>
  <c r="F253" i="6"/>
  <c r="F261" i="6"/>
  <c r="F246" i="6"/>
  <c r="F250" i="6"/>
  <c r="F257" i="6"/>
  <c r="F251" i="6"/>
  <c r="F258" i="6"/>
  <c r="F259" i="6"/>
  <c r="F255" i="6"/>
  <c r="F124" i="6"/>
  <c r="K86" i="6"/>
  <c r="L86" i="6" s="1"/>
  <c r="AC24" i="6" s="1"/>
  <c r="J164" i="6"/>
  <c r="F127" i="6"/>
  <c r="F130" i="5"/>
  <c r="J130" i="5" s="1"/>
  <c r="K163" i="18"/>
  <c r="M163" i="18" s="1"/>
  <c r="N163" i="18" s="1"/>
  <c r="AH39" i="18" s="1"/>
  <c r="L250" i="5"/>
  <c r="F128" i="5"/>
  <c r="J128" i="5" s="1"/>
  <c r="F126" i="5"/>
  <c r="J126" i="5" s="1"/>
  <c r="F137" i="6"/>
  <c r="F133" i="6"/>
  <c r="F122" i="6"/>
  <c r="F121" i="6"/>
  <c r="F135" i="6"/>
  <c r="I135" i="6" s="1"/>
  <c r="F128" i="6"/>
  <c r="F131" i="6"/>
  <c r="F123" i="6"/>
  <c r="I123" i="6" s="1"/>
  <c r="K123" i="6" s="1"/>
  <c r="L123" i="6" s="1"/>
  <c r="AD30" i="6" s="1"/>
  <c r="F136" i="6"/>
  <c r="F125" i="6"/>
  <c r="F129" i="6"/>
  <c r="F130" i="6"/>
  <c r="F126" i="6"/>
  <c r="F120" i="6"/>
  <c r="F132" i="6"/>
  <c r="F134" i="6"/>
  <c r="E247" i="6"/>
  <c r="E281" i="5"/>
  <c r="I281" i="5" s="1"/>
  <c r="E134" i="5"/>
  <c r="I134" i="5" s="1"/>
  <c r="E130" i="5"/>
  <c r="I130" i="5" s="1"/>
  <c r="T86" i="8"/>
  <c r="E275" i="5"/>
  <c r="I275" i="5" s="1"/>
  <c r="E132" i="5"/>
  <c r="I132" i="5" s="1"/>
  <c r="E131" i="5"/>
  <c r="I131" i="5" s="1"/>
  <c r="Q273" i="8"/>
  <c r="X273" i="8" s="1"/>
  <c r="U86" i="8"/>
  <c r="AB86" i="8" s="1"/>
  <c r="E288" i="5"/>
  <c r="I288" i="5" s="1"/>
  <c r="P86" i="8"/>
  <c r="W86" i="8" s="1"/>
  <c r="E277" i="5"/>
  <c r="I277" i="5" s="1"/>
  <c r="E290" i="5"/>
  <c r="I290" i="5" s="1"/>
  <c r="E133" i="5"/>
  <c r="I133" i="5" s="1"/>
  <c r="E122" i="5"/>
  <c r="I122" i="5" s="1"/>
  <c r="Q86" i="8"/>
  <c r="E292" i="5"/>
  <c r="I292" i="5" s="1"/>
  <c r="E278" i="5"/>
  <c r="I278" i="5" s="1"/>
  <c r="E127" i="5"/>
  <c r="I127" i="5" s="1"/>
  <c r="E121" i="5"/>
  <c r="I121" i="5" s="1"/>
  <c r="K46" i="18"/>
  <c r="M46" i="18" s="1"/>
  <c r="N46" i="18" s="1"/>
  <c r="AD46" i="18" s="1"/>
  <c r="R86" i="8"/>
  <c r="Y86" i="8" s="1"/>
  <c r="E280" i="5"/>
  <c r="I280" i="5" s="1"/>
  <c r="E129" i="5"/>
  <c r="I129" i="5" s="1"/>
  <c r="E120" i="5"/>
  <c r="I120" i="5" s="1"/>
  <c r="E135" i="5"/>
  <c r="I135" i="5" s="1"/>
  <c r="F289" i="8"/>
  <c r="Q289" i="8" s="1"/>
  <c r="X289" i="8" s="1"/>
  <c r="K118" i="5"/>
  <c r="M118" i="5" s="1"/>
  <c r="N118" i="5" s="1"/>
  <c r="AG25" i="5" s="1"/>
  <c r="V86" i="8"/>
  <c r="E287" i="5"/>
  <c r="I287" i="5" s="1"/>
  <c r="E124" i="5"/>
  <c r="I124" i="5" s="1"/>
  <c r="E136" i="5"/>
  <c r="I136" i="5" s="1"/>
  <c r="E125" i="5"/>
  <c r="I125" i="5" s="1"/>
  <c r="F276" i="8"/>
  <c r="P276" i="8" s="1"/>
  <c r="W276" i="8" s="1"/>
  <c r="L257" i="5"/>
  <c r="J230" i="6"/>
  <c r="E137" i="8"/>
  <c r="E126" i="8"/>
  <c r="L260" i="5"/>
  <c r="E128" i="8"/>
  <c r="E122" i="8"/>
  <c r="E120" i="8"/>
  <c r="E136" i="8"/>
  <c r="I136" i="8" s="1"/>
  <c r="E135" i="8"/>
  <c r="E129" i="8"/>
  <c r="S118" i="8"/>
  <c r="Z118" i="8" s="1"/>
  <c r="E125" i="8"/>
  <c r="E127" i="8"/>
  <c r="F135" i="8"/>
  <c r="J118" i="8"/>
  <c r="M118" i="8" s="1"/>
  <c r="N118" i="8" s="1"/>
  <c r="BF25" i="8" s="1"/>
  <c r="E131" i="8"/>
  <c r="E123" i="8"/>
  <c r="L252" i="5"/>
  <c r="J210" i="6"/>
  <c r="E124" i="8"/>
  <c r="I124" i="8" s="1"/>
  <c r="E133" i="8"/>
  <c r="F125" i="18"/>
  <c r="H125" i="18" s="1"/>
  <c r="J125" i="18" s="1"/>
  <c r="F126" i="8"/>
  <c r="E121" i="8"/>
  <c r="E132" i="8"/>
  <c r="I132" i="8" s="1"/>
  <c r="K71" i="18"/>
  <c r="M71" i="18" s="1"/>
  <c r="N71" i="18" s="1"/>
  <c r="AE40" i="18" s="1"/>
  <c r="J104" i="18"/>
  <c r="J105" i="18"/>
  <c r="J102" i="18"/>
  <c r="K43" i="18"/>
  <c r="M43" i="18" s="1"/>
  <c r="N43" i="18" s="1"/>
  <c r="AD43" i="18" s="1"/>
  <c r="J101" i="18"/>
  <c r="J96" i="18"/>
  <c r="J97" i="18"/>
  <c r="J89" i="18"/>
  <c r="K89" i="18" s="1"/>
  <c r="M89" i="18" s="1"/>
  <c r="N89" i="18" s="1"/>
  <c r="AF27" i="18" s="1"/>
  <c r="J95" i="18"/>
  <c r="J88" i="18"/>
  <c r="J98" i="18"/>
  <c r="K27" i="5"/>
  <c r="M27" i="5" s="1"/>
  <c r="N27" i="5" s="1"/>
  <c r="AD27" i="5" s="1"/>
  <c r="J100" i="18"/>
  <c r="J99" i="18"/>
  <c r="J94" i="18"/>
  <c r="J108" i="18"/>
  <c r="K37" i="18"/>
  <c r="M37" i="18" s="1"/>
  <c r="N37" i="18" s="1"/>
  <c r="AD37" i="18" s="1"/>
  <c r="J103" i="18"/>
  <c r="J92" i="18"/>
  <c r="F120" i="8"/>
  <c r="K117" i="5"/>
  <c r="J93" i="18"/>
  <c r="J107" i="18"/>
  <c r="F131" i="8"/>
  <c r="F124" i="8"/>
  <c r="K58" i="5"/>
  <c r="E284" i="5"/>
  <c r="I284" i="5" s="1"/>
  <c r="F129" i="8"/>
  <c r="F121" i="8"/>
  <c r="E279" i="5"/>
  <c r="I279" i="5" s="1"/>
  <c r="E289" i="5"/>
  <c r="I289" i="5" s="1"/>
  <c r="P117" i="8"/>
  <c r="W117" i="8" s="1"/>
  <c r="T118" i="8"/>
  <c r="AA118" i="8" s="1"/>
  <c r="F280" i="8"/>
  <c r="T280" i="8" s="1"/>
  <c r="AA280" i="8" s="1"/>
  <c r="I37" i="6"/>
  <c r="K37" i="6" s="1"/>
  <c r="L37" i="6" s="1"/>
  <c r="AA37" i="6" s="1"/>
  <c r="F123" i="18"/>
  <c r="H123" i="18" s="1"/>
  <c r="J123" i="18" s="1"/>
  <c r="F130" i="8"/>
  <c r="F125" i="8"/>
  <c r="F132" i="8"/>
  <c r="E283" i="5"/>
  <c r="I283" i="5" s="1"/>
  <c r="E282" i="5"/>
  <c r="I282" i="5" s="1"/>
  <c r="T117" i="8"/>
  <c r="AA117" i="8" s="1"/>
  <c r="R118" i="8"/>
  <c r="Y118" i="8" s="1"/>
  <c r="F275" i="8"/>
  <c r="Q275" i="8" s="1"/>
  <c r="X275" i="8" s="1"/>
  <c r="F122" i="8"/>
  <c r="F127" i="8"/>
  <c r="F123" i="8"/>
  <c r="J123" i="8" s="1"/>
  <c r="E276" i="5"/>
  <c r="I276" i="5" s="1"/>
  <c r="E286" i="5"/>
  <c r="I286" i="5" s="1"/>
  <c r="R117" i="8"/>
  <c r="Y117" i="8" s="1"/>
  <c r="U118" i="8"/>
  <c r="AB118" i="8" s="1"/>
  <c r="V117" i="8"/>
  <c r="P118" i="8"/>
  <c r="W118" i="8" s="1"/>
  <c r="F136" i="8"/>
  <c r="J136" i="8" s="1"/>
  <c r="U117" i="8"/>
  <c r="AB117" i="8" s="1"/>
  <c r="K75" i="5"/>
  <c r="F128" i="8"/>
  <c r="J128" i="8" s="1"/>
  <c r="J117" i="8"/>
  <c r="M117" i="8" s="1"/>
  <c r="N117" i="8" s="1"/>
  <c r="Q117" i="8"/>
  <c r="X117" i="8" s="1"/>
  <c r="V118" i="8"/>
  <c r="F137" i="8"/>
  <c r="F134" i="8"/>
  <c r="T134" i="8" s="1"/>
  <c r="AA134" i="8" s="1"/>
  <c r="F133" i="8"/>
  <c r="J133" i="8" s="1"/>
  <c r="E285" i="5"/>
  <c r="I285" i="5" s="1"/>
  <c r="K33" i="18"/>
  <c r="M33" i="18" s="1"/>
  <c r="N33" i="18" s="1"/>
  <c r="AD33" i="18" s="1"/>
  <c r="L244" i="5"/>
  <c r="L253" i="5"/>
  <c r="E255" i="6"/>
  <c r="E248" i="6"/>
  <c r="E259" i="6"/>
  <c r="E261" i="6"/>
  <c r="E250" i="6"/>
  <c r="F136" i="18"/>
  <c r="H136" i="18" s="1"/>
  <c r="J136" i="18" s="1"/>
  <c r="F124" i="18"/>
  <c r="H124" i="18" s="1"/>
  <c r="J124" i="18" s="1"/>
  <c r="E246" i="6"/>
  <c r="E245" i="6"/>
  <c r="E256" i="6"/>
  <c r="F139" i="18"/>
  <c r="H139" i="18" s="1"/>
  <c r="J139" i="18" s="1"/>
  <c r="F138" i="18"/>
  <c r="H138" i="18" s="1"/>
  <c r="J138" i="18" s="1"/>
  <c r="J241" i="8"/>
  <c r="F133" i="18"/>
  <c r="H133" i="18" s="1"/>
  <c r="J133" i="18" s="1"/>
  <c r="F134" i="18"/>
  <c r="H134" i="18" s="1"/>
  <c r="J134" i="18" s="1"/>
  <c r="F126" i="18"/>
  <c r="H126" i="18" s="1"/>
  <c r="J126" i="18" s="1"/>
  <c r="J104" i="8"/>
  <c r="K196" i="8"/>
  <c r="F127" i="18"/>
  <c r="H127" i="18" s="1"/>
  <c r="J127" i="18" s="1"/>
  <c r="F129" i="18"/>
  <c r="H129" i="18" s="1"/>
  <c r="J129" i="18" s="1"/>
  <c r="F122" i="18"/>
  <c r="H122" i="18" s="1"/>
  <c r="J122" i="18" s="1"/>
  <c r="L249" i="5"/>
  <c r="L245" i="5"/>
  <c r="E257" i="6"/>
  <c r="E244" i="6"/>
  <c r="I244" i="6" s="1"/>
  <c r="K244" i="6" s="1"/>
  <c r="L244" i="6" s="1"/>
  <c r="AH27" i="6" s="1"/>
  <c r="F135" i="18"/>
  <c r="H135" i="18" s="1"/>
  <c r="J135" i="18" s="1"/>
  <c r="F131" i="18"/>
  <c r="H131" i="18" s="1"/>
  <c r="J131" i="18" s="1"/>
  <c r="F130" i="18"/>
  <c r="H130" i="18" s="1"/>
  <c r="J130" i="18" s="1"/>
  <c r="L255" i="5"/>
  <c r="E258" i="6"/>
  <c r="K65" i="5"/>
  <c r="E252" i="6"/>
  <c r="E260" i="6"/>
  <c r="E251" i="6"/>
  <c r="F128" i="18"/>
  <c r="H128" i="18" s="1"/>
  <c r="J128" i="18" s="1"/>
  <c r="F132" i="18"/>
  <c r="H132" i="18" s="1"/>
  <c r="J222" i="18"/>
  <c r="L256" i="5"/>
  <c r="E249" i="6"/>
  <c r="E254" i="6"/>
  <c r="J232" i="18"/>
  <c r="F137" i="18"/>
  <c r="H137" i="18" s="1"/>
  <c r="J137" i="18" s="1"/>
  <c r="L251" i="5"/>
  <c r="L247" i="5"/>
  <c r="J182" i="18"/>
  <c r="L200" i="18"/>
  <c r="L191" i="18"/>
  <c r="I226" i="7"/>
  <c r="J226" i="7" s="1"/>
  <c r="AA40" i="7" s="1"/>
  <c r="I213" i="7"/>
  <c r="J213" i="7" s="1"/>
  <c r="AA27" i="7" s="1"/>
  <c r="AD27" i="7" s="1"/>
  <c r="L256" i="8"/>
  <c r="H256" i="8"/>
  <c r="L259" i="8"/>
  <c r="H259" i="8"/>
  <c r="L253" i="8"/>
  <c r="H253" i="8"/>
  <c r="J95" i="8"/>
  <c r="G253" i="8"/>
  <c r="K253" i="8"/>
  <c r="G260" i="8"/>
  <c r="K260" i="8"/>
  <c r="E100" i="18"/>
  <c r="G100" i="18" s="1"/>
  <c r="I100" i="18" s="1"/>
  <c r="E92" i="18"/>
  <c r="G92" i="18" s="1"/>
  <c r="I92" i="18" s="1"/>
  <c r="E108" i="18"/>
  <c r="G108" i="18" s="1"/>
  <c r="I108" i="18" s="1"/>
  <c r="E97" i="18"/>
  <c r="G97" i="18" s="1"/>
  <c r="I97" i="18" s="1"/>
  <c r="E98" i="18"/>
  <c r="G98" i="18" s="1"/>
  <c r="I98" i="18" s="1"/>
  <c r="E105" i="18"/>
  <c r="G105" i="18" s="1"/>
  <c r="I105" i="18" s="1"/>
  <c r="E107" i="18"/>
  <c r="G107" i="18" s="1"/>
  <c r="I107" i="18" s="1"/>
  <c r="E99" i="18"/>
  <c r="G99" i="18" s="1"/>
  <c r="I99" i="18" s="1"/>
  <c r="E91" i="18"/>
  <c r="G91" i="18" s="1"/>
  <c r="I91" i="18" s="1"/>
  <c r="K91" i="18" s="1"/>
  <c r="M91" i="18" s="1"/>
  <c r="N91" i="18" s="1"/>
  <c r="AF29" i="18" s="1"/>
  <c r="E93" i="18"/>
  <c r="G93" i="18" s="1"/>
  <c r="I93" i="18" s="1"/>
  <c r="E96" i="18"/>
  <c r="G96" i="18" s="1"/>
  <c r="I96" i="18" s="1"/>
  <c r="E103" i="18"/>
  <c r="G103" i="18" s="1"/>
  <c r="I103" i="18" s="1"/>
  <c r="E104" i="18"/>
  <c r="G104" i="18" s="1"/>
  <c r="I104" i="18" s="1"/>
  <c r="E95" i="18"/>
  <c r="G95" i="18" s="1"/>
  <c r="I95" i="18" s="1"/>
  <c r="E102" i="18"/>
  <c r="G102" i="18" s="1"/>
  <c r="I102" i="18" s="1"/>
  <c r="E106" i="18"/>
  <c r="G106" i="18" s="1"/>
  <c r="I106" i="18" s="1"/>
  <c r="K106" i="18" s="1"/>
  <c r="M106" i="18" s="1"/>
  <c r="N106" i="18" s="1"/>
  <c r="AF44" i="18" s="1"/>
  <c r="E94" i="18"/>
  <c r="G94" i="18" s="1"/>
  <c r="I94" i="18" s="1"/>
  <c r="G88" i="18"/>
  <c r="I88" i="18" s="1"/>
  <c r="E101" i="18"/>
  <c r="G101" i="18" s="1"/>
  <c r="I101" i="18" s="1"/>
  <c r="I210" i="7"/>
  <c r="J210" i="7" s="1"/>
  <c r="J219" i="6"/>
  <c r="K62" i="18"/>
  <c r="M62" i="18" s="1"/>
  <c r="N62" i="18" s="1"/>
  <c r="AE31" i="18" s="1"/>
  <c r="L244" i="8"/>
  <c r="H244" i="8"/>
  <c r="L251" i="8"/>
  <c r="H251" i="8"/>
  <c r="L245" i="8"/>
  <c r="H245" i="8"/>
  <c r="L246" i="5"/>
  <c r="L261" i="5"/>
  <c r="J100" i="8"/>
  <c r="K251" i="8"/>
  <c r="G251" i="8"/>
  <c r="K245" i="8"/>
  <c r="G245" i="8"/>
  <c r="L184" i="18"/>
  <c r="L188" i="18"/>
  <c r="L189" i="18"/>
  <c r="I230" i="7"/>
  <c r="J230" i="7" s="1"/>
  <c r="AA44" i="7" s="1"/>
  <c r="AD44" i="7" s="1"/>
  <c r="I228" i="7"/>
  <c r="J228" i="7" s="1"/>
  <c r="AA42" i="7" s="1"/>
  <c r="AD42" i="7" s="1"/>
  <c r="I224" i="7"/>
  <c r="J224" i="7" s="1"/>
  <c r="AA38" i="7" s="1"/>
  <c r="AD38" i="7" s="1"/>
  <c r="J99" i="8"/>
  <c r="J216" i="6"/>
  <c r="J218" i="6"/>
  <c r="K29" i="18"/>
  <c r="M29" i="18" s="1"/>
  <c r="N29" i="18" s="1"/>
  <c r="AD29" i="18" s="1"/>
  <c r="L250" i="8"/>
  <c r="H250" i="8"/>
  <c r="J105" i="8"/>
  <c r="L254" i="5"/>
  <c r="K247" i="8"/>
  <c r="G247" i="8"/>
  <c r="K256" i="8"/>
  <c r="G256" i="8"/>
  <c r="E90" i="8"/>
  <c r="U90" i="8" s="1"/>
  <c r="AB90" i="8" s="1"/>
  <c r="E101" i="8"/>
  <c r="Q101" i="8" s="1"/>
  <c r="X101" i="8" s="1"/>
  <c r="E105" i="8"/>
  <c r="P105" i="8" s="1"/>
  <c r="W105" i="8" s="1"/>
  <c r="E104" i="8"/>
  <c r="P104" i="8" s="1"/>
  <c r="W104" i="8" s="1"/>
  <c r="E98" i="8"/>
  <c r="V98" i="8" s="1"/>
  <c r="E102" i="8"/>
  <c r="T102" i="8" s="1"/>
  <c r="AA102" i="8" s="1"/>
  <c r="E94" i="8"/>
  <c r="R94" i="8" s="1"/>
  <c r="Y94" i="8" s="1"/>
  <c r="E93" i="8"/>
  <c r="R93" i="8" s="1"/>
  <c r="Y93" i="8" s="1"/>
  <c r="E99" i="8"/>
  <c r="U99" i="8" s="1"/>
  <c r="AB99" i="8" s="1"/>
  <c r="E100" i="8"/>
  <c r="Q100" i="8" s="1"/>
  <c r="X100" i="8" s="1"/>
  <c r="E106" i="8"/>
  <c r="P106" i="8" s="1"/>
  <c r="W106" i="8" s="1"/>
  <c r="E97" i="8"/>
  <c r="S97" i="8" s="1"/>
  <c r="Z97" i="8" s="1"/>
  <c r="E92" i="8"/>
  <c r="R92" i="8" s="1"/>
  <c r="Y92" i="8" s="1"/>
  <c r="E103" i="8"/>
  <c r="I103" i="8" s="1"/>
  <c r="E91" i="8"/>
  <c r="S91" i="8" s="1"/>
  <c r="Z91" i="8" s="1"/>
  <c r="E89" i="8"/>
  <c r="Q89" i="8" s="1"/>
  <c r="X89" i="8" s="1"/>
  <c r="E96" i="8"/>
  <c r="I96" i="8" s="1"/>
  <c r="E95" i="8"/>
  <c r="V95" i="8" s="1"/>
  <c r="L196" i="18"/>
  <c r="L187" i="18"/>
  <c r="L192" i="18"/>
  <c r="I223" i="7"/>
  <c r="J223" i="7" s="1"/>
  <c r="AA37" i="7" s="1"/>
  <c r="AD37" i="7" s="1"/>
  <c r="I221" i="7"/>
  <c r="J221" i="7" s="1"/>
  <c r="AA35" i="7" s="1"/>
  <c r="J102" i="8"/>
  <c r="J215" i="6"/>
  <c r="J224" i="6"/>
  <c r="V106" i="8"/>
  <c r="F188" i="18"/>
  <c r="H188" i="18" s="1"/>
  <c r="J188" i="18" s="1"/>
  <c r="F194" i="18"/>
  <c r="H194" i="18" s="1"/>
  <c r="J194" i="18" s="1"/>
  <c r="F190" i="18"/>
  <c r="H190" i="18" s="1"/>
  <c r="J190" i="18" s="1"/>
  <c r="F185" i="18"/>
  <c r="H185" i="18" s="1"/>
  <c r="J185" i="18" s="1"/>
  <c r="F193" i="18"/>
  <c r="H193" i="18" s="1"/>
  <c r="J193" i="18" s="1"/>
  <c r="F192" i="18"/>
  <c r="H192" i="18" s="1"/>
  <c r="J192" i="18" s="1"/>
  <c r="H181" i="18"/>
  <c r="J181" i="18" s="1"/>
  <c r="F200" i="18"/>
  <c r="H200" i="18" s="1"/>
  <c r="J200" i="18" s="1"/>
  <c r="F201" i="18"/>
  <c r="H201" i="18" s="1"/>
  <c r="J201" i="18" s="1"/>
  <c r="F191" i="18"/>
  <c r="H191" i="18" s="1"/>
  <c r="J191" i="18" s="1"/>
  <c r="F198" i="18"/>
  <c r="H198" i="18" s="1"/>
  <c r="J198" i="18" s="1"/>
  <c r="F187" i="18"/>
  <c r="H187" i="18" s="1"/>
  <c r="J187" i="18" s="1"/>
  <c r="F186" i="18"/>
  <c r="H186" i="18" s="1"/>
  <c r="J186" i="18" s="1"/>
  <c r="F199" i="18"/>
  <c r="H199" i="18" s="1"/>
  <c r="J199" i="18" s="1"/>
  <c r="F184" i="18"/>
  <c r="H184" i="18" s="1"/>
  <c r="J184" i="18" s="1"/>
  <c r="F197" i="18"/>
  <c r="H197" i="18" s="1"/>
  <c r="J197" i="18" s="1"/>
  <c r="F196" i="18"/>
  <c r="H196" i="18" s="1"/>
  <c r="J196" i="18" s="1"/>
  <c r="F195" i="18"/>
  <c r="H195" i="18" s="1"/>
  <c r="J195" i="18" s="1"/>
  <c r="F189" i="18"/>
  <c r="H189" i="18" s="1"/>
  <c r="J189" i="18" s="1"/>
  <c r="K273" i="5"/>
  <c r="L254" i="8"/>
  <c r="H254" i="8"/>
  <c r="L246" i="8"/>
  <c r="H246" i="8"/>
  <c r="L259" i="5"/>
  <c r="L248" i="5"/>
  <c r="L258" i="5"/>
  <c r="J93" i="8"/>
  <c r="E222" i="6"/>
  <c r="E221" i="6"/>
  <c r="E226" i="6"/>
  <c r="E228" i="6"/>
  <c r="E216" i="6"/>
  <c r="E220" i="6"/>
  <c r="E227" i="6"/>
  <c r="E219" i="6"/>
  <c r="E214" i="6"/>
  <c r="E215" i="6"/>
  <c r="E218" i="6"/>
  <c r="E217" i="6"/>
  <c r="E224" i="6"/>
  <c r="E225" i="6"/>
  <c r="E223" i="6"/>
  <c r="E230" i="6"/>
  <c r="E213" i="6"/>
  <c r="E229" i="6"/>
  <c r="J101" i="8"/>
  <c r="G252" i="8"/>
  <c r="K252" i="8"/>
  <c r="K250" i="8"/>
  <c r="G250" i="8"/>
  <c r="E98" i="5"/>
  <c r="I98" i="5" s="1"/>
  <c r="K98" i="5" s="1"/>
  <c r="M98" i="5" s="1"/>
  <c r="N98" i="5" s="1"/>
  <c r="AF36" i="5" s="1"/>
  <c r="E90" i="5"/>
  <c r="I90" i="5" s="1"/>
  <c r="K90" i="5" s="1"/>
  <c r="M90" i="5" s="1"/>
  <c r="N90" i="5" s="1"/>
  <c r="AF28" i="5" s="1"/>
  <c r="E99" i="5"/>
  <c r="I99" i="5" s="1"/>
  <c r="K99" i="5" s="1"/>
  <c r="M99" i="5" s="1"/>
  <c r="N99" i="5" s="1"/>
  <c r="AF37" i="5" s="1"/>
  <c r="E102" i="5"/>
  <c r="I102" i="5" s="1"/>
  <c r="K102" i="5" s="1"/>
  <c r="M102" i="5" s="1"/>
  <c r="N102" i="5" s="1"/>
  <c r="AF40" i="5" s="1"/>
  <c r="E89" i="5"/>
  <c r="I89" i="5" s="1"/>
  <c r="K89" i="5" s="1"/>
  <c r="M89" i="5" s="1"/>
  <c r="N89" i="5" s="1"/>
  <c r="AF27" i="5" s="1"/>
  <c r="E93" i="5"/>
  <c r="I93" i="5" s="1"/>
  <c r="K93" i="5" s="1"/>
  <c r="M93" i="5" s="1"/>
  <c r="N93" i="5" s="1"/>
  <c r="AF31" i="5" s="1"/>
  <c r="E106" i="5"/>
  <c r="I106" i="5" s="1"/>
  <c r="K106" i="5" s="1"/>
  <c r="M106" i="5" s="1"/>
  <c r="N106" i="5" s="1"/>
  <c r="AF44" i="5" s="1"/>
  <c r="E96" i="5"/>
  <c r="I96" i="5" s="1"/>
  <c r="K96" i="5" s="1"/>
  <c r="M96" i="5" s="1"/>
  <c r="N96" i="5" s="1"/>
  <c r="AF34" i="5" s="1"/>
  <c r="E91" i="5"/>
  <c r="I91" i="5" s="1"/>
  <c r="K91" i="5" s="1"/>
  <c r="M91" i="5" s="1"/>
  <c r="N91" i="5" s="1"/>
  <c r="AF29" i="5" s="1"/>
  <c r="E103" i="5"/>
  <c r="I103" i="5" s="1"/>
  <c r="K103" i="5" s="1"/>
  <c r="M103" i="5" s="1"/>
  <c r="N103" i="5" s="1"/>
  <c r="AF41" i="5" s="1"/>
  <c r="E101" i="5"/>
  <c r="I101" i="5" s="1"/>
  <c r="K101" i="5" s="1"/>
  <c r="M101" i="5" s="1"/>
  <c r="N101" i="5" s="1"/>
  <c r="AF39" i="5" s="1"/>
  <c r="E95" i="5"/>
  <c r="I95" i="5" s="1"/>
  <c r="K95" i="5" s="1"/>
  <c r="M95" i="5" s="1"/>
  <c r="N95" i="5" s="1"/>
  <c r="AF33" i="5" s="1"/>
  <c r="E97" i="5"/>
  <c r="I97" i="5" s="1"/>
  <c r="K97" i="5" s="1"/>
  <c r="M97" i="5" s="1"/>
  <c r="N97" i="5" s="1"/>
  <c r="AF35" i="5" s="1"/>
  <c r="E94" i="5"/>
  <c r="I94" i="5" s="1"/>
  <c r="K94" i="5" s="1"/>
  <c r="M94" i="5" s="1"/>
  <c r="N94" i="5" s="1"/>
  <c r="AF32" i="5" s="1"/>
  <c r="E104" i="5"/>
  <c r="I104" i="5" s="1"/>
  <c r="K104" i="5" s="1"/>
  <c r="M104" i="5" s="1"/>
  <c r="N104" i="5" s="1"/>
  <c r="AF42" i="5" s="1"/>
  <c r="E92" i="5"/>
  <c r="I92" i="5" s="1"/>
  <c r="K92" i="5" s="1"/>
  <c r="M92" i="5" s="1"/>
  <c r="N92" i="5" s="1"/>
  <c r="AF30" i="5" s="1"/>
  <c r="I86" i="5"/>
  <c r="K86" i="5" s="1"/>
  <c r="M86" i="5" s="1"/>
  <c r="N86" i="5" s="1"/>
  <c r="E105" i="5"/>
  <c r="I105" i="5" s="1"/>
  <c r="K105" i="5" s="1"/>
  <c r="M105" i="5" s="1"/>
  <c r="N105" i="5" s="1"/>
  <c r="AF43" i="5" s="1"/>
  <c r="E100" i="5"/>
  <c r="I100" i="5" s="1"/>
  <c r="K100" i="5" s="1"/>
  <c r="M100" i="5" s="1"/>
  <c r="N100" i="5" s="1"/>
  <c r="AF38" i="5" s="1"/>
  <c r="L194" i="18"/>
  <c r="L197" i="18"/>
  <c r="K242" i="5"/>
  <c r="M242" i="5" s="1"/>
  <c r="N242" i="5" s="1"/>
  <c r="AK25" i="5" s="1"/>
  <c r="I222" i="7"/>
  <c r="J222" i="7" s="1"/>
  <c r="AA36" i="7" s="1"/>
  <c r="AD36" i="7" s="1"/>
  <c r="I217" i="7"/>
  <c r="J217" i="7" s="1"/>
  <c r="AA31" i="7" s="1"/>
  <c r="J227" i="6"/>
  <c r="J226" i="6"/>
  <c r="F218" i="6"/>
  <c r="F219" i="6"/>
  <c r="F220" i="6"/>
  <c r="F224" i="6"/>
  <c r="F221" i="6"/>
  <c r="F214" i="6"/>
  <c r="F213" i="6"/>
  <c r="F222" i="6"/>
  <c r="F215" i="6"/>
  <c r="F226" i="6"/>
  <c r="F223" i="6"/>
  <c r="F217" i="6"/>
  <c r="F225" i="6"/>
  <c r="F216" i="6"/>
  <c r="F229" i="6"/>
  <c r="F230" i="6"/>
  <c r="F228" i="6"/>
  <c r="F227" i="6"/>
  <c r="L252" i="8"/>
  <c r="H252" i="8"/>
  <c r="L247" i="8"/>
  <c r="H247" i="8"/>
  <c r="L241" i="5"/>
  <c r="E261" i="5"/>
  <c r="I261" i="5" s="1"/>
  <c r="E258" i="5"/>
  <c r="I258" i="5" s="1"/>
  <c r="E251" i="5"/>
  <c r="I251" i="5" s="1"/>
  <c r="E248" i="5"/>
  <c r="I248" i="5" s="1"/>
  <c r="E255" i="5"/>
  <c r="I255" i="5" s="1"/>
  <c r="E249" i="5"/>
  <c r="I249" i="5" s="1"/>
  <c r="E244" i="5"/>
  <c r="I244" i="5" s="1"/>
  <c r="E247" i="5"/>
  <c r="I247" i="5" s="1"/>
  <c r="E245" i="5"/>
  <c r="I245" i="5" s="1"/>
  <c r="E252" i="5"/>
  <c r="I252" i="5" s="1"/>
  <c r="E250" i="5"/>
  <c r="I250" i="5" s="1"/>
  <c r="E259" i="5"/>
  <c r="I259" i="5" s="1"/>
  <c r="E257" i="5"/>
  <c r="I257" i="5" s="1"/>
  <c r="I241" i="5"/>
  <c r="E256" i="5"/>
  <c r="I256" i="5" s="1"/>
  <c r="E246" i="5"/>
  <c r="I246" i="5" s="1"/>
  <c r="E253" i="5"/>
  <c r="I253" i="5" s="1"/>
  <c r="E260" i="5"/>
  <c r="I260" i="5" s="1"/>
  <c r="E254" i="5"/>
  <c r="I254" i="5" s="1"/>
  <c r="K255" i="8"/>
  <c r="G255" i="8"/>
  <c r="G249" i="8"/>
  <c r="K249" i="8"/>
  <c r="K257" i="8"/>
  <c r="G257" i="8"/>
  <c r="E92" i="6"/>
  <c r="I92" i="6" s="1"/>
  <c r="K92" i="6" s="1"/>
  <c r="L92" i="6" s="1"/>
  <c r="AC30" i="6" s="1"/>
  <c r="E95" i="6"/>
  <c r="I95" i="6" s="1"/>
  <c r="K95" i="6" s="1"/>
  <c r="L95" i="6" s="1"/>
  <c r="AC33" i="6" s="1"/>
  <c r="E94" i="6"/>
  <c r="I94" i="6" s="1"/>
  <c r="K94" i="6" s="1"/>
  <c r="L94" i="6" s="1"/>
  <c r="AC32" i="6" s="1"/>
  <c r="E97" i="6"/>
  <c r="I97" i="6" s="1"/>
  <c r="K97" i="6" s="1"/>
  <c r="L97" i="6" s="1"/>
  <c r="AC35" i="6" s="1"/>
  <c r="E89" i="6"/>
  <c r="I89" i="6" s="1"/>
  <c r="K89" i="6" s="1"/>
  <c r="L89" i="6" s="1"/>
  <c r="AC27" i="6" s="1"/>
  <c r="E99" i="6"/>
  <c r="I99" i="6" s="1"/>
  <c r="K99" i="6" s="1"/>
  <c r="L99" i="6" s="1"/>
  <c r="AC37" i="6" s="1"/>
  <c r="E100" i="6"/>
  <c r="I100" i="6" s="1"/>
  <c r="K100" i="6" s="1"/>
  <c r="L100" i="6" s="1"/>
  <c r="AC38" i="6" s="1"/>
  <c r="E101" i="6"/>
  <c r="I101" i="6" s="1"/>
  <c r="K101" i="6" s="1"/>
  <c r="L101" i="6" s="1"/>
  <c r="AC39" i="6" s="1"/>
  <c r="E102" i="6"/>
  <c r="I102" i="6" s="1"/>
  <c r="K102" i="6" s="1"/>
  <c r="L102" i="6" s="1"/>
  <c r="AC40" i="6" s="1"/>
  <c r="E103" i="6"/>
  <c r="I103" i="6" s="1"/>
  <c r="K103" i="6" s="1"/>
  <c r="L103" i="6" s="1"/>
  <c r="AC41" i="6" s="1"/>
  <c r="E104" i="6"/>
  <c r="I104" i="6" s="1"/>
  <c r="K104" i="6" s="1"/>
  <c r="L104" i="6" s="1"/>
  <c r="AC42" i="6" s="1"/>
  <c r="E106" i="6"/>
  <c r="I106" i="6" s="1"/>
  <c r="K106" i="6" s="1"/>
  <c r="L106" i="6" s="1"/>
  <c r="AC44" i="6" s="1"/>
  <c r="E105" i="6"/>
  <c r="I105" i="6" s="1"/>
  <c r="K105" i="6" s="1"/>
  <c r="L105" i="6" s="1"/>
  <c r="AC43" i="6" s="1"/>
  <c r="E93" i="6"/>
  <c r="I93" i="6" s="1"/>
  <c r="K93" i="6" s="1"/>
  <c r="L93" i="6" s="1"/>
  <c r="AC31" i="6" s="1"/>
  <c r="E90" i="6"/>
  <c r="I90" i="6" s="1"/>
  <c r="K90" i="6" s="1"/>
  <c r="L90" i="6" s="1"/>
  <c r="AC28" i="6" s="1"/>
  <c r="E91" i="6"/>
  <c r="I91" i="6" s="1"/>
  <c r="K91" i="6" s="1"/>
  <c r="L91" i="6" s="1"/>
  <c r="AC29" i="6" s="1"/>
  <c r="E96" i="6"/>
  <c r="I96" i="6" s="1"/>
  <c r="K96" i="6" s="1"/>
  <c r="L96" i="6" s="1"/>
  <c r="AC34" i="6" s="1"/>
  <c r="E98" i="6"/>
  <c r="I98" i="6" s="1"/>
  <c r="K98" i="6" s="1"/>
  <c r="L98" i="6" s="1"/>
  <c r="AC36" i="6" s="1"/>
  <c r="L193" i="18"/>
  <c r="L198" i="18"/>
  <c r="I219" i="7"/>
  <c r="J219" i="7" s="1"/>
  <c r="AA33" i="7" s="1"/>
  <c r="AD33" i="7" s="1"/>
  <c r="I218" i="7"/>
  <c r="J218" i="7" s="1"/>
  <c r="AA32" i="7" s="1"/>
  <c r="J222" i="6"/>
  <c r="I222" i="6"/>
  <c r="J214" i="6"/>
  <c r="J221" i="6"/>
  <c r="J97" i="8"/>
  <c r="F259" i="8"/>
  <c r="F245" i="8"/>
  <c r="F257" i="8"/>
  <c r="F244" i="8"/>
  <c r="F247" i="8"/>
  <c r="F253" i="8"/>
  <c r="F246" i="8"/>
  <c r="F248" i="8"/>
  <c r="F258" i="8"/>
  <c r="F251" i="8"/>
  <c r="F255" i="8"/>
  <c r="F250" i="8"/>
  <c r="F260" i="8"/>
  <c r="F252" i="8"/>
  <c r="F249" i="8"/>
  <c r="F254" i="8"/>
  <c r="F261" i="8"/>
  <c r="F256" i="8"/>
  <c r="I35" i="6"/>
  <c r="K35" i="6" s="1"/>
  <c r="L35" i="6" s="1"/>
  <c r="AA35" i="6" s="1"/>
  <c r="L255" i="8"/>
  <c r="H255" i="8"/>
  <c r="L258" i="8"/>
  <c r="H258" i="8"/>
  <c r="P242" i="8"/>
  <c r="W242" i="8" s="1"/>
  <c r="S242" i="8"/>
  <c r="Z242" i="8" s="1"/>
  <c r="U242" i="8"/>
  <c r="AB242" i="8" s="1"/>
  <c r="V242" i="8"/>
  <c r="R242" i="8"/>
  <c r="Y242" i="8" s="1"/>
  <c r="Q242" i="8"/>
  <c r="X242" i="8" s="1"/>
  <c r="I242" i="8"/>
  <c r="M242" i="8" s="1"/>
  <c r="N242" i="8" s="1"/>
  <c r="BJ25" i="8" s="1"/>
  <c r="T242" i="8"/>
  <c r="AA242" i="8" s="1"/>
  <c r="E248" i="8"/>
  <c r="E247" i="8"/>
  <c r="E245" i="8"/>
  <c r="E246" i="8"/>
  <c r="E257" i="8"/>
  <c r="E256" i="8"/>
  <c r="E259" i="8"/>
  <c r="E254" i="8"/>
  <c r="E258" i="8"/>
  <c r="E253" i="8"/>
  <c r="E255" i="8"/>
  <c r="E261" i="8"/>
  <c r="E260" i="8"/>
  <c r="E252" i="8"/>
  <c r="E250" i="8"/>
  <c r="E251" i="8"/>
  <c r="E244" i="8"/>
  <c r="E249" i="8"/>
  <c r="J94" i="8"/>
  <c r="K244" i="8"/>
  <c r="G244" i="8"/>
  <c r="G259" i="8"/>
  <c r="K259" i="8"/>
  <c r="K258" i="8"/>
  <c r="G258" i="8"/>
  <c r="J103" i="8"/>
  <c r="L195" i="18"/>
  <c r="L199" i="18"/>
  <c r="I229" i="7"/>
  <c r="J229" i="7" s="1"/>
  <c r="AA43" i="7" s="1"/>
  <c r="AD43" i="7" s="1"/>
  <c r="F51" i="9" s="1"/>
  <c r="I225" i="7"/>
  <c r="J225" i="7" s="1"/>
  <c r="AA39" i="7" s="1"/>
  <c r="AD39" i="7" s="1"/>
  <c r="T93" i="8"/>
  <c r="AA93" i="8" s="1"/>
  <c r="J225" i="6"/>
  <c r="J217" i="6"/>
  <c r="J228" i="6"/>
  <c r="J241" i="5"/>
  <c r="F248" i="5"/>
  <c r="J248" i="5" s="1"/>
  <c r="F256" i="5"/>
  <c r="J256" i="5" s="1"/>
  <c r="F258" i="5"/>
  <c r="J258" i="5" s="1"/>
  <c r="F247" i="5"/>
  <c r="J247" i="5" s="1"/>
  <c r="F252" i="5"/>
  <c r="J252" i="5" s="1"/>
  <c r="F246" i="5"/>
  <c r="J246" i="5" s="1"/>
  <c r="F257" i="5"/>
  <c r="J257" i="5" s="1"/>
  <c r="F250" i="5"/>
  <c r="J250" i="5" s="1"/>
  <c r="F259" i="5"/>
  <c r="J259" i="5" s="1"/>
  <c r="F254" i="5"/>
  <c r="J254" i="5" s="1"/>
  <c r="F245" i="5"/>
  <c r="J245" i="5" s="1"/>
  <c r="K245" i="5" s="1"/>
  <c r="F249" i="5"/>
  <c r="J249" i="5" s="1"/>
  <c r="F261" i="5"/>
  <c r="J261" i="5" s="1"/>
  <c r="F251" i="5"/>
  <c r="J251" i="5" s="1"/>
  <c r="F244" i="5"/>
  <c r="J244" i="5" s="1"/>
  <c r="F253" i="5"/>
  <c r="J253" i="5" s="1"/>
  <c r="F260" i="5"/>
  <c r="J260" i="5" s="1"/>
  <c r="F255" i="5"/>
  <c r="J255" i="5" s="1"/>
  <c r="J89" i="8"/>
  <c r="L249" i="8"/>
  <c r="H249" i="8"/>
  <c r="J249" i="8" s="1"/>
  <c r="L257" i="8"/>
  <c r="H257" i="8"/>
  <c r="J98" i="8"/>
  <c r="K261" i="8"/>
  <c r="G261" i="8"/>
  <c r="G246" i="8"/>
  <c r="K246" i="8"/>
  <c r="K248" i="8"/>
  <c r="G248" i="8"/>
  <c r="J96" i="8"/>
  <c r="L190" i="18"/>
  <c r="L201" i="18"/>
  <c r="I182" i="18"/>
  <c r="I215" i="7"/>
  <c r="J215" i="7" s="1"/>
  <c r="AA29" i="7" s="1"/>
  <c r="AD29" i="7" s="1"/>
  <c r="F37" i="9" s="1"/>
  <c r="I227" i="7"/>
  <c r="J227" i="7" s="1"/>
  <c r="AA41" i="7" s="1"/>
  <c r="AD41" i="7" s="1"/>
  <c r="AF41" i="7" s="1"/>
  <c r="AA49" i="9" s="1"/>
  <c r="J223" i="6"/>
  <c r="J229" i="6"/>
  <c r="I210" i="6"/>
  <c r="J91" i="8"/>
  <c r="W32" i="7"/>
  <c r="W46" i="7" s="1"/>
  <c r="J108" i="7"/>
  <c r="L248" i="8"/>
  <c r="H248" i="8"/>
  <c r="L261" i="8"/>
  <c r="H261" i="8"/>
  <c r="L260" i="8"/>
  <c r="H260" i="8"/>
  <c r="J90" i="8"/>
  <c r="G181" i="18"/>
  <c r="I181" i="18" s="1"/>
  <c r="E187" i="18"/>
  <c r="G187" i="18" s="1"/>
  <c r="I187" i="18" s="1"/>
  <c r="E190" i="18"/>
  <c r="G190" i="18" s="1"/>
  <c r="I190" i="18" s="1"/>
  <c r="E199" i="18"/>
  <c r="G199" i="18" s="1"/>
  <c r="I199" i="18" s="1"/>
  <c r="E184" i="18"/>
  <c r="G184" i="18" s="1"/>
  <c r="I184" i="18" s="1"/>
  <c r="E188" i="18"/>
  <c r="G188" i="18" s="1"/>
  <c r="I188" i="18" s="1"/>
  <c r="E185" i="18"/>
  <c r="G185" i="18" s="1"/>
  <c r="I185" i="18" s="1"/>
  <c r="E197" i="18"/>
  <c r="G197" i="18" s="1"/>
  <c r="I197" i="18" s="1"/>
  <c r="E189" i="18"/>
  <c r="G189" i="18" s="1"/>
  <c r="I189" i="18" s="1"/>
  <c r="E193" i="18"/>
  <c r="G193" i="18" s="1"/>
  <c r="I193" i="18" s="1"/>
  <c r="E194" i="18"/>
  <c r="G194" i="18" s="1"/>
  <c r="I194" i="18" s="1"/>
  <c r="E200" i="18"/>
  <c r="G200" i="18" s="1"/>
  <c r="I200" i="18" s="1"/>
  <c r="E191" i="18"/>
  <c r="G191" i="18" s="1"/>
  <c r="I191" i="18" s="1"/>
  <c r="E196" i="18"/>
  <c r="G196" i="18" s="1"/>
  <c r="I196" i="18" s="1"/>
  <c r="E186" i="18"/>
  <c r="G186" i="18" s="1"/>
  <c r="I186" i="18" s="1"/>
  <c r="E192" i="18"/>
  <c r="G192" i="18" s="1"/>
  <c r="I192" i="18" s="1"/>
  <c r="E195" i="18"/>
  <c r="G195" i="18" s="1"/>
  <c r="I195" i="18" s="1"/>
  <c r="E198" i="18"/>
  <c r="G198" i="18" s="1"/>
  <c r="I198" i="18" s="1"/>
  <c r="E201" i="18"/>
  <c r="G201" i="18" s="1"/>
  <c r="I201" i="18" s="1"/>
  <c r="J106" i="8"/>
  <c r="G254" i="8"/>
  <c r="K254" i="8"/>
  <c r="P241" i="8"/>
  <c r="R241" i="8"/>
  <c r="S241" i="8"/>
  <c r="I241" i="8"/>
  <c r="U241" i="8"/>
  <c r="T241" i="8"/>
  <c r="V241" i="8"/>
  <c r="Q241" i="8"/>
  <c r="L186" i="18"/>
  <c r="L185" i="18"/>
  <c r="I220" i="7"/>
  <c r="J220" i="7" s="1"/>
  <c r="AA34" i="7" s="1"/>
  <c r="AD34" i="7" s="1"/>
  <c r="AF34" i="7" s="1"/>
  <c r="AA42" i="9" s="1"/>
  <c r="I214" i="7"/>
  <c r="J214" i="7" s="1"/>
  <c r="AA28" i="7" s="1"/>
  <c r="AD28" i="7" s="1"/>
  <c r="I216" i="7"/>
  <c r="J216" i="7" s="1"/>
  <c r="AA30" i="7" s="1"/>
  <c r="AD30" i="7" s="1"/>
  <c r="J213" i="6"/>
  <c r="J220" i="6"/>
  <c r="J92" i="8"/>
  <c r="V273" i="8"/>
  <c r="K155" i="18"/>
  <c r="K154" i="18"/>
  <c r="I44" i="6"/>
  <c r="K44" i="6" s="1"/>
  <c r="L44" i="6" s="1"/>
  <c r="AA44" i="6" s="1"/>
  <c r="V43" i="8"/>
  <c r="P27" i="8"/>
  <c r="W27" i="8" s="1"/>
  <c r="I34" i="6"/>
  <c r="K34" i="6" s="1"/>
  <c r="L34" i="6" s="1"/>
  <c r="AA34" i="6" s="1"/>
  <c r="K70" i="18"/>
  <c r="K64" i="18"/>
  <c r="M64" i="18" s="1"/>
  <c r="N64" i="18" s="1"/>
  <c r="AE33" i="18" s="1"/>
  <c r="F122" i="5"/>
  <c r="J122" i="5" s="1"/>
  <c r="F127" i="5"/>
  <c r="J127" i="5" s="1"/>
  <c r="F125" i="5"/>
  <c r="J125" i="5" s="1"/>
  <c r="K125" i="5" s="1"/>
  <c r="J224" i="18"/>
  <c r="J225" i="18"/>
  <c r="J212" i="18"/>
  <c r="J213" i="18"/>
  <c r="K213" i="18" s="1"/>
  <c r="M213" i="18" s="1"/>
  <c r="N213" i="18" s="1"/>
  <c r="AJ27" i="18" s="1"/>
  <c r="F132" i="5"/>
  <c r="J132" i="5" s="1"/>
  <c r="J218" i="18"/>
  <c r="J217" i="18"/>
  <c r="J215" i="18"/>
  <c r="K74" i="18"/>
  <c r="M74" i="18" s="1"/>
  <c r="N74" i="18" s="1"/>
  <c r="AE43" i="18" s="1"/>
  <c r="F134" i="5"/>
  <c r="J134" i="5" s="1"/>
  <c r="F131" i="5"/>
  <c r="J131" i="5" s="1"/>
  <c r="J219" i="18"/>
  <c r="J230" i="18"/>
  <c r="F129" i="5"/>
  <c r="J129" i="5" s="1"/>
  <c r="F121" i="5"/>
  <c r="J121" i="5" s="1"/>
  <c r="J229" i="18"/>
  <c r="J221" i="18"/>
  <c r="J223" i="18"/>
  <c r="F136" i="5"/>
  <c r="J136" i="5" s="1"/>
  <c r="F133" i="5"/>
  <c r="J133" i="5" s="1"/>
  <c r="J227" i="18"/>
  <c r="J228" i="18"/>
  <c r="J231" i="18"/>
  <c r="J226" i="18"/>
  <c r="F124" i="5"/>
  <c r="J124" i="5" s="1"/>
  <c r="F123" i="5"/>
  <c r="J123" i="5" s="1"/>
  <c r="J216" i="18"/>
  <c r="K45" i="18"/>
  <c r="M45" i="18" s="1"/>
  <c r="N45" i="18" s="1"/>
  <c r="AD45" i="18" s="1"/>
  <c r="J220" i="18"/>
  <c r="F135" i="5"/>
  <c r="J135" i="5" s="1"/>
  <c r="F137" i="5"/>
  <c r="J137" i="5" s="1"/>
  <c r="K137" i="5" s="1"/>
  <c r="F120" i="5"/>
  <c r="J120" i="5" s="1"/>
  <c r="K120" i="5" s="1"/>
  <c r="I36" i="6"/>
  <c r="K36" i="6" s="1"/>
  <c r="L36" i="6" s="1"/>
  <c r="AA36" i="6" s="1"/>
  <c r="K65" i="18"/>
  <c r="K60" i="18"/>
  <c r="J132" i="18"/>
  <c r="K77" i="18"/>
  <c r="J119" i="18"/>
  <c r="K74" i="5"/>
  <c r="K68" i="5"/>
  <c r="I30" i="6"/>
  <c r="K30" i="6" s="1"/>
  <c r="L30" i="6" s="1"/>
  <c r="AA30" i="6" s="1"/>
  <c r="K27" i="18"/>
  <c r="M27" i="18" s="1"/>
  <c r="N27" i="18" s="1"/>
  <c r="V36" i="18"/>
  <c r="X36" i="18" s="1"/>
  <c r="T36" i="18"/>
  <c r="W36" i="18" s="1"/>
  <c r="K67" i="18"/>
  <c r="M67" i="18" s="1"/>
  <c r="N67" i="18" s="1"/>
  <c r="AE36" i="18" s="1"/>
  <c r="V65" i="18"/>
  <c r="T65" i="18"/>
  <c r="W65" i="18" s="1"/>
  <c r="K158" i="18"/>
  <c r="V60" i="18"/>
  <c r="X60" i="18" s="1"/>
  <c r="T60" i="18"/>
  <c r="W60" i="18" s="1"/>
  <c r="K153" i="18"/>
  <c r="M153" i="18" s="1"/>
  <c r="N153" i="18" s="1"/>
  <c r="AH29" i="18" s="1"/>
  <c r="J120" i="18"/>
  <c r="I41" i="6"/>
  <c r="K41" i="6" s="1"/>
  <c r="L41" i="6" s="1"/>
  <c r="AA41" i="6" s="1"/>
  <c r="T42" i="18"/>
  <c r="W42" i="18" s="1"/>
  <c r="V42" i="18"/>
  <c r="X42" i="18" s="1"/>
  <c r="T27" i="18"/>
  <c r="W27" i="18" s="1"/>
  <c r="V27" i="18"/>
  <c r="X27" i="18" s="1"/>
  <c r="K58" i="18"/>
  <c r="M58" i="18" s="1"/>
  <c r="N58" i="18" s="1"/>
  <c r="AE27" i="18" s="1"/>
  <c r="V73" i="18"/>
  <c r="X73" i="18" s="1"/>
  <c r="T73" i="18"/>
  <c r="W73" i="18" s="1"/>
  <c r="K166" i="18"/>
  <c r="M166" i="18" s="1"/>
  <c r="N166" i="18" s="1"/>
  <c r="AH42" i="18" s="1"/>
  <c r="X65" i="18"/>
  <c r="T68" i="18"/>
  <c r="W68" i="18" s="1"/>
  <c r="V68" i="18"/>
  <c r="X68" i="18" s="1"/>
  <c r="T39" i="18"/>
  <c r="W39" i="18" s="1"/>
  <c r="V39" i="18"/>
  <c r="X39" i="18" s="1"/>
  <c r="K73" i="18"/>
  <c r="M73" i="18" s="1"/>
  <c r="N73" i="18" s="1"/>
  <c r="AE42" i="18" s="1"/>
  <c r="V66" i="18"/>
  <c r="X66" i="18" s="1"/>
  <c r="T66" i="18"/>
  <c r="W66" i="18" s="1"/>
  <c r="K159" i="18"/>
  <c r="T67" i="18"/>
  <c r="W67" i="18" s="1"/>
  <c r="V67" i="18"/>
  <c r="X67" i="18" s="1"/>
  <c r="K160" i="18"/>
  <c r="M160" i="18" s="1"/>
  <c r="N160" i="18" s="1"/>
  <c r="AH36" i="18" s="1"/>
  <c r="K156" i="18"/>
  <c r="M156" i="18" s="1"/>
  <c r="N156" i="18" s="1"/>
  <c r="AH32" i="18" s="1"/>
  <c r="V63" i="18"/>
  <c r="X63" i="18" s="1"/>
  <c r="T63" i="18"/>
  <c r="W63" i="18" s="1"/>
  <c r="T41" i="18"/>
  <c r="W41" i="18" s="1"/>
  <c r="V41" i="18"/>
  <c r="X41" i="18" s="1"/>
  <c r="T61" i="18"/>
  <c r="W61" i="18" s="1"/>
  <c r="V61" i="18"/>
  <c r="X61" i="18" s="1"/>
  <c r="V33" i="18"/>
  <c r="X33" i="18" s="1"/>
  <c r="T33" i="18"/>
  <c r="W33" i="18" s="1"/>
  <c r="T75" i="18"/>
  <c r="W75" i="18" s="1"/>
  <c r="V75" i="18"/>
  <c r="X75" i="18" s="1"/>
  <c r="T64" i="18"/>
  <c r="W64" i="18" s="1"/>
  <c r="V64" i="18"/>
  <c r="X64" i="18" s="1"/>
  <c r="K157" i="18"/>
  <c r="M157" i="18" s="1"/>
  <c r="N157" i="18" s="1"/>
  <c r="AH33" i="18" s="1"/>
  <c r="K63" i="18"/>
  <c r="T32" i="18"/>
  <c r="W32" i="18" s="1"/>
  <c r="V32" i="18"/>
  <c r="X32" i="18" s="1"/>
  <c r="V62" i="18"/>
  <c r="X62" i="18" s="1"/>
  <c r="T62" i="18"/>
  <c r="W62" i="18" s="1"/>
  <c r="T76" i="18"/>
  <c r="W76" i="18" s="1"/>
  <c r="V76" i="18"/>
  <c r="X76" i="18" s="1"/>
  <c r="K169" i="18"/>
  <c r="M169" i="18" s="1"/>
  <c r="N169" i="18" s="1"/>
  <c r="AH45" i="18" s="1"/>
  <c r="V45" i="18"/>
  <c r="X45" i="18" s="1"/>
  <c r="T45" i="18"/>
  <c r="W45" i="18" s="1"/>
  <c r="K61" i="18"/>
  <c r="M61" i="18" s="1"/>
  <c r="N61" i="18" s="1"/>
  <c r="AE30" i="18" s="1"/>
  <c r="V58" i="18"/>
  <c r="X58" i="18" s="1"/>
  <c r="T58" i="18"/>
  <c r="W58" i="18" s="1"/>
  <c r="K151" i="18"/>
  <c r="M151" i="18" s="1"/>
  <c r="N151" i="18" s="1"/>
  <c r="AH27" i="18" s="1"/>
  <c r="K75" i="18"/>
  <c r="V44" i="18"/>
  <c r="X44" i="18" s="1"/>
  <c r="T44" i="18"/>
  <c r="W44" i="18" s="1"/>
  <c r="K161" i="18"/>
  <c r="M161" i="18" s="1"/>
  <c r="N161" i="18" s="1"/>
  <c r="AH37" i="18" s="1"/>
  <c r="V26" i="18"/>
  <c r="X26" i="18" s="1"/>
  <c r="T26" i="18"/>
  <c r="W26" i="18" s="1"/>
  <c r="K57" i="18"/>
  <c r="M57" i="18" s="1"/>
  <c r="N57" i="18" s="1"/>
  <c r="T31" i="18"/>
  <c r="W31" i="18" s="1"/>
  <c r="V31" i="18"/>
  <c r="X31" i="18" s="1"/>
  <c r="T71" i="18"/>
  <c r="W71" i="18" s="1"/>
  <c r="V71" i="18"/>
  <c r="X71" i="18" s="1"/>
  <c r="V38" i="18"/>
  <c r="X38" i="18" s="1"/>
  <c r="T38" i="18"/>
  <c r="W38" i="18" s="1"/>
  <c r="V57" i="18"/>
  <c r="X57" i="18" s="1"/>
  <c r="T57" i="18"/>
  <c r="W57" i="18" s="1"/>
  <c r="K150" i="18"/>
  <c r="T34" i="18"/>
  <c r="W34" i="18" s="1"/>
  <c r="V34" i="18"/>
  <c r="X34" i="18" s="1"/>
  <c r="K76" i="18"/>
  <c r="K168" i="18"/>
  <c r="M168" i="18" s="1"/>
  <c r="N168" i="18" s="1"/>
  <c r="AH44" i="18" s="1"/>
  <c r="K164" i="18"/>
  <c r="M164" i="18" s="1"/>
  <c r="N164" i="18" s="1"/>
  <c r="AH40" i="18" s="1"/>
  <c r="T30" i="18"/>
  <c r="W30" i="18" s="1"/>
  <c r="V30" i="18"/>
  <c r="X30" i="18" s="1"/>
  <c r="E232" i="18"/>
  <c r="G232" i="18" s="1"/>
  <c r="I232" i="18" s="1"/>
  <c r="G212" i="18"/>
  <c r="I212" i="18" s="1"/>
  <c r="E216" i="18"/>
  <c r="G216" i="18" s="1"/>
  <c r="I216" i="18" s="1"/>
  <c r="E225" i="18"/>
  <c r="G225" i="18" s="1"/>
  <c r="I225" i="18" s="1"/>
  <c r="E220" i="18"/>
  <c r="G220" i="18" s="1"/>
  <c r="I220" i="18" s="1"/>
  <c r="E223" i="18"/>
  <c r="G223" i="18" s="1"/>
  <c r="I223" i="18" s="1"/>
  <c r="E218" i="18"/>
  <c r="G218" i="18" s="1"/>
  <c r="I218" i="18" s="1"/>
  <c r="E227" i="18"/>
  <c r="G227" i="18" s="1"/>
  <c r="I227" i="18" s="1"/>
  <c r="E222" i="18"/>
  <c r="G222" i="18" s="1"/>
  <c r="I222" i="18" s="1"/>
  <c r="E229" i="18"/>
  <c r="G229" i="18" s="1"/>
  <c r="I229" i="18" s="1"/>
  <c r="E224" i="18"/>
  <c r="G224" i="18" s="1"/>
  <c r="I224" i="18" s="1"/>
  <c r="E231" i="18"/>
  <c r="G231" i="18" s="1"/>
  <c r="I231" i="18" s="1"/>
  <c r="E226" i="18"/>
  <c r="G226" i="18" s="1"/>
  <c r="I226" i="18" s="1"/>
  <c r="E215" i="18"/>
  <c r="G215" i="18" s="1"/>
  <c r="I215" i="18" s="1"/>
  <c r="E217" i="18"/>
  <c r="G217" i="18" s="1"/>
  <c r="I217" i="18" s="1"/>
  <c r="E219" i="18"/>
  <c r="G219" i="18" s="1"/>
  <c r="I219" i="18" s="1"/>
  <c r="E230" i="18"/>
  <c r="G230" i="18" s="1"/>
  <c r="I230" i="18" s="1"/>
  <c r="E221" i="18"/>
  <c r="G221" i="18" s="1"/>
  <c r="I221" i="18" s="1"/>
  <c r="E228" i="18"/>
  <c r="G228" i="18" s="1"/>
  <c r="I228" i="18" s="1"/>
  <c r="T77" i="18"/>
  <c r="W77" i="18" s="1"/>
  <c r="V77" i="18"/>
  <c r="X77" i="18" s="1"/>
  <c r="K170" i="18"/>
  <c r="V35" i="18"/>
  <c r="X35" i="18" s="1"/>
  <c r="T35" i="18"/>
  <c r="W35" i="18" s="1"/>
  <c r="T37" i="18"/>
  <c r="W37" i="18" s="1"/>
  <c r="V37" i="18"/>
  <c r="X37" i="18" s="1"/>
  <c r="V74" i="18"/>
  <c r="X74" i="18" s="1"/>
  <c r="T74" i="18"/>
  <c r="W74" i="18" s="1"/>
  <c r="V46" i="18"/>
  <c r="X46" i="18" s="1"/>
  <c r="T46" i="18"/>
  <c r="W46" i="18" s="1"/>
  <c r="V69" i="18"/>
  <c r="X69" i="18" s="1"/>
  <c r="T69" i="18"/>
  <c r="W69" i="18" s="1"/>
  <c r="K162" i="18"/>
  <c r="M162" i="18" s="1"/>
  <c r="N162" i="18" s="1"/>
  <c r="AH38" i="18" s="1"/>
  <c r="V29" i="18"/>
  <c r="X29" i="18" s="1"/>
  <c r="T29" i="18"/>
  <c r="W29" i="18" s="1"/>
  <c r="K68" i="18"/>
  <c r="K72" i="18"/>
  <c r="K66" i="18"/>
  <c r="I43" i="6"/>
  <c r="K43" i="6" s="1"/>
  <c r="L43" i="6" s="1"/>
  <c r="AA43" i="6" s="1"/>
  <c r="V72" i="18"/>
  <c r="X72" i="18" s="1"/>
  <c r="T72" i="18"/>
  <c r="W72" i="18" s="1"/>
  <c r="K165" i="18"/>
  <c r="M165" i="18" s="1"/>
  <c r="N165" i="18" s="1"/>
  <c r="AH41" i="18" s="1"/>
  <c r="T40" i="18"/>
  <c r="W40" i="18" s="1"/>
  <c r="V40" i="18"/>
  <c r="X40" i="18" s="1"/>
  <c r="T43" i="18"/>
  <c r="W43" i="18" s="1"/>
  <c r="V43" i="18"/>
  <c r="X43" i="18" s="1"/>
  <c r="E129" i="18"/>
  <c r="G129" i="18" s="1"/>
  <c r="I129" i="18" s="1"/>
  <c r="G119" i="18"/>
  <c r="I119" i="18" s="1"/>
  <c r="E125" i="18"/>
  <c r="G125" i="18" s="1"/>
  <c r="I125" i="18" s="1"/>
  <c r="E122" i="18"/>
  <c r="G122" i="18" s="1"/>
  <c r="I122" i="18" s="1"/>
  <c r="E124" i="18"/>
  <c r="G124" i="18" s="1"/>
  <c r="I124" i="18" s="1"/>
  <c r="E123" i="18"/>
  <c r="G123" i="18" s="1"/>
  <c r="I123" i="18" s="1"/>
  <c r="E127" i="18"/>
  <c r="G127" i="18" s="1"/>
  <c r="I127" i="18" s="1"/>
  <c r="E126" i="18"/>
  <c r="G126" i="18" s="1"/>
  <c r="I126" i="18" s="1"/>
  <c r="E128" i="18"/>
  <c r="G128" i="18" s="1"/>
  <c r="I128" i="18" s="1"/>
  <c r="E130" i="18"/>
  <c r="G130" i="18" s="1"/>
  <c r="I130" i="18" s="1"/>
  <c r="E132" i="18"/>
  <c r="G132" i="18" s="1"/>
  <c r="I132" i="18" s="1"/>
  <c r="E139" i="18"/>
  <c r="G139" i="18" s="1"/>
  <c r="I139" i="18" s="1"/>
  <c r="E137" i="18"/>
  <c r="G137" i="18" s="1"/>
  <c r="I137" i="18" s="1"/>
  <c r="E135" i="18"/>
  <c r="G135" i="18" s="1"/>
  <c r="I135" i="18" s="1"/>
  <c r="E138" i="18"/>
  <c r="G138" i="18" s="1"/>
  <c r="I138" i="18" s="1"/>
  <c r="E133" i="18"/>
  <c r="G133" i="18" s="1"/>
  <c r="I133" i="18" s="1"/>
  <c r="E134" i="18"/>
  <c r="G134" i="18" s="1"/>
  <c r="I134" i="18" s="1"/>
  <c r="E136" i="18"/>
  <c r="G136" i="18" s="1"/>
  <c r="I136" i="18" s="1"/>
  <c r="V70" i="18"/>
  <c r="X70" i="18" s="1"/>
  <c r="T70" i="18"/>
  <c r="W70" i="18" s="1"/>
  <c r="E131" i="18"/>
  <c r="G131" i="18" s="1"/>
  <c r="I131" i="18" s="1"/>
  <c r="G120" i="18"/>
  <c r="I120" i="18" s="1"/>
  <c r="K69" i="18"/>
  <c r="M69" i="18" s="1"/>
  <c r="N69" i="18" s="1"/>
  <c r="AE38" i="18" s="1"/>
  <c r="K167" i="18"/>
  <c r="I38" i="6"/>
  <c r="K38" i="6" s="1"/>
  <c r="L38" i="6" s="1"/>
  <c r="AA38" i="6" s="1"/>
  <c r="K63" i="5"/>
  <c r="K60" i="5"/>
  <c r="F287" i="5"/>
  <c r="J287" i="5" s="1"/>
  <c r="F284" i="5"/>
  <c r="J284" i="5" s="1"/>
  <c r="K64" i="5"/>
  <c r="K67" i="5"/>
  <c r="L180" i="5"/>
  <c r="I29" i="6"/>
  <c r="K29" i="6" s="1"/>
  <c r="L29" i="6" s="1"/>
  <c r="AA29" i="6" s="1"/>
  <c r="J42" i="8"/>
  <c r="F288" i="5"/>
  <c r="J288" i="5" s="1"/>
  <c r="AK24" i="8"/>
  <c r="AL24" i="8" s="1"/>
  <c r="BL24" i="8" s="1"/>
  <c r="F278" i="8"/>
  <c r="V278" i="8" s="1"/>
  <c r="U273" i="8"/>
  <c r="AB273" i="8" s="1"/>
  <c r="P273" i="8"/>
  <c r="W273" i="8" s="1"/>
  <c r="I40" i="6"/>
  <c r="K40" i="6" s="1"/>
  <c r="L40" i="6" s="1"/>
  <c r="AA40" i="6" s="1"/>
  <c r="K62" i="5"/>
  <c r="K59" i="5"/>
  <c r="F279" i="5"/>
  <c r="J279" i="5" s="1"/>
  <c r="F276" i="5"/>
  <c r="J276" i="5" s="1"/>
  <c r="F291" i="8"/>
  <c r="R291" i="8" s="1"/>
  <c r="Y291" i="8" s="1"/>
  <c r="F283" i="8"/>
  <c r="U283" i="8" s="1"/>
  <c r="AB283" i="8" s="1"/>
  <c r="F281" i="8"/>
  <c r="J281" i="8" s="1"/>
  <c r="F291" i="5"/>
  <c r="J291" i="5" s="1"/>
  <c r="K291" i="5" s="1"/>
  <c r="K128" i="5"/>
  <c r="F285" i="5"/>
  <c r="J285" i="5" s="1"/>
  <c r="F290" i="5"/>
  <c r="J290" i="5" s="1"/>
  <c r="F277" i="8"/>
  <c r="S277" i="8" s="1"/>
  <c r="Z277" i="8" s="1"/>
  <c r="F290" i="8"/>
  <c r="Q290" i="8" s="1"/>
  <c r="X290" i="8" s="1"/>
  <c r="F288" i="8"/>
  <c r="Q288" i="8" s="1"/>
  <c r="X288" i="8" s="1"/>
  <c r="S273" i="8"/>
  <c r="Z273" i="8" s="1"/>
  <c r="I33" i="6"/>
  <c r="K33" i="6" s="1"/>
  <c r="L33" i="6" s="1"/>
  <c r="AA33" i="6" s="1"/>
  <c r="K71" i="5"/>
  <c r="K70" i="5"/>
  <c r="F281" i="5"/>
  <c r="J281" i="5" s="1"/>
  <c r="K281" i="5" s="1"/>
  <c r="F275" i="5"/>
  <c r="J275" i="5" s="1"/>
  <c r="K275" i="5" s="1"/>
  <c r="F277" i="5"/>
  <c r="J277" i="5" s="1"/>
  <c r="F284" i="8"/>
  <c r="J284" i="8" s="1"/>
  <c r="F292" i="8"/>
  <c r="U292" i="8" s="1"/>
  <c r="AB292" i="8" s="1"/>
  <c r="T273" i="8"/>
  <c r="AA273" i="8" s="1"/>
  <c r="I32" i="6"/>
  <c r="K32" i="6" s="1"/>
  <c r="L32" i="6" s="1"/>
  <c r="AA32" i="6" s="1"/>
  <c r="F278" i="5"/>
  <c r="J278" i="5" s="1"/>
  <c r="F289" i="5"/>
  <c r="J289" i="5" s="1"/>
  <c r="F280" i="5"/>
  <c r="J280" i="5" s="1"/>
  <c r="F279" i="8"/>
  <c r="P279" i="8" s="1"/>
  <c r="W279" i="8" s="1"/>
  <c r="F282" i="8"/>
  <c r="T282" i="8" s="1"/>
  <c r="AA282" i="8" s="1"/>
  <c r="I42" i="6"/>
  <c r="K42" i="6" s="1"/>
  <c r="L42" i="6" s="1"/>
  <c r="AA42" i="6" s="1"/>
  <c r="F283" i="5"/>
  <c r="J283" i="5" s="1"/>
  <c r="F292" i="5"/>
  <c r="J292" i="5" s="1"/>
  <c r="K292" i="5" s="1"/>
  <c r="F287" i="8"/>
  <c r="S287" i="8" s="1"/>
  <c r="Z287" i="8" s="1"/>
  <c r="F286" i="5"/>
  <c r="J286" i="5" s="1"/>
  <c r="F282" i="5"/>
  <c r="J282" i="5" s="1"/>
  <c r="F285" i="8"/>
  <c r="Q285" i="8" s="1"/>
  <c r="X285" i="8" s="1"/>
  <c r="F286" i="8"/>
  <c r="R286" i="8" s="1"/>
  <c r="Y286" i="8" s="1"/>
  <c r="R273" i="8"/>
  <c r="Y273" i="8" s="1"/>
  <c r="K66" i="5"/>
  <c r="K55" i="5"/>
  <c r="AB56" i="8"/>
  <c r="Z55" i="8"/>
  <c r="Y56" i="8"/>
  <c r="Z56" i="8"/>
  <c r="W55" i="8"/>
  <c r="AA55" i="8"/>
  <c r="Y55" i="8"/>
  <c r="V180" i="8"/>
  <c r="AB55" i="8"/>
  <c r="AA56" i="8"/>
  <c r="W56" i="8"/>
  <c r="L55" i="5"/>
  <c r="L210" i="5"/>
  <c r="L224" i="5" s="1"/>
  <c r="L219" i="5"/>
  <c r="L223" i="5"/>
  <c r="L222" i="5"/>
  <c r="L227" i="5"/>
  <c r="L218" i="5"/>
  <c r="L228" i="5"/>
  <c r="L225" i="5"/>
  <c r="L220" i="5"/>
  <c r="L230" i="5"/>
  <c r="L215" i="5"/>
  <c r="L226" i="5"/>
  <c r="L214" i="5"/>
  <c r="L216" i="5"/>
  <c r="L229" i="5"/>
  <c r="L213" i="5"/>
  <c r="L221" i="5"/>
  <c r="L217" i="5"/>
  <c r="L117" i="5"/>
  <c r="M117" i="5" s="1"/>
  <c r="N117" i="5" s="1"/>
  <c r="L273" i="5"/>
  <c r="L288" i="5" s="1"/>
  <c r="K69" i="5"/>
  <c r="K61" i="5"/>
  <c r="K72" i="5"/>
  <c r="K73" i="5"/>
  <c r="K272" i="5"/>
  <c r="M272" i="5" s="1"/>
  <c r="N272" i="5" s="1"/>
  <c r="T27" i="8"/>
  <c r="AA27" i="8" s="1"/>
  <c r="K226" i="5"/>
  <c r="K214" i="5"/>
  <c r="K228" i="5"/>
  <c r="K229" i="5"/>
  <c r="V94" i="5"/>
  <c r="X125" i="5" s="1"/>
  <c r="Z125" i="5" s="1"/>
  <c r="AA125" i="5" s="1"/>
  <c r="AP32" i="5" s="1"/>
  <c r="K218" i="5"/>
  <c r="K221" i="5"/>
  <c r="K210" i="5"/>
  <c r="K216" i="5"/>
  <c r="V95" i="5"/>
  <c r="X95" i="5" s="1"/>
  <c r="Z95" i="5" s="1"/>
  <c r="AA95" i="5" s="1"/>
  <c r="AO33" i="5" s="1"/>
  <c r="K219" i="5"/>
  <c r="K42" i="5"/>
  <c r="M42" i="5" s="1"/>
  <c r="N42" i="5" s="1"/>
  <c r="AD42" i="5" s="1"/>
  <c r="K44" i="5"/>
  <c r="M44" i="5" s="1"/>
  <c r="N44" i="5" s="1"/>
  <c r="AD44" i="5" s="1"/>
  <c r="K38" i="5"/>
  <c r="M38" i="5" s="1"/>
  <c r="N38" i="5" s="1"/>
  <c r="AD38" i="5" s="1"/>
  <c r="K30" i="5"/>
  <c r="M30" i="5" s="1"/>
  <c r="N30" i="5" s="1"/>
  <c r="AD30" i="5" s="1"/>
  <c r="K33" i="5"/>
  <c r="M33" i="5" s="1"/>
  <c r="N33" i="5" s="1"/>
  <c r="AD33" i="5" s="1"/>
  <c r="K215" i="5"/>
  <c r="K223" i="5"/>
  <c r="K227" i="5"/>
  <c r="K230" i="5"/>
  <c r="V96" i="5"/>
  <c r="X96" i="5" s="1"/>
  <c r="Z96" i="5" s="1"/>
  <c r="AA96" i="5" s="1"/>
  <c r="AO34" i="5" s="1"/>
  <c r="K220" i="5"/>
  <c r="K35" i="5"/>
  <c r="M35" i="5" s="1"/>
  <c r="N35" i="5" s="1"/>
  <c r="AD35" i="5" s="1"/>
  <c r="K29" i="5"/>
  <c r="M29" i="5" s="1"/>
  <c r="N29" i="5" s="1"/>
  <c r="V93" i="5"/>
  <c r="X93" i="5" s="1"/>
  <c r="Z93" i="5" s="1"/>
  <c r="AA93" i="5" s="1"/>
  <c r="AO31" i="5" s="1"/>
  <c r="K217" i="5"/>
  <c r="K225" i="5"/>
  <c r="K213" i="5"/>
  <c r="K222" i="5"/>
  <c r="V100" i="5"/>
  <c r="X131" i="5" s="1"/>
  <c r="Z131" i="5" s="1"/>
  <c r="AA131" i="5" s="1"/>
  <c r="AP38" i="5" s="1"/>
  <c r="K224" i="5"/>
  <c r="K37" i="5"/>
  <c r="M37" i="5" s="1"/>
  <c r="N37" i="5" s="1"/>
  <c r="AD37" i="5" s="1"/>
  <c r="K39" i="5"/>
  <c r="M39" i="5" s="1"/>
  <c r="N39" i="5" s="1"/>
  <c r="AD39" i="5" s="1"/>
  <c r="K43" i="5"/>
  <c r="M43" i="5" s="1"/>
  <c r="N43" i="5" s="1"/>
  <c r="AD43" i="5" s="1"/>
  <c r="K28" i="5"/>
  <c r="M28" i="5" s="1"/>
  <c r="N28" i="5" s="1"/>
  <c r="AD28" i="5" s="1"/>
  <c r="K25" i="5"/>
  <c r="M25" i="5" s="1"/>
  <c r="N25" i="5" s="1"/>
  <c r="AD25" i="5" s="1"/>
  <c r="L199" i="8"/>
  <c r="K193" i="8"/>
  <c r="L198" i="8"/>
  <c r="S27" i="8"/>
  <c r="Z27" i="8" s="1"/>
  <c r="U27" i="8"/>
  <c r="AB27" i="8" s="1"/>
  <c r="Q27" i="8"/>
  <c r="X27" i="8" s="1"/>
  <c r="T36" i="8"/>
  <c r="AA36" i="8" s="1"/>
  <c r="R27" i="8"/>
  <c r="Y27" i="8" s="1"/>
  <c r="V27" i="8"/>
  <c r="J31" i="8"/>
  <c r="V32" i="8"/>
  <c r="J27" i="8"/>
  <c r="M27" i="8" s="1"/>
  <c r="N27" i="8" s="1"/>
  <c r="BC27" i="8" s="1"/>
  <c r="S38" i="8"/>
  <c r="Z38" i="8" s="1"/>
  <c r="V41" i="8"/>
  <c r="T38" i="8"/>
  <c r="AA38" i="8" s="1"/>
  <c r="S40" i="8"/>
  <c r="Z40" i="8" s="1"/>
  <c r="P38" i="8"/>
  <c r="W38" i="8" s="1"/>
  <c r="P31" i="8"/>
  <c r="W31" i="8" s="1"/>
  <c r="R38" i="8"/>
  <c r="Y38" i="8" s="1"/>
  <c r="V38" i="8"/>
  <c r="K186" i="8"/>
  <c r="Q32" i="8"/>
  <c r="X32" i="8" s="1"/>
  <c r="Q38" i="8"/>
  <c r="X38" i="8" s="1"/>
  <c r="J38" i="8"/>
  <c r="L185" i="8"/>
  <c r="J32" i="8"/>
  <c r="U38" i="8"/>
  <c r="AB38" i="8" s="1"/>
  <c r="L187" i="8"/>
  <c r="F53" i="9"/>
  <c r="Q41" i="8"/>
  <c r="X41" i="8" s="1"/>
  <c r="T43" i="8"/>
  <c r="AA43" i="8" s="1"/>
  <c r="U35" i="8"/>
  <c r="AB35" i="8" s="1"/>
  <c r="L194" i="8"/>
  <c r="K185" i="8"/>
  <c r="L196" i="8"/>
  <c r="L195" i="8"/>
  <c r="L182" i="8"/>
  <c r="J43" i="8"/>
  <c r="M43" i="8" s="1"/>
  <c r="N43" i="8" s="1"/>
  <c r="BC43" i="8" s="1"/>
  <c r="S43" i="8"/>
  <c r="Z43" i="8" s="1"/>
  <c r="P43" i="8"/>
  <c r="W43" i="8" s="1"/>
  <c r="U43" i="8"/>
  <c r="AB43" i="8" s="1"/>
  <c r="Q43" i="8"/>
  <c r="X43" i="8" s="1"/>
  <c r="S41" i="8"/>
  <c r="Z41" i="8" s="1"/>
  <c r="P34" i="8"/>
  <c r="W34" i="8" s="1"/>
  <c r="J35" i="8"/>
  <c r="M35" i="8" s="1"/>
  <c r="N35" i="8" s="1"/>
  <c r="BC35" i="8" s="1"/>
  <c r="R40" i="8"/>
  <c r="Y40" i="8" s="1"/>
  <c r="P40" i="8"/>
  <c r="W40" i="8" s="1"/>
  <c r="T41" i="8"/>
  <c r="AA41" i="8" s="1"/>
  <c r="U34" i="8"/>
  <c r="AB34" i="8" s="1"/>
  <c r="K198" i="8"/>
  <c r="K189" i="8"/>
  <c r="L192" i="8"/>
  <c r="R41" i="8"/>
  <c r="Y41" i="8" s="1"/>
  <c r="P41" i="8"/>
  <c r="W41" i="8" s="1"/>
  <c r="S35" i="8"/>
  <c r="Z35" i="8" s="1"/>
  <c r="U41" i="8"/>
  <c r="AB41" i="8" s="1"/>
  <c r="S39" i="8"/>
  <c r="Z39" i="8" s="1"/>
  <c r="T34" i="8"/>
  <c r="AA34" i="8" s="1"/>
  <c r="V35" i="8"/>
  <c r="R35" i="8"/>
  <c r="Y35" i="8" s="1"/>
  <c r="T31" i="8"/>
  <c r="AA31" i="8" s="1"/>
  <c r="L183" i="8"/>
  <c r="K188" i="8"/>
  <c r="J41" i="8"/>
  <c r="M41" i="8" s="1"/>
  <c r="N41" i="8" s="1"/>
  <c r="BC41" i="8" s="1"/>
  <c r="R32" i="8"/>
  <c r="Y32" i="8" s="1"/>
  <c r="L197" i="8"/>
  <c r="K194" i="8"/>
  <c r="L188" i="8"/>
  <c r="T35" i="8"/>
  <c r="AA35" i="8" s="1"/>
  <c r="Q44" i="8"/>
  <c r="X44" i="8" s="1"/>
  <c r="K182" i="8"/>
  <c r="S44" i="8"/>
  <c r="Z44" i="8" s="1"/>
  <c r="K184" i="8"/>
  <c r="K197" i="8"/>
  <c r="L189" i="8"/>
  <c r="L190" i="8"/>
  <c r="K192" i="8"/>
  <c r="P35" i="8"/>
  <c r="W35" i="8" s="1"/>
  <c r="Q35" i="8"/>
  <c r="X35" i="8" s="1"/>
  <c r="T32" i="8"/>
  <c r="AA32" i="8" s="1"/>
  <c r="K199" i="8"/>
  <c r="L184" i="8"/>
  <c r="L193" i="8"/>
  <c r="R44" i="8"/>
  <c r="Y44" i="8" s="1"/>
  <c r="T44" i="8"/>
  <c r="AA44" i="8" s="1"/>
  <c r="Q39" i="8"/>
  <c r="X39" i="8" s="1"/>
  <c r="K187" i="8"/>
  <c r="L186" i="8"/>
  <c r="P44" i="8"/>
  <c r="W44" i="8" s="1"/>
  <c r="L191" i="8"/>
  <c r="K191" i="8"/>
  <c r="K195" i="8"/>
  <c r="K183" i="8"/>
  <c r="P32" i="8"/>
  <c r="W32" i="8" s="1"/>
  <c r="S32" i="8"/>
  <c r="Z32" i="8" s="1"/>
  <c r="R37" i="8"/>
  <c r="Y37" i="8" s="1"/>
  <c r="V44" i="8"/>
  <c r="U44" i="8"/>
  <c r="AB44" i="8" s="1"/>
  <c r="J152" i="6"/>
  <c r="S28" i="8"/>
  <c r="Z28" i="8" s="1"/>
  <c r="I34" i="8"/>
  <c r="M34" i="8" s="1"/>
  <c r="N34" i="8" s="1"/>
  <c r="BC34" i="8" s="1"/>
  <c r="S42" i="8"/>
  <c r="Z42" i="8" s="1"/>
  <c r="V34" i="8"/>
  <c r="U40" i="8"/>
  <c r="AB40" i="8" s="1"/>
  <c r="S34" i="8"/>
  <c r="Z34" i="8" s="1"/>
  <c r="P39" i="8"/>
  <c r="W39" i="8" s="1"/>
  <c r="P28" i="8"/>
  <c r="W28" i="8" s="1"/>
  <c r="Q34" i="8"/>
  <c r="X34" i="8" s="1"/>
  <c r="U46" i="7"/>
  <c r="R36" i="8"/>
  <c r="Y36" i="8" s="1"/>
  <c r="Q28" i="8"/>
  <c r="X28" i="8" s="1"/>
  <c r="U36" i="8"/>
  <c r="AB36" i="8" s="1"/>
  <c r="V42" i="8"/>
  <c r="R34" i="8"/>
  <c r="Y34" i="8" s="1"/>
  <c r="Q36" i="8"/>
  <c r="X36" i="8" s="1"/>
  <c r="P36" i="8"/>
  <c r="W36" i="8" s="1"/>
  <c r="U39" i="8"/>
  <c r="AB39" i="8" s="1"/>
  <c r="V40" i="8"/>
  <c r="V33" i="8"/>
  <c r="J33" i="8"/>
  <c r="M33" i="8" s="1"/>
  <c r="N33" i="8" s="1"/>
  <c r="BC33" i="8" s="1"/>
  <c r="M40" i="8"/>
  <c r="N40" i="8" s="1"/>
  <c r="BC40" i="8" s="1"/>
  <c r="T40" i="8"/>
  <c r="AA40" i="8" s="1"/>
  <c r="J36" i="8"/>
  <c r="M36" i="8" s="1"/>
  <c r="N36" i="8" s="1"/>
  <c r="BC36" i="8" s="1"/>
  <c r="Q40" i="8"/>
  <c r="X40" i="8" s="1"/>
  <c r="U31" i="8"/>
  <c r="AB31" i="8" s="1"/>
  <c r="J39" i="8"/>
  <c r="T39" i="8"/>
  <c r="AA39" i="8" s="1"/>
  <c r="V36" i="8"/>
  <c r="R39" i="8"/>
  <c r="Y39" i="8" s="1"/>
  <c r="J46" i="7"/>
  <c r="V39" i="8"/>
  <c r="S36" i="8"/>
  <c r="Z36" i="8" s="1"/>
  <c r="P29" i="8"/>
  <c r="W29" i="8" s="1"/>
  <c r="V28" i="8"/>
  <c r="V31" i="8"/>
  <c r="S31" i="8"/>
  <c r="Z31" i="8" s="1"/>
  <c r="Q31" i="8"/>
  <c r="X31" i="8" s="1"/>
  <c r="T28" i="8"/>
  <c r="AA28" i="8" s="1"/>
  <c r="R31" i="8"/>
  <c r="Y31" i="8" s="1"/>
  <c r="Q29" i="8"/>
  <c r="X29" i="8" s="1"/>
  <c r="V29" i="8"/>
  <c r="R29" i="8"/>
  <c r="Y29" i="8" s="1"/>
  <c r="T29" i="8"/>
  <c r="AA29" i="8" s="1"/>
  <c r="J162" i="6"/>
  <c r="U29" i="8"/>
  <c r="AB29" i="8" s="1"/>
  <c r="S29" i="8"/>
  <c r="Z29" i="8" s="1"/>
  <c r="J157" i="6"/>
  <c r="R28" i="8"/>
  <c r="Y28" i="8" s="1"/>
  <c r="U28" i="8"/>
  <c r="AB28" i="8" s="1"/>
  <c r="I228" i="8"/>
  <c r="J167" i="6"/>
  <c r="I149" i="6"/>
  <c r="K149" i="6" s="1"/>
  <c r="L149" i="6" s="1"/>
  <c r="AE25" i="6" s="1"/>
  <c r="J213" i="8"/>
  <c r="I221" i="8"/>
  <c r="I259" i="6"/>
  <c r="K259" i="6" s="1"/>
  <c r="L259" i="6" s="1"/>
  <c r="AH42" i="6" s="1"/>
  <c r="J280" i="8"/>
  <c r="J227" i="8"/>
  <c r="J153" i="6"/>
  <c r="J158" i="6"/>
  <c r="I218" i="8"/>
  <c r="I191" i="6"/>
  <c r="K191" i="6" s="1"/>
  <c r="L191" i="6" s="1"/>
  <c r="AF36" i="6" s="1"/>
  <c r="J160" i="6"/>
  <c r="I60" i="6"/>
  <c r="K60" i="6" s="1"/>
  <c r="L60" i="6" s="1"/>
  <c r="AB29" i="6" s="1"/>
  <c r="J159" i="6"/>
  <c r="J161" i="6"/>
  <c r="I184" i="6"/>
  <c r="K184" i="6" s="1"/>
  <c r="L184" i="6" s="1"/>
  <c r="AF29" i="6" s="1"/>
  <c r="J219" i="8"/>
  <c r="I73" i="6"/>
  <c r="K73" i="6" s="1"/>
  <c r="L73" i="6" s="1"/>
  <c r="AB42" i="6" s="1"/>
  <c r="I133" i="6"/>
  <c r="K133" i="6" s="1"/>
  <c r="L133" i="6" s="1"/>
  <c r="AD40" i="6" s="1"/>
  <c r="J218" i="8"/>
  <c r="K179" i="6"/>
  <c r="L179" i="6" s="1"/>
  <c r="AF24" i="6" s="1"/>
  <c r="J166" i="6"/>
  <c r="X56" i="5"/>
  <c r="Z56" i="5" s="1"/>
  <c r="AA56" i="5" s="1"/>
  <c r="AN25" i="5" s="1"/>
  <c r="I65" i="6"/>
  <c r="K65" i="6" s="1"/>
  <c r="L65" i="6" s="1"/>
  <c r="AB34" i="6" s="1"/>
  <c r="I58" i="6"/>
  <c r="J230" i="8"/>
  <c r="J214" i="8"/>
  <c r="I185" i="6"/>
  <c r="K185" i="6" s="1"/>
  <c r="L185" i="6" s="1"/>
  <c r="AF30" i="6" s="1"/>
  <c r="AK55" i="8"/>
  <c r="AL55" i="8" s="1"/>
  <c r="J165" i="6"/>
  <c r="M56" i="8"/>
  <c r="N56" i="8" s="1"/>
  <c r="BD25" i="8" s="1"/>
  <c r="I180" i="8"/>
  <c r="AD31" i="7"/>
  <c r="AF31" i="7" s="1"/>
  <c r="AA39" i="9" s="1"/>
  <c r="K180" i="6"/>
  <c r="L180" i="6" s="1"/>
  <c r="AF25" i="6" s="1"/>
  <c r="I192" i="6"/>
  <c r="K192" i="6" s="1"/>
  <c r="L192" i="6" s="1"/>
  <c r="AF37" i="6" s="1"/>
  <c r="J223" i="8"/>
  <c r="I230" i="8"/>
  <c r="I193" i="6"/>
  <c r="K193" i="6" s="1"/>
  <c r="L193" i="6" s="1"/>
  <c r="AF38" i="6" s="1"/>
  <c r="J155" i="6"/>
  <c r="AB46" i="7"/>
  <c r="I131" i="6"/>
  <c r="K131" i="6" s="1"/>
  <c r="L131" i="6" s="1"/>
  <c r="AD38" i="6" s="1"/>
  <c r="AD40" i="7"/>
  <c r="I225" i="8"/>
  <c r="I186" i="6"/>
  <c r="K186" i="6" s="1"/>
  <c r="L186" i="6" s="1"/>
  <c r="AF31" i="6" s="1"/>
  <c r="X118" i="5"/>
  <c r="Z118" i="5" s="1"/>
  <c r="AA118" i="5" s="1"/>
  <c r="AP25" i="5" s="1"/>
  <c r="M272" i="8"/>
  <c r="N272" i="8" s="1"/>
  <c r="BK24" i="8" s="1"/>
  <c r="I198" i="6"/>
  <c r="K198" i="6" s="1"/>
  <c r="L198" i="6" s="1"/>
  <c r="AF43" i="6" s="1"/>
  <c r="J263" i="7"/>
  <c r="I247" i="6"/>
  <c r="K247" i="6" s="1"/>
  <c r="L247" i="6" s="1"/>
  <c r="AH30" i="6" s="1"/>
  <c r="I253" i="6"/>
  <c r="K253" i="6" s="1"/>
  <c r="L253" i="6" s="1"/>
  <c r="AH36" i="6" s="1"/>
  <c r="J65" i="8"/>
  <c r="J148" i="6"/>
  <c r="I61" i="6"/>
  <c r="I189" i="6"/>
  <c r="K189" i="6" s="1"/>
  <c r="L189" i="6" s="1"/>
  <c r="AF34" i="6" s="1"/>
  <c r="J66" i="8"/>
  <c r="J168" i="6"/>
  <c r="J67" i="8"/>
  <c r="AD35" i="7"/>
  <c r="I64" i="6"/>
  <c r="I70" i="6"/>
  <c r="J59" i="8"/>
  <c r="I190" i="6"/>
  <c r="K190" i="6" s="1"/>
  <c r="L190" i="6" s="1"/>
  <c r="AF35" i="6" s="1"/>
  <c r="I122" i="6"/>
  <c r="K122" i="6" s="1"/>
  <c r="L122" i="6" s="1"/>
  <c r="AD29" i="6" s="1"/>
  <c r="J154" i="6"/>
  <c r="J73" i="8"/>
  <c r="K241" i="6"/>
  <c r="L241" i="6" s="1"/>
  <c r="V31" i="5"/>
  <c r="I287" i="8"/>
  <c r="Q223" i="8"/>
  <c r="X223" i="8" s="1"/>
  <c r="R223" i="8"/>
  <c r="Y223" i="8" s="1"/>
  <c r="S223" i="8"/>
  <c r="Z223" i="8" s="1"/>
  <c r="V223" i="8"/>
  <c r="T223" i="8"/>
  <c r="AA223" i="8" s="1"/>
  <c r="U223" i="8"/>
  <c r="AB223" i="8" s="1"/>
  <c r="P223" i="8"/>
  <c r="W223" i="8" s="1"/>
  <c r="AI69" i="8"/>
  <c r="AK69" i="8" s="1"/>
  <c r="AL69" i="8" s="1"/>
  <c r="BM38" i="8" s="1"/>
  <c r="AT69" i="8"/>
  <c r="AP69" i="8"/>
  <c r="AW69" i="8" s="1"/>
  <c r="AQ69" i="8"/>
  <c r="AX69" i="8" s="1"/>
  <c r="AR69" i="8"/>
  <c r="AY69" i="8" s="1"/>
  <c r="AO69" i="8"/>
  <c r="AV69" i="8" s="1"/>
  <c r="AS69" i="8"/>
  <c r="AZ69" i="8" s="1"/>
  <c r="AN69" i="8"/>
  <c r="AU69" i="8" s="1"/>
  <c r="AR39" i="8"/>
  <c r="AY39" i="8" s="1"/>
  <c r="AO39" i="8"/>
  <c r="AV39" i="8" s="1"/>
  <c r="AQ39" i="8"/>
  <c r="AX39" i="8" s="1"/>
  <c r="AI39" i="8"/>
  <c r="AK39" i="8" s="1"/>
  <c r="AL39" i="8" s="1"/>
  <c r="BL39" i="8" s="1"/>
  <c r="AT39" i="8"/>
  <c r="AN39" i="8"/>
  <c r="AU39" i="8" s="1"/>
  <c r="AP39" i="8"/>
  <c r="AW39" i="8" s="1"/>
  <c r="AS39" i="8"/>
  <c r="AZ39" i="8" s="1"/>
  <c r="AO27" i="8"/>
  <c r="AV27" i="8" s="1"/>
  <c r="AQ27" i="8"/>
  <c r="AX27" i="8" s="1"/>
  <c r="AR27" i="8"/>
  <c r="AI27" i="8"/>
  <c r="AK27" i="8" s="1"/>
  <c r="AL27" i="8" s="1"/>
  <c r="BL27" i="8" s="1"/>
  <c r="AS27" i="8"/>
  <c r="AZ27" i="8" s="1"/>
  <c r="AT27" i="8"/>
  <c r="AP27" i="8"/>
  <c r="AW27" i="8" s="1"/>
  <c r="AN27" i="8"/>
  <c r="AU27" i="8" s="1"/>
  <c r="U213" i="8"/>
  <c r="AB213" i="8" s="1"/>
  <c r="T213" i="8"/>
  <c r="P213" i="8"/>
  <c r="W213" i="8" s="1"/>
  <c r="V213" i="8"/>
  <c r="Q213" i="8"/>
  <c r="R213" i="8"/>
  <c r="Y213" i="8" s="1"/>
  <c r="S213" i="8"/>
  <c r="I120" i="8"/>
  <c r="V43" i="5"/>
  <c r="V42" i="5"/>
  <c r="I279" i="8"/>
  <c r="T69" i="8"/>
  <c r="U69" i="8"/>
  <c r="Q69" i="8"/>
  <c r="S69" i="8"/>
  <c r="P69" i="8"/>
  <c r="I69" i="8"/>
  <c r="R69" i="8"/>
  <c r="V69" i="8"/>
  <c r="J74" i="8"/>
  <c r="I126" i="8"/>
  <c r="I183" i="6"/>
  <c r="K183" i="6" s="1"/>
  <c r="L183" i="6" s="1"/>
  <c r="AF28" i="6" s="1"/>
  <c r="J62" i="8"/>
  <c r="M210" i="8"/>
  <c r="N210" i="8" s="1"/>
  <c r="AI63" i="8"/>
  <c r="AK63" i="8" s="1"/>
  <c r="AL63" i="8" s="1"/>
  <c r="BM32" i="8" s="1"/>
  <c r="AR63" i="8"/>
  <c r="AY63" i="8" s="1"/>
  <c r="AO63" i="8"/>
  <c r="AV63" i="8" s="1"/>
  <c r="AP63" i="8"/>
  <c r="AW63" i="8" s="1"/>
  <c r="AT63" i="8"/>
  <c r="AN63" i="8"/>
  <c r="AU63" i="8" s="1"/>
  <c r="AQ63" i="8"/>
  <c r="AX63" i="8" s="1"/>
  <c r="AS63" i="8"/>
  <c r="AZ63" i="8" s="1"/>
  <c r="AI68" i="8"/>
  <c r="AK68" i="8" s="1"/>
  <c r="AL68" i="8" s="1"/>
  <c r="BM37" i="8" s="1"/>
  <c r="AN68" i="8"/>
  <c r="AU68" i="8" s="1"/>
  <c r="AP68" i="8"/>
  <c r="AW68" i="8" s="1"/>
  <c r="AS68" i="8"/>
  <c r="AZ68" i="8" s="1"/>
  <c r="AT68" i="8"/>
  <c r="AQ68" i="8"/>
  <c r="AX68" i="8" s="1"/>
  <c r="AO68" i="8"/>
  <c r="AV68" i="8" s="1"/>
  <c r="AR68" i="8"/>
  <c r="AY68" i="8" s="1"/>
  <c r="AS41" i="8"/>
  <c r="AZ41" i="8" s="1"/>
  <c r="AN41" i="8"/>
  <c r="AU41" i="8" s="1"/>
  <c r="AT41" i="8"/>
  <c r="AI41" i="8"/>
  <c r="AK41" i="8" s="1"/>
  <c r="AL41" i="8" s="1"/>
  <c r="BL41" i="8" s="1"/>
  <c r="AO41" i="8"/>
  <c r="AV41" i="8" s="1"/>
  <c r="AP41" i="8"/>
  <c r="AW41" i="8" s="1"/>
  <c r="AR41" i="8"/>
  <c r="AY41" i="8" s="1"/>
  <c r="AQ41" i="8"/>
  <c r="AX41" i="8" s="1"/>
  <c r="AR40" i="8"/>
  <c r="AY40" i="8" s="1"/>
  <c r="AI40" i="8"/>
  <c r="AK40" i="8" s="1"/>
  <c r="AL40" i="8" s="1"/>
  <c r="BL40" i="8" s="1"/>
  <c r="AO40" i="8"/>
  <c r="AV40" i="8" s="1"/>
  <c r="AN40" i="8"/>
  <c r="AU40" i="8" s="1"/>
  <c r="AT40" i="8"/>
  <c r="AQ40" i="8"/>
  <c r="AX40" i="8" s="1"/>
  <c r="AP40" i="8"/>
  <c r="AW40" i="8" s="1"/>
  <c r="AS40" i="8"/>
  <c r="AZ40" i="8" s="1"/>
  <c r="AQ28" i="8"/>
  <c r="AX28" i="8" s="1"/>
  <c r="AN28" i="8"/>
  <c r="AU28" i="8" s="1"/>
  <c r="AS28" i="8"/>
  <c r="AZ28" i="8" s="1"/>
  <c r="AI28" i="8"/>
  <c r="AK28" i="8" s="1"/>
  <c r="AL28" i="8" s="1"/>
  <c r="BL28" i="8" s="1"/>
  <c r="AO28" i="8"/>
  <c r="AV28" i="8" s="1"/>
  <c r="AR28" i="8"/>
  <c r="AY28" i="8" s="1"/>
  <c r="AT28" i="8"/>
  <c r="AP28" i="8"/>
  <c r="AW28" i="8" s="1"/>
  <c r="I283" i="8"/>
  <c r="S215" i="8"/>
  <c r="Z215" i="8" s="1"/>
  <c r="U215" i="8"/>
  <c r="AB215" i="8" s="1"/>
  <c r="Q215" i="8"/>
  <c r="X215" i="8" s="1"/>
  <c r="P215" i="8"/>
  <c r="W215" i="8" s="1"/>
  <c r="V215" i="8"/>
  <c r="T215" i="8"/>
  <c r="AA215" i="8" s="1"/>
  <c r="R215" i="8"/>
  <c r="Y215" i="8" s="1"/>
  <c r="I291" i="8"/>
  <c r="P64" i="8"/>
  <c r="S64" i="8"/>
  <c r="R64" i="8"/>
  <c r="V64" i="8"/>
  <c r="I64" i="8"/>
  <c r="Q64" i="8"/>
  <c r="U64" i="8"/>
  <c r="T64" i="8"/>
  <c r="V86" i="5"/>
  <c r="I62" i="6"/>
  <c r="I59" i="6"/>
  <c r="S227" i="8"/>
  <c r="Z227" i="8" s="1"/>
  <c r="P227" i="8"/>
  <c r="W227" i="8" s="1"/>
  <c r="V227" i="8"/>
  <c r="Q227" i="8"/>
  <c r="X227" i="8" s="1"/>
  <c r="T227" i="8"/>
  <c r="AA227" i="8" s="1"/>
  <c r="U227" i="8"/>
  <c r="AB227" i="8" s="1"/>
  <c r="R227" i="8"/>
  <c r="Y227" i="8" s="1"/>
  <c r="Q59" i="8"/>
  <c r="U59" i="8"/>
  <c r="T59" i="8"/>
  <c r="S59" i="8"/>
  <c r="R59" i="8"/>
  <c r="P59" i="8"/>
  <c r="I59" i="8"/>
  <c r="V59" i="8"/>
  <c r="I288" i="8"/>
  <c r="S68" i="8"/>
  <c r="V68" i="8"/>
  <c r="U68" i="8"/>
  <c r="R68" i="8"/>
  <c r="P68" i="8"/>
  <c r="I68" i="8"/>
  <c r="T68" i="8"/>
  <c r="Q68" i="8"/>
  <c r="V29" i="5"/>
  <c r="X60" i="5" s="1"/>
  <c r="Z60" i="5" s="1"/>
  <c r="AA60" i="5" s="1"/>
  <c r="AN29" i="5" s="1"/>
  <c r="V34" i="5"/>
  <c r="X34" i="5" s="1"/>
  <c r="Z34" i="5" s="1"/>
  <c r="AA34" i="5" s="1"/>
  <c r="AM34" i="5" s="1"/>
  <c r="R58" i="8"/>
  <c r="P58" i="8"/>
  <c r="S58" i="8"/>
  <c r="U58" i="8"/>
  <c r="I58" i="8"/>
  <c r="Q58" i="8"/>
  <c r="T58" i="8"/>
  <c r="V58" i="8"/>
  <c r="I215" i="8"/>
  <c r="I227" i="8"/>
  <c r="I197" i="6"/>
  <c r="K197" i="6" s="1"/>
  <c r="L197" i="6" s="1"/>
  <c r="AF42" i="6" s="1"/>
  <c r="I196" i="6"/>
  <c r="K196" i="6" s="1"/>
  <c r="L196" i="6" s="1"/>
  <c r="AF41" i="6" s="1"/>
  <c r="Q221" i="8"/>
  <c r="X221" i="8" s="1"/>
  <c r="T221" i="8"/>
  <c r="AA221" i="8" s="1"/>
  <c r="P221" i="8"/>
  <c r="W221" i="8" s="1"/>
  <c r="S221" i="8"/>
  <c r="Z221" i="8" s="1"/>
  <c r="R221" i="8"/>
  <c r="Y221" i="8" s="1"/>
  <c r="U221" i="8"/>
  <c r="AB221" i="8" s="1"/>
  <c r="V221" i="8"/>
  <c r="AI66" i="8"/>
  <c r="AK66" i="8" s="1"/>
  <c r="AL66" i="8" s="1"/>
  <c r="BM35" i="8" s="1"/>
  <c r="AR66" i="8"/>
  <c r="AY66" i="8" s="1"/>
  <c r="AT66" i="8"/>
  <c r="AN66" i="8"/>
  <c r="AU66" i="8" s="1"/>
  <c r="AQ66" i="8"/>
  <c r="AX66" i="8" s="1"/>
  <c r="AP66" i="8"/>
  <c r="AW66" i="8" s="1"/>
  <c r="AO66" i="8"/>
  <c r="AV66" i="8" s="1"/>
  <c r="AS66" i="8"/>
  <c r="AZ66" i="8" s="1"/>
  <c r="AR34" i="8"/>
  <c r="AY34" i="8" s="1"/>
  <c r="AO34" i="8"/>
  <c r="AV34" i="8" s="1"/>
  <c r="AT34" i="8"/>
  <c r="AQ34" i="8"/>
  <c r="AX34" i="8" s="1"/>
  <c r="AI34" i="8"/>
  <c r="AK34" i="8" s="1"/>
  <c r="AL34" i="8" s="1"/>
  <c r="BL34" i="8" s="1"/>
  <c r="AP34" i="8"/>
  <c r="AW34" i="8" s="1"/>
  <c r="AN34" i="8"/>
  <c r="AU34" i="8" s="1"/>
  <c r="AS34" i="8"/>
  <c r="AZ34" i="8" s="1"/>
  <c r="AN29" i="8"/>
  <c r="AU29" i="8" s="1"/>
  <c r="AI29" i="8"/>
  <c r="AK29" i="8" s="1"/>
  <c r="AL29" i="8" s="1"/>
  <c r="BL29" i="8" s="1"/>
  <c r="AT29" i="8"/>
  <c r="AQ29" i="8"/>
  <c r="AX29" i="8" s="1"/>
  <c r="AP29" i="8"/>
  <c r="AW29" i="8" s="1"/>
  <c r="AO29" i="8"/>
  <c r="AV29" i="8" s="1"/>
  <c r="AS29" i="8"/>
  <c r="AZ29" i="8" s="1"/>
  <c r="AR29" i="8"/>
  <c r="AY29" i="8" s="1"/>
  <c r="AS30" i="8"/>
  <c r="AZ30" i="8" s="1"/>
  <c r="AQ30" i="8"/>
  <c r="AX30" i="8" s="1"/>
  <c r="AT30" i="8"/>
  <c r="AI30" i="8"/>
  <c r="AK30" i="8" s="1"/>
  <c r="AL30" i="8" s="1"/>
  <c r="BL30" i="8" s="1"/>
  <c r="AO30" i="8"/>
  <c r="AV30" i="8" s="1"/>
  <c r="AN30" i="8"/>
  <c r="AU30" i="8" s="1"/>
  <c r="AR30" i="8"/>
  <c r="AY30" i="8" s="1"/>
  <c r="AP30" i="8"/>
  <c r="AW30" i="8" s="1"/>
  <c r="J226" i="8"/>
  <c r="I229" i="8"/>
  <c r="T229" i="8"/>
  <c r="AA229" i="8" s="1"/>
  <c r="V229" i="8"/>
  <c r="P229" i="8"/>
  <c r="W229" i="8" s="1"/>
  <c r="U229" i="8"/>
  <c r="AB229" i="8" s="1"/>
  <c r="S229" i="8"/>
  <c r="Z229" i="8" s="1"/>
  <c r="R229" i="8"/>
  <c r="Y229" i="8" s="1"/>
  <c r="Q229" i="8"/>
  <c r="X229" i="8" s="1"/>
  <c r="J229" i="8"/>
  <c r="T70" i="8"/>
  <c r="P70" i="8"/>
  <c r="S70" i="8"/>
  <c r="R70" i="8"/>
  <c r="I70" i="8"/>
  <c r="V70" i="8"/>
  <c r="U70" i="8"/>
  <c r="Q70" i="8"/>
  <c r="J224" i="8"/>
  <c r="V91" i="5"/>
  <c r="X91" i="5" s="1"/>
  <c r="Z91" i="5" s="1"/>
  <c r="AA91" i="5" s="1"/>
  <c r="AO29" i="5" s="1"/>
  <c r="V103" i="5"/>
  <c r="X103" i="5" s="1"/>
  <c r="Z103" i="5" s="1"/>
  <c r="AA103" i="5" s="1"/>
  <c r="AO41" i="5" s="1"/>
  <c r="I71" i="6"/>
  <c r="I75" i="6"/>
  <c r="K55" i="6"/>
  <c r="L55" i="6" s="1"/>
  <c r="AB24" i="6" s="1"/>
  <c r="J228" i="8"/>
  <c r="J64" i="8"/>
  <c r="V225" i="8"/>
  <c r="Q225" i="8"/>
  <c r="X225" i="8" s="1"/>
  <c r="P225" i="8"/>
  <c r="W225" i="8" s="1"/>
  <c r="T225" i="8"/>
  <c r="AA225" i="8" s="1"/>
  <c r="S225" i="8"/>
  <c r="Z225" i="8" s="1"/>
  <c r="U225" i="8"/>
  <c r="AB225" i="8" s="1"/>
  <c r="R225" i="8"/>
  <c r="Y225" i="8" s="1"/>
  <c r="I127" i="8"/>
  <c r="V28" i="5"/>
  <c r="X28" i="5" s="1"/>
  <c r="Z28" i="5" s="1"/>
  <c r="AA28" i="5" s="1"/>
  <c r="AM28" i="5" s="1"/>
  <c r="Z24" i="7"/>
  <c r="Z46" i="7" s="1"/>
  <c r="J201" i="7"/>
  <c r="I128" i="8"/>
  <c r="J127" i="8"/>
  <c r="V35" i="5"/>
  <c r="X35" i="5" s="1"/>
  <c r="Z35" i="5" s="1"/>
  <c r="AA35" i="5" s="1"/>
  <c r="AM35" i="5" s="1"/>
  <c r="I217" i="8"/>
  <c r="V217" i="8"/>
  <c r="R217" i="8"/>
  <c r="Y217" i="8" s="1"/>
  <c r="Q217" i="8"/>
  <c r="X217" i="8" s="1"/>
  <c r="S217" i="8"/>
  <c r="Z217" i="8" s="1"/>
  <c r="U217" i="8"/>
  <c r="AB217" i="8" s="1"/>
  <c r="P217" i="8"/>
  <c r="W217" i="8" s="1"/>
  <c r="T217" i="8"/>
  <c r="AA217" i="8" s="1"/>
  <c r="I213" i="8"/>
  <c r="I222" i="8"/>
  <c r="I199" i="6"/>
  <c r="K199" i="6" s="1"/>
  <c r="L199" i="6" s="1"/>
  <c r="AF44" i="6" s="1"/>
  <c r="Q61" i="8"/>
  <c r="T61" i="8"/>
  <c r="S61" i="8"/>
  <c r="P61" i="8"/>
  <c r="V61" i="8"/>
  <c r="I61" i="8"/>
  <c r="R61" i="8"/>
  <c r="U61" i="8"/>
  <c r="AI67" i="8"/>
  <c r="AK67" i="8" s="1"/>
  <c r="AL67" i="8" s="1"/>
  <c r="BM36" i="8" s="1"/>
  <c r="AO67" i="8"/>
  <c r="AV67" i="8" s="1"/>
  <c r="AT67" i="8"/>
  <c r="AP67" i="8"/>
  <c r="AW67" i="8" s="1"/>
  <c r="AR67" i="8"/>
  <c r="AY67" i="8" s="1"/>
  <c r="AS67" i="8"/>
  <c r="AZ67" i="8" s="1"/>
  <c r="AQ67" i="8"/>
  <c r="AX67" i="8" s="1"/>
  <c r="AN67" i="8"/>
  <c r="AU67" i="8" s="1"/>
  <c r="AI64" i="8"/>
  <c r="AK64" i="8" s="1"/>
  <c r="AL64" i="8" s="1"/>
  <c r="BM33" i="8" s="1"/>
  <c r="AR64" i="8"/>
  <c r="AY64" i="8" s="1"/>
  <c r="AQ64" i="8"/>
  <c r="AX64" i="8" s="1"/>
  <c r="AP64" i="8"/>
  <c r="AW64" i="8" s="1"/>
  <c r="AT64" i="8"/>
  <c r="AS64" i="8"/>
  <c r="AZ64" i="8" s="1"/>
  <c r="AO64" i="8"/>
  <c r="AV64" i="8" s="1"/>
  <c r="AN64" i="8"/>
  <c r="AU64" i="8" s="1"/>
  <c r="AI65" i="8"/>
  <c r="AK65" i="8" s="1"/>
  <c r="AL65" i="8" s="1"/>
  <c r="BM34" i="8" s="1"/>
  <c r="AS65" i="8"/>
  <c r="AZ65" i="8" s="1"/>
  <c r="AP65" i="8"/>
  <c r="AW65" i="8" s="1"/>
  <c r="AN65" i="8"/>
  <c r="AU65" i="8" s="1"/>
  <c r="AO65" i="8"/>
  <c r="AV65" i="8" s="1"/>
  <c r="AR65" i="8"/>
  <c r="AY65" i="8" s="1"/>
  <c r="AQ65" i="8"/>
  <c r="AX65" i="8" s="1"/>
  <c r="AT65" i="8"/>
  <c r="AI75" i="8"/>
  <c r="AK75" i="8" s="1"/>
  <c r="AL75" i="8" s="1"/>
  <c r="BM44" i="8" s="1"/>
  <c r="AT75" i="8"/>
  <c r="AO75" i="8"/>
  <c r="AV75" i="8" s="1"/>
  <c r="AN75" i="8"/>
  <c r="AU75" i="8" s="1"/>
  <c r="AR75" i="8"/>
  <c r="AY75" i="8" s="1"/>
  <c r="AS75" i="8"/>
  <c r="AZ75" i="8" s="1"/>
  <c r="AP75" i="8"/>
  <c r="AW75" i="8" s="1"/>
  <c r="AQ75" i="8"/>
  <c r="AX75" i="8" s="1"/>
  <c r="AO44" i="8"/>
  <c r="AV44" i="8" s="1"/>
  <c r="AI44" i="8"/>
  <c r="AK44" i="8" s="1"/>
  <c r="AL44" i="8" s="1"/>
  <c r="BL44" i="8" s="1"/>
  <c r="AS44" i="8"/>
  <c r="AZ44" i="8" s="1"/>
  <c r="AN44" i="8"/>
  <c r="AU44" i="8" s="1"/>
  <c r="AR44" i="8"/>
  <c r="AY44" i="8" s="1"/>
  <c r="AQ44" i="8"/>
  <c r="AX44" i="8" s="1"/>
  <c r="AP44" i="8"/>
  <c r="AW44" i="8" s="1"/>
  <c r="AT44" i="8"/>
  <c r="I129" i="8"/>
  <c r="I285" i="8"/>
  <c r="I179" i="8"/>
  <c r="M55" i="8"/>
  <c r="N55" i="8" s="1"/>
  <c r="BD24" i="8" s="1"/>
  <c r="U65" i="8"/>
  <c r="I65" i="8"/>
  <c r="Q65" i="8"/>
  <c r="T65" i="8"/>
  <c r="P65" i="8"/>
  <c r="V65" i="8"/>
  <c r="R65" i="8"/>
  <c r="S65" i="8"/>
  <c r="P66" i="8"/>
  <c r="S66" i="8"/>
  <c r="I66" i="8"/>
  <c r="V66" i="8"/>
  <c r="U66" i="8"/>
  <c r="T66" i="8"/>
  <c r="Q66" i="8"/>
  <c r="R66" i="8"/>
  <c r="T216" i="8"/>
  <c r="AA216" i="8" s="1"/>
  <c r="V216" i="8"/>
  <c r="R216" i="8"/>
  <c r="Y216" i="8" s="1"/>
  <c r="U216" i="8"/>
  <c r="AB216" i="8" s="1"/>
  <c r="P216" i="8"/>
  <c r="W216" i="8" s="1"/>
  <c r="S216" i="8"/>
  <c r="Z216" i="8" s="1"/>
  <c r="Q216" i="8"/>
  <c r="X216" i="8" s="1"/>
  <c r="V89" i="5"/>
  <c r="X120" i="5" s="1"/>
  <c r="Z120" i="5" s="1"/>
  <c r="AA120" i="5" s="1"/>
  <c r="AP27" i="5" s="1"/>
  <c r="V74" i="8"/>
  <c r="R74" i="8"/>
  <c r="Q74" i="8"/>
  <c r="U74" i="8"/>
  <c r="P74" i="8"/>
  <c r="T74" i="8"/>
  <c r="S74" i="8"/>
  <c r="I74" i="8"/>
  <c r="I131" i="8"/>
  <c r="J221" i="8"/>
  <c r="J225" i="8"/>
  <c r="V40" i="5"/>
  <c r="X71" i="5" s="1"/>
  <c r="Z71" i="5" s="1"/>
  <c r="AA71" i="5" s="1"/>
  <c r="AN40" i="5" s="1"/>
  <c r="V39" i="5"/>
  <c r="X70" i="5" s="1"/>
  <c r="Z70" i="5" s="1"/>
  <c r="AA70" i="5" s="1"/>
  <c r="AN39" i="5" s="1"/>
  <c r="V36" i="5"/>
  <c r="I219" i="8"/>
  <c r="I214" i="8"/>
  <c r="I194" i="6"/>
  <c r="K194" i="6" s="1"/>
  <c r="L194" i="6" s="1"/>
  <c r="AF39" i="6" s="1"/>
  <c r="I195" i="6"/>
  <c r="K195" i="6" s="1"/>
  <c r="L195" i="6" s="1"/>
  <c r="AF40" i="6" s="1"/>
  <c r="J217" i="8"/>
  <c r="AI58" i="8"/>
  <c r="AK58" i="8" s="1"/>
  <c r="AL58" i="8" s="1"/>
  <c r="BM27" i="8" s="1"/>
  <c r="AR58" i="8"/>
  <c r="AY58" i="8" s="1"/>
  <c r="AT58" i="8"/>
  <c r="AP58" i="8"/>
  <c r="AW58" i="8" s="1"/>
  <c r="AS58" i="8"/>
  <c r="AZ58" i="8" s="1"/>
  <c r="AN58" i="8"/>
  <c r="AU58" i="8" s="1"/>
  <c r="AQ58" i="8"/>
  <c r="AX58" i="8" s="1"/>
  <c r="AO58" i="8"/>
  <c r="AV58" i="8" s="1"/>
  <c r="AI74" i="8"/>
  <c r="AK74" i="8" s="1"/>
  <c r="AL74" i="8" s="1"/>
  <c r="BM43" i="8" s="1"/>
  <c r="AO74" i="8"/>
  <c r="AV74" i="8" s="1"/>
  <c r="AN74" i="8"/>
  <c r="AU74" i="8" s="1"/>
  <c r="AP74" i="8"/>
  <c r="AW74" i="8" s="1"/>
  <c r="AS74" i="8"/>
  <c r="AZ74" i="8" s="1"/>
  <c r="AQ74" i="8"/>
  <c r="AX74" i="8" s="1"/>
  <c r="AR74" i="8"/>
  <c r="AY74" i="8" s="1"/>
  <c r="AT74" i="8"/>
  <c r="AN36" i="8"/>
  <c r="AU36" i="8" s="1"/>
  <c r="AS36" i="8"/>
  <c r="AZ36" i="8" s="1"/>
  <c r="AQ36" i="8"/>
  <c r="AX36" i="8" s="1"/>
  <c r="AT36" i="8"/>
  <c r="AO36" i="8"/>
  <c r="AV36" i="8" s="1"/>
  <c r="AI36" i="8"/>
  <c r="AK36" i="8" s="1"/>
  <c r="AL36" i="8" s="1"/>
  <c r="BL36" i="8" s="1"/>
  <c r="AP36" i="8"/>
  <c r="AW36" i="8" s="1"/>
  <c r="AR36" i="8"/>
  <c r="AY36" i="8" s="1"/>
  <c r="AT37" i="8"/>
  <c r="AO37" i="8"/>
  <c r="AV37" i="8" s="1"/>
  <c r="AR37" i="8"/>
  <c r="AY37" i="8" s="1"/>
  <c r="AP37" i="8"/>
  <c r="AW37" i="8" s="1"/>
  <c r="AI37" i="8"/>
  <c r="AK37" i="8" s="1"/>
  <c r="AL37" i="8" s="1"/>
  <c r="BL37" i="8" s="1"/>
  <c r="AN37" i="8"/>
  <c r="AU37" i="8" s="1"/>
  <c r="AS37" i="8"/>
  <c r="AZ37" i="8" s="1"/>
  <c r="AQ37" i="8"/>
  <c r="AX37" i="8" s="1"/>
  <c r="AN43" i="8"/>
  <c r="AU43" i="8" s="1"/>
  <c r="AR43" i="8"/>
  <c r="AY43" i="8" s="1"/>
  <c r="AI43" i="8"/>
  <c r="AK43" i="8" s="1"/>
  <c r="AL43" i="8" s="1"/>
  <c r="BL43" i="8" s="1"/>
  <c r="AQ43" i="8"/>
  <c r="AX43" i="8" s="1"/>
  <c r="AO43" i="8"/>
  <c r="AV43" i="8" s="1"/>
  <c r="AT43" i="8"/>
  <c r="AS43" i="8"/>
  <c r="AZ43" i="8" s="1"/>
  <c r="AP43" i="8"/>
  <c r="AW43" i="8" s="1"/>
  <c r="J72" i="8"/>
  <c r="S75" i="8"/>
  <c r="V75" i="8"/>
  <c r="U75" i="8"/>
  <c r="R75" i="8"/>
  <c r="T75" i="8"/>
  <c r="P75" i="8"/>
  <c r="Q75" i="8"/>
  <c r="I75" i="8"/>
  <c r="X55" i="8"/>
  <c r="Q179" i="8"/>
  <c r="I281" i="8"/>
  <c r="I278" i="8"/>
  <c r="V102" i="5"/>
  <c r="X133" i="5" s="1"/>
  <c r="Z133" i="5" s="1"/>
  <c r="AA133" i="5" s="1"/>
  <c r="AP40" i="5" s="1"/>
  <c r="V104" i="5"/>
  <c r="X104" i="5" s="1"/>
  <c r="Z104" i="5" s="1"/>
  <c r="AA104" i="5" s="1"/>
  <c r="AO42" i="5" s="1"/>
  <c r="I63" i="6"/>
  <c r="J68" i="8"/>
  <c r="J222" i="8"/>
  <c r="I290" i="8"/>
  <c r="J75" i="8"/>
  <c r="I133" i="8"/>
  <c r="V230" i="8"/>
  <c r="P230" i="8"/>
  <c r="W230" i="8" s="1"/>
  <c r="U230" i="8"/>
  <c r="AB230" i="8" s="1"/>
  <c r="R230" i="8"/>
  <c r="Y230" i="8" s="1"/>
  <c r="S230" i="8"/>
  <c r="Z230" i="8" s="1"/>
  <c r="Q230" i="8"/>
  <c r="X230" i="8" s="1"/>
  <c r="T230" i="8"/>
  <c r="AA230" i="8" s="1"/>
  <c r="AI70" i="8"/>
  <c r="AK70" i="8" s="1"/>
  <c r="AL70" i="8" s="1"/>
  <c r="BM39" i="8" s="1"/>
  <c r="AT70" i="8"/>
  <c r="AS70" i="8"/>
  <c r="AZ70" i="8" s="1"/>
  <c r="AQ70" i="8"/>
  <c r="AX70" i="8" s="1"/>
  <c r="AP70" i="8"/>
  <c r="AW70" i="8" s="1"/>
  <c r="AO70" i="8"/>
  <c r="AV70" i="8" s="1"/>
  <c r="AN70" i="8"/>
  <c r="AU70" i="8" s="1"/>
  <c r="AR70" i="8"/>
  <c r="AY70" i="8" s="1"/>
  <c r="Q73" i="8"/>
  <c r="I73" i="8"/>
  <c r="S73" i="8"/>
  <c r="T73" i="8"/>
  <c r="P73" i="8"/>
  <c r="R73" i="8"/>
  <c r="U73" i="8"/>
  <c r="V73" i="8"/>
  <c r="I275" i="8"/>
  <c r="S275" i="8"/>
  <c r="S222" i="8"/>
  <c r="Z222" i="8" s="1"/>
  <c r="V222" i="8"/>
  <c r="P222" i="8"/>
  <c r="W222" i="8" s="1"/>
  <c r="Q222" i="8"/>
  <c r="X222" i="8" s="1"/>
  <c r="U222" i="8"/>
  <c r="AB222" i="8" s="1"/>
  <c r="R222" i="8"/>
  <c r="Y222" i="8" s="1"/>
  <c r="T222" i="8"/>
  <c r="AA222" i="8" s="1"/>
  <c r="V90" i="5"/>
  <c r="X90" i="5" s="1"/>
  <c r="Z90" i="5" s="1"/>
  <c r="AA90" i="5" s="1"/>
  <c r="AO28" i="5" s="1"/>
  <c r="V105" i="5"/>
  <c r="X136" i="5" s="1"/>
  <c r="Z136" i="5" s="1"/>
  <c r="AA136" i="5" s="1"/>
  <c r="AP43" i="5" s="1"/>
  <c r="P286" i="8"/>
  <c r="W286" i="8" s="1"/>
  <c r="S286" i="8"/>
  <c r="Z286" i="8" s="1"/>
  <c r="I286" i="8"/>
  <c r="V24" i="5"/>
  <c r="V44" i="5"/>
  <c r="V37" i="5"/>
  <c r="J126" i="8"/>
  <c r="AI61" i="8"/>
  <c r="AK61" i="8" s="1"/>
  <c r="AL61" i="8" s="1"/>
  <c r="BM30" i="8" s="1"/>
  <c r="AT61" i="8"/>
  <c r="AR61" i="8"/>
  <c r="AY61" i="8" s="1"/>
  <c r="AS61" i="8"/>
  <c r="AZ61" i="8" s="1"/>
  <c r="AP61" i="8"/>
  <c r="AW61" i="8" s="1"/>
  <c r="AO61" i="8"/>
  <c r="AV61" i="8" s="1"/>
  <c r="AQ61" i="8"/>
  <c r="AX61" i="8" s="1"/>
  <c r="AN61" i="8"/>
  <c r="AU61" i="8" s="1"/>
  <c r="AI62" i="8"/>
  <c r="AK62" i="8" s="1"/>
  <c r="AL62" i="8" s="1"/>
  <c r="BM31" i="8" s="1"/>
  <c r="AS62" i="8"/>
  <c r="AZ62" i="8" s="1"/>
  <c r="AN62" i="8"/>
  <c r="AU62" i="8" s="1"/>
  <c r="AP62" i="8"/>
  <c r="AW62" i="8" s="1"/>
  <c r="AQ62" i="8"/>
  <c r="AX62" i="8" s="1"/>
  <c r="AO62" i="8"/>
  <c r="AV62" i="8" s="1"/>
  <c r="AR62" i="8"/>
  <c r="AY62" i="8" s="1"/>
  <c r="AT62" i="8"/>
  <c r="AS38" i="8"/>
  <c r="AZ38" i="8" s="1"/>
  <c r="AO38" i="8"/>
  <c r="AV38" i="8" s="1"/>
  <c r="AT38" i="8"/>
  <c r="AP38" i="8"/>
  <c r="AW38" i="8" s="1"/>
  <c r="AR38" i="8"/>
  <c r="AY38" i="8" s="1"/>
  <c r="AQ38" i="8"/>
  <c r="AX38" i="8" s="1"/>
  <c r="AN38" i="8"/>
  <c r="AU38" i="8" s="1"/>
  <c r="AI38" i="8"/>
  <c r="AK38" i="8" s="1"/>
  <c r="AL38" i="8" s="1"/>
  <c r="BL38" i="8" s="1"/>
  <c r="AT42" i="8"/>
  <c r="AN42" i="8"/>
  <c r="AU42" i="8" s="1"/>
  <c r="AO42" i="8"/>
  <c r="AV42" i="8" s="1"/>
  <c r="AP42" i="8"/>
  <c r="AW42" i="8" s="1"/>
  <c r="AR42" i="8"/>
  <c r="AY42" i="8" s="1"/>
  <c r="AS42" i="8"/>
  <c r="AZ42" i="8" s="1"/>
  <c r="AI42" i="8"/>
  <c r="AK42" i="8" s="1"/>
  <c r="AL42" i="8" s="1"/>
  <c r="BL42" i="8" s="1"/>
  <c r="AQ42" i="8"/>
  <c r="AX42" i="8" s="1"/>
  <c r="AP33" i="8"/>
  <c r="AW33" i="8" s="1"/>
  <c r="AR33" i="8"/>
  <c r="AY33" i="8" s="1"/>
  <c r="AQ33" i="8"/>
  <c r="AX33" i="8" s="1"/>
  <c r="AI33" i="8"/>
  <c r="AK33" i="8" s="1"/>
  <c r="AL33" i="8" s="1"/>
  <c r="BL33" i="8" s="1"/>
  <c r="AS33" i="8"/>
  <c r="AZ33" i="8" s="1"/>
  <c r="AT33" i="8"/>
  <c r="AO33" i="8"/>
  <c r="AV33" i="8" s="1"/>
  <c r="AN33" i="8"/>
  <c r="AU33" i="8" s="1"/>
  <c r="I129" i="6"/>
  <c r="K129" i="6" s="1"/>
  <c r="L129" i="6" s="1"/>
  <c r="AD36" i="6" s="1"/>
  <c r="V92" i="5"/>
  <c r="X92" i="5" s="1"/>
  <c r="Z92" i="5" s="1"/>
  <c r="AA92" i="5" s="1"/>
  <c r="AO30" i="5" s="1"/>
  <c r="I69" i="6"/>
  <c r="I224" i="8"/>
  <c r="P224" i="8"/>
  <c r="W224" i="8" s="1"/>
  <c r="V224" i="8"/>
  <c r="T224" i="8"/>
  <c r="AA224" i="8" s="1"/>
  <c r="U224" i="8"/>
  <c r="AB224" i="8" s="1"/>
  <c r="S224" i="8"/>
  <c r="Z224" i="8" s="1"/>
  <c r="R224" i="8"/>
  <c r="Y224" i="8" s="1"/>
  <c r="Q224" i="8"/>
  <c r="X224" i="8" s="1"/>
  <c r="V38" i="5"/>
  <c r="X38" i="5" s="1"/>
  <c r="Z38" i="5" s="1"/>
  <c r="AA38" i="5" s="1"/>
  <c r="AM38" i="5" s="1"/>
  <c r="V30" i="5"/>
  <c r="X30" i="5" s="1"/>
  <c r="Z30" i="5" s="1"/>
  <c r="AA30" i="5" s="1"/>
  <c r="AM30" i="5" s="1"/>
  <c r="V41" i="5"/>
  <c r="J70" i="8"/>
  <c r="I216" i="8"/>
  <c r="I223" i="8"/>
  <c r="I182" i="6"/>
  <c r="K182" i="6" s="1"/>
  <c r="L182" i="6" s="1"/>
  <c r="I188" i="6"/>
  <c r="K188" i="6" s="1"/>
  <c r="L188" i="6" s="1"/>
  <c r="AF33" i="6" s="1"/>
  <c r="J215" i="8"/>
  <c r="AI60" i="8"/>
  <c r="AK60" i="8" s="1"/>
  <c r="AL60" i="8" s="1"/>
  <c r="BM29" i="8" s="1"/>
  <c r="AT60" i="8"/>
  <c r="AN60" i="8"/>
  <c r="AU60" i="8" s="1"/>
  <c r="AQ60" i="8"/>
  <c r="AX60" i="8" s="1"/>
  <c r="AO60" i="8"/>
  <c r="AV60" i="8" s="1"/>
  <c r="AS60" i="8"/>
  <c r="AZ60" i="8" s="1"/>
  <c r="AP60" i="8"/>
  <c r="AW60" i="8" s="1"/>
  <c r="AR60" i="8"/>
  <c r="AY60" i="8" s="1"/>
  <c r="AI72" i="8"/>
  <c r="AK72" i="8" s="1"/>
  <c r="AL72" i="8" s="1"/>
  <c r="BM41" i="8" s="1"/>
  <c r="AN72" i="8"/>
  <c r="AU72" i="8" s="1"/>
  <c r="AP72" i="8"/>
  <c r="AW72" i="8" s="1"/>
  <c r="AQ72" i="8"/>
  <c r="AX72" i="8" s="1"/>
  <c r="AO72" i="8"/>
  <c r="AV72" i="8" s="1"/>
  <c r="AR72" i="8"/>
  <c r="AY72" i="8" s="1"/>
  <c r="AT72" i="8"/>
  <c r="AS72" i="8"/>
  <c r="AZ72" i="8" s="1"/>
  <c r="AR32" i="8"/>
  <c r="AY32" i="8" s="1"/>
  <c r="AQ32" i="8"/>
  <c r="AX32" i="8" s="1"/>
  <c r="AP32" i="8"/>
  <c r="AW32" i="8" s="1"/>
  <c r="AI32" i="8"/>
  <c r="AK32" i="8" s="1"/>
  <c r="AL32" i="8" s="1"/>
  <c r="BL32" i="8" s="1"/>
  <c r="AS32" i="8"/>
  <c r="AZ32" i="8" s="1"/>
  <c r="AN32" i="8"/>
  <c r="AU32" i="8" s="1"/>
  <c r="AT32" i="8"/>
  <c r="AO32" i="8"/>
  <c r="AV32" i="8" s="1"/>
  <c r="AN35" i="8"/>
  <c r="AU35" i="8" s="1"/>
  <c r="AT35" i="8"/>
  <c r="AS35" i="8"/>
  <c r="AZ35" i="8" s="1"/>
  <c r="AP35" i="8"/>
  <c r="AW35" i="8" s="1"/>
  <c r="AO35" i="8"/>
  <c r="AV35" i="8" s="1"/>
  <c r="AQ35" i="8"/>
  <c r="AX35" i="8" s="1"/>
  <c r="AR35" i="8"/>
  <c r="AY35" i="8" s="1"/>
  <c r="AI35" i="8"/>
  <c r="AK35" i="8" s="1"/>
  <c r="AL35" i="8" s="1"/>
  <c r="BL35" i="8" s="1"/>
  <c r="T72" i="8"/>
  <c r="S72" i="8"/>
  <c r="P72" i="8"/>
  <c r="R72" i="8"/>
  <c r="I72" i="8"/>
  <c r="V72" i="8"/>
  <c r="Q72" i="8"/>
  <c r="U72" i="8"/>
  <c r="J125" i="8"/>
  <c r="I134" i="8"/>
  <c r="J276" i="8"/>
  <c r="S71" i="8"/>
  <c r="R71" i="8"/>
  <c r="U71" i="8"/>
  <c r="Q71" i="8"/>
  <c r="T71" i="8"/>
  <c r="I71" i="8"/>
  <c r="V71" i="8"/>
  <c r="P71" i="8"/>
  <c r="V99" i="5"/>
  <c r="X130" i="5" s="1"/>
  <c r="Z130" i="5" s="1"/>
  <c r="AA130" i="5" s="1"/>
  <c r="AP37" i="5" s="1"/>
  <c r="V106" i="5"/>
  <c r="X137" i="5" s="1"/>
  <c r="Z137" i="5" s="1"/>
  <c r="AA137" i="5" s="1"/>
  <c r="AP44" i="5" s="1"/>
  <c r="I74" i="6"/>
  <c r="I66" i="6"/>
  <c r="I68" i="6"/>
  <c r="P228" i="8"/>
  <c r="W228" i="8" s="1"/>
  <c r="V228" i="8"/>
  <c r="R228" i="8"/>
  <c r="Y228" i="8" s="1"/>
  <c r="T228" i="8"/>
  <c r="AA228" i="8" s="1"/>
  <c r="Q228" i="8"/>
  <c r="X228" i="8" s="1"/>
  <c r="S228" i="8"/>
  <c r="Z228" i="8" s="1"/>
  <c r="U228" i="8"/>
  <c r="AB228" i="8" s="1"/>
  <c r="Q62" i="8"/>
  <c r="T62" i="8"/>
  <c r="P62" i="8"/>
  <c r="V62" i="8"/>
  <c r="I62" i="8"/>
  <c r="R62" i="8"/>
  <c r="S62" i="8"/>
  <c r="U62" i="8"/>
  <c r="T289" i="8"/>
  <c r="AA289" i="8" s="1"/>
  <c r="P289" i="8"/>
  <c r="W289" i="8" s="1"/>
  <c r="I289" i="8"/>
  <c r="I122" i="8"/>
  <c r="T122" i="8"/>
  <c r="AA122" i="8" s="1"/>
  <c r="R60" i="8"/>
  <c r="Q60" i="8"/>
  <c r="U60" i="8"/>
  <c r="P60" i="8"/>
  <c r="S60" i="8"/>
  <c r="T60" i="8"/>
  <c r="I60" i="8"/>
  <c r="V60" i="8"/>
  <c r="U219" i="8"/>
  <c r="AB219" i="8" s="1"/>
  <c r="S219" i="8"/>
  <c r="Z219" i="8" s="1"/>
  <c r="P219" i="8"/>
  <c r="W219" i="8" s="1"/>
  <c r="V219" i="8"/>
  <c r="R219" i="8"/>
  <c r="Y219" i="8" s="1"/>
  <c r="Q219" i="8"/>
  <c r="X219" i="8" s="1"/>
  <c r="T219" i="8"/>
  <c r="AA219" i="8" s="1"/>
  <c r="J289" i="8"/>
  <c r="V24" i="7"/>
  <c r="J77" i="7"/>
  <c r="V33" i="5"/>
  <c r="I226" i="8"/>
  <c r="R226" i="8"/>
  <c r="Y226" i="8" s="1"/>
  <c r="Q226" i="8"/>
  <c r="X226" i="8" s="1"/>
  <c r="V226" i="8"/>
  <c r="P226" i="8"/>
  <c r="W226" i="8" s="1"/>
  <c r="T226" i="8"/>
  <c r="AA226" i="8" s="1"/>
  <c r="S226" i="8"/>
  <c r="Z226" i="8" s="1"/>
  <c r="U226" i="8"/>
  <c r="AB226" i="8" s="1"/>
  <c r="P282" i="8"/>
  <c r="W282" i="8" s="1"/>
  <c r="I282" i="8"/>
  <c r="V282" i="8"/>
  <c r="P131" i="8"/>
  <c r="W131" i="8" s="1"/>
  <c r="U67" i="8"/>
  <c r="Q67" i="8"/>
  <c r="T67" i="8"/>
  <c r="P67" i="8"/>
  <c r="S67" i="8"/>
  <c r="R67" i="8"/>
  <c r="V67" i="8"/>
  <c r="I67" i="8"/>
  <c r="T276" i="8"/>
  <c r="AA276" i="8" s="1"/>
  <c r="Q276" i="8"/>
  <c r="X276" i="8" s="1"/>
  <c r="V276" i="8"/>
  <c r="I276" i="8"/>
  <c r="J60" i="8"/>
  <c r="U214" i="8"/>
  <c r="AB214" i="8" s="1"/>
  <c r="Q214" i="8"/>
  <c r="X214" i="8" s="1"/>
  <c r="R214" i="8"/>
  <c r="Y214" i="8" s="1"/>
  <c r="P214" i="8"/>
  <c r="W214" i="8" s="1"/>
  <c r="V214" i="8"/>
  <c r="T214" i="8"/>
  <c r="AA214" i="8" s="1"/>
  <c r="S214" i="8"/>
  <c r="Z214" i="8" s="1"/>
  <c r="V97" i="5"/>
  <c r="X128" i="5" s="1"/>
  <c r="Z128" i="5" s="1"/>
  <c r="AA128" i="5" s="1"/>
  <c r="AP35" i="5" s="1"/>
  <c r="J135" i="8"/>
  <c r="S218" i="8"/>
  <c r="Z218" i="8" s="1"/>
  <c r="U218" i="8"/>
  <c r="AB218" i="8" s="1"/>
  <c r="V218" i="8"/>
  <c r="P218" i="8"/>
  <c r="W218" i="8" s="1"/>
  <c r="R218" i="8"/>
  <c r="Y218" i="8" s="1"/>
  <c r="T218" i="8"/>
  <c r="AA218" i="8" s="1"/>
  <c r="Q218" i="8"/>
  <c r="X218" i="8" s="1"/>
  <c r="I252" i="6"/>
  <c r="K252" i="6" s="1"/>
  <c r="L252" i="6" s="1"/>
  <c r="AH35" i="6" s="1"/>
  <c r="U127" i="8"/>
  <c r="AB127" i="8" s="1"/>
  <c r="P127" i="8"/>
  <c r="W127" i="8" s="1"/>
  <c r="R127" i="8"/>
  <c r="Y127" i="8" s="1"/>
  <c r="V127" i="8"/>
  <c r="Q127" i="8"/>
  <c r="X127" i="8" s="1"/>
  <c r="S127" i="8"/>
  <c r="Z127" i="8" s="1"/>
  <c r="T127" i="8"/>
  <c r="AA127" i="8" s="1"/>
  <c r="I220" i="8"/>
  <c r="T220" i="8"/>
  <c r="AA220" i="8" s="1"/>
  <c r="P220" i="8"/>
  <c r="W220" i="8" s="1"/>
  <c r="U220" i="8"/>
  <c r="AB220" i="8" s="1"/>
  <c r="R220" i="8"/>
  <c r="Y220" i="8" s="1"/>
  <c r="S220" i="8"/>
  <c r="Z220" i="8" s="1"/>
  <c r="Q220" i="8"/>
  <c r="X220" i="8" s="1"/>
  <c r="V220" i="8"/>
  <c r="V32" i="5"/>
  <c r="X63" i="5" s="1"/>
  <c r="Z63" i="5" s="1"/>
  <c r="AA63" i="5" s="1"/>
  <c r="AN32" i="5" s="1"/>
  <c r="V27" i="5"/>
  <c r="I277" i="8"/>
  <c r="I187" i="6"/>
  <c r="K187" i="6" s="1"/>
  <c r="L187" i="6" s="1"/>
  <c r="AF32" i="6" s="1"/>
  <c r="AI73" i="8"/>
  <c r="AK73" i="8" s="1"/>
  <c r="AL73" i="8" s="1"/>
  <c r="BM42" i="8" s="1"/>
  <c r="AO73" i="8"/>
  <c r="AV73" i="8" s="1"/>
  <c r="AT73" i="8"/>
  <c r="AQ73" i="8"/>
  <c r="AX73" i="8" s="1"/>
  <c r="AP73" i="8"/>
  <c r="AW73" i="8" s="1"/>
  <c r="AR73" i="8"/>
  <c r="AY73" i="8" s="1"/>
  <c r="AS73" i="8"/>
  <c r="AZ73" i="8" s="1"/>
  <c r="AN73" i="8"/>
  <c r="AU73" i="8" s="1"/>
  <c r="AI59" i="8"/>
  <c r="AK59" i="8" s="1"/>
  <c r="AL59" i="8" s="1"/>
  <c r="BM28" i="8" s="1"/>
  <c r="AS59" i="8"/>
  <c r="AZ59" i="8" s="1"/>
  <c r="AP59" i="8"/>
  <c r="AW59" i="8" s="1"/>
  <c r="AN59" i="8"/>
  <c r="AU59" i="8" s="1"/>
  <c r="AT59" i="8"/>
  <c r="AQ59" i="8"/>
  <c r="AX59" i="8" s="1"/>
  <c r="AO59" i="8"/>
  <c r="AV59" i="8" s="1"/>
  <c r="AR59" i="8"/>
  <c r="AY59" i="8" s="1"/>
  <c r="AI71" i="8"/>
  <c r="AK71" i="8" s="1"/>
  <c r="AL71" i="8" s="1"/>
  <c r="BM40" i="8" s="1"/>
  <c r="AS71" i="8"/>
  <c r="AZ71" i="8" s="1"/>
  <c r="AO71" i="8"/>
  <c r="AV71" i="8" s="1"/>
  <c r="AQ71" i="8"/>
  <c r="AX71" i="8" s="1"/>
  <c r="AR71" i="8"/>
  <c r="AY71" i="8" s="1"/>
  <c r="AN71" i="8"/>
  <c r="AU71" i="8" s="1"/>
  <c r="AT71" i="8"/>
  <c r="AP71" i="8"/>
  <c r="AW71" i="8" s="1"/>
  <c r="AS31" i="8"/>
  <c r="AZ31" i="8" s="1"/>
  <c r="AR31" i="8"/>
  <c r="AY31" i="8" s="1"/>
  <c r="AQ31" i="8"/>
  <c r="AX31" i="8" s="1"/>
  <c r="AN31" i="8"/>
  <c r="AU31" i="8" s="1"/>
  <c r="AT31" i="8"/>
  <c r="AO31" i="8"/>
  <c r="AV31" i="8" s="1"/>
  <c r="AI31" i="8"/>
  <c r="AK31" i="8" s="1"/>
  <c r="AL31" i="8" s="1"/>
  <c r="BL31" i="8" s="1"/>
  <c r="AP31" i="8"/>
  <c r="AW31" i="8" s="1"/>
  <c r="U284" i="8"/>
  <c r="AB284" i="8" s="1"/>
  <c r="I284" i="8"/>
  <c r="X24" i="7"/>
  <c r="X46" i="7" s="1"/>
  <c r="J139" i="7"/>
  <c r="P63" i="8"/>
  <c r="R63" i="8"/>
  <c r="Q63" i="8"/>
  <c r="U63" i="8"/>
  <c r="T63" i="8"/>
  <c r="S63" i="8"/>
  <c r="V63" i="8"/>
  <c r="I63" i="8"/>
  <c r="J63" i="8"/>
  <c r="J71" i="8"/>
  <c r="J220" i="8"/>
  <c r="V280" i="8"/>
  <c r="I280" i="8"/>
  <c r="J58" i="8"/>
  <c r="V101" i="5"/>
  <c r="X132" i="5" s="1"/>
  <c r="Z132" i="5" s="1"/>
  <c r="AA132" i="5" s="1"/>
  <c r="AP39" i="5" s="1"/>
  <c r="V98" i="5"/>
  <c r="X98" i="5" s="1"/>
  <c r="Z98" i="5" s="1"/>
  <c r="AA98" i="5" s="1"/>
  <c r="AO36" i="5" s="1"/>
  <c r="I72" i="6"/>
  <c r="I67" i="6"/>
  <c r="J61" i="8"/>
  <c r="J130" i="8"/>
  <c r="I292" i="8"/>
  <c r="J69" i="8"/>
  <c r="J216" i="8"/>
  <c r="I137" i="8"/>
  <c r="M29" i="8" l="1"/>
  <c r="N29" i="8" s="1"/>
  <c r="BC29" i="8" s="1"/>
  <c r="I137" i="6"/>
  <c r="K137" i="6" s="1"/>
  <c r="L137" i="6" s="1"/>
  <c r="AD44" i="6" s="1"/>
  <c r="V30" i="8"/>
  <c r="Q37" i="8"/>
  <c r="X37" i="8" s="1"/>
  <c r="K30" i="18"/>
  <c r="M30" i="18" s="1"/>
  <c r="N30" i="18" s="1"/>
  <c r="AD30" i="18" s="1"/>
  <c r="K31" i="5"/>
  <c r="M31" i="5" s="1"/>
  <c r="N31" i="5" s="1"/>
  <c r="AD31" i="5" s="1"/>
  <c r="M31" i="8"/>
  <c r="N31" i="8" s="1"/>
  <c r="BC31" i="8" s="1"/>
  <c r="M44" i="8"/>
  <c r="N44" i="8" s="1"/>
  <c r="BC44" i="8" s="1"/>
  <c r="M32" i="8"/>
  <c r="N32" i="8" s="1"/>
  <c r="BC32" i="8" s="1"/>
  <c r="M28" i="8"/>
  <c r="N28" i="8" s="1"/>
  <c r="BC28" i="8" s="1"/>
  <c r="M39" i="8"/>
  <c r="N39" i="8" s="1"/>
  <c r="BC39" i="8" s="1"/>
  <c r="P180" i="8"/>
  <c r="W180" i="8" s="1"/>
  <c r="M38" i="8"/>
  <c r="N38" i="8" s="1"/>
  <c r="BC38" i="8" s="1"/>
  <c r="S37" i="8"/>
  <c r="Z37" i="8" s="1"/>
  <c r="U37" i="8"/>
  <c r="AB37" i="8" s="1"/>
  <c r="T37" i="8"/>
  <c r="AA37" i="8" s="1"/>
  <c r="J37" i="8"/>
  <c r="M37" i="8" s="1"/>
  <c r="N37" i="8" s="1"/>
  <c r="BC37" i="8" s="1"/>
  <c r="U128" i="8"/>
  <c r="AB128" i="8" s="1"/>
  <c r="P37" i="8"/>
  <c r="W37" i="8" s="1"/>
  <c r="M77" i="18"/>
  <c r="N77" i="18" s="1"/>
  <c r="AE46" i="18" s="1"/>
  <c r="M155" i="18"/>
  <c r="N155" i="18" s="1"/>
  <c r="AH31" i="18" s="1"/>
  <c r="I250" i="6"/>
  <c r="K250" i="6" s="1"/>
  <c r="L250" i="6" s="1"/>
  <c r="AH33" i="6" s="1"/>
  <c r="M158" i="18"/>
  <c r="N158" i="18" s="1"/>
  <c r="AH34" i="18" s="1"/>
  <c r="I256" i="6"/>
  <c r="K256" i="6" s="1"/>
  <c r="L256" i="6" s="1"/>
  <c r="AH39" i="6" s="1"/>
  <c r="R279" i="8"/>
  <c r="Y279" i="8" s="1"/>
  <c r="K94" i="18"/>
  <c r="M94" i="18" s="1"/>
  <c r="N94" i="18" s="1"/>
  <c r="AF32" i="18" s="1"/>
  <c r="K126" i="5"/>
  <c r="I255" i="6"/>
  <c r="K255" i="6" s="1"/>
  <c r="L255" i="6" s="1"/>
  <c r="AH38" i="6" s="1"/>
  <c r="K38" i="18"/>
  <c r="M38" i="18" s="1"/>
  <c r="N38" i="18" s="1"/>
  <c r="AD38" i="18" s="1"/>
  <c r="K192" i="18"/>
  <c r="K26" i="18"/>
  <c r="M26" i="18" s="1"/>
  <c r="N26" i="18" s="1"/>
  <c r="AD26" i="18" s="1"/>
  <c r="U96" i="8"/>
  <c r="AB96" i="8" s="1"/>
  <c r="T131" i="8"/>
  <c r="AA131" i="8" s="1"/>
  <c r="K44" i="18"/>
  <c r="M44" i="18" s="1"/>
  <c r="N44" i="18" s="1"/>
  <c r="AD44" i="18" s="1"/>
  <c r="K39" i="18"/>
  <c r="M39" i="18" s="1"/>
  <c r="N39" i="18" s="1"/>
  <c r="AD39" i="18" s="1"/>
  <c r="K42" i="18"/>
  <c r="M42" i="18" s="1"/>
  <c r="N42" i="18" s="1"/>
  <c r="AD42" i="18" s="1"/>
  <c r="K36" i="18"/>
  <c r="M36" i="18" s="1"/>
  <c r="N36" i="18" s="1"/>
  <c r="AD36" i="18" s="1"/>
  <c r="S90" i="8"/>
  <c r="Z90" i="8" s="1"/>
  <c r="V284" i="8"/>
  <c r="T286" i="8"/>
  <c r="AA286" i="8" s="1"/>
  <c r="R33" i="8"/>
  <c r="Y33" i="8" s="1"/>
  <c r="U42" i="8"/>
  <c r="AB42" i="8" s="1"/>
  <c r="P42" i="8"/>
  <c r="W42" i="8" s="1"/>
  <c r="M76" i="18"/>
  <c r="N76" i="18" s="1"/>
  <c r="AE45" i="18" s="1"/>
  <c r="M63" i="18"/>
  <c r="N63" i="18" s="1"/>
  <c r="AE32" i="18" s="1"/>
  <c r="K185" i="18"/>
  <c r="M185" i="18" s="1"/>
  <c r="N185" i="18" s="1"/>
  <c r="AI30" i="18" s="1"/>
  <c r="J260" i="8"/>
  <c r="I93" i="8"/>
  <c r="M93" i="8" s="1"/>
  <c r="N93" i="8" s="1"/>
  <c r="BE31" i="8" s="1"/>
  <c r="I30" i="8"/>
  <c r="M30" i="8" s="1"/>
  <c r="N30" i="8" s="1"/>
  <c r="BC30" i="8" s="1"/>
  <c r="P292" i="8"/>
  <c r="W292" i="8" s="1"/>
  <c r="P284" i="8"/>
  <c r="W284" i="8" s="1"/>
  <c r="R282" i="8"/>
  <c r="Y282" i="8" s="1"/>
  <c r="U286" i="8"/>
  <c r="AB286" i="8" s="1"/>
  <c r="U33" i="8"/>
  <c r="AB33" i="8" s="1"/>
  <c r="U30" i="8"/>
  <c r="AB30" i="8" s="1"/>
  <c r="K276" i="5"/>
  <c r="U93" i="8"/>
  <c r="AB93" i="8" s="1"/>
  <c r="K108" i="18"/>
  <c r="M108" i="18" s="1"/>
  <c r="N108" i="18" s="1"/>
  <c r="AF46" i="18" s="1"/>
  <c r="I246" i="6"/>
  <c r="K246" i="6" s="1"/>
  <c r="L246" i="6" s="1"/>
  <c r="AH29" i="6" s="1"/>
  <c r="Q93" i="8"/>
  <c r="X93" i="8" s="1"/>
  <c r="I132" i="6"/>
  <c r="K132" i="6" s="1"/>
  <c r="L132" i="6" s="1"/>
  <c r="AD39" i="6" s="1"/>
  <c r="T292" i="8"/>
  <c r="AA292" i="8" s="1"/>
  <c r="R292" i="8"/>
  <c r="Y292" i="8" s="1"/>
  <c r="R284" i="8"/>
  <c r="Y284" i="8" s="1"/>
  <c r="X126" i="5"/>
  <c r="Z126" i="5" s="1"/>
  <c r="AA126" i="5" s="1"/>
  <c r="AP33" i="5" s="1"/>
  <c r="S282" i="8"/>
  <c r="Z282" i="8" s="1"/>
  <c r="J286" i="8"/>
  <c r="R42" i="8"/>
  <c r="Y42" i="8" s="1"/>
  <c r="Q33" i="8"/>
  <c r="X33" i="8" s="1"/>
  <c r="K286" i="5"/>
  <c r="M75" i="18"/>
  <c r="N75" i="18" s="1"/>
  <c r="AE44" i="18" s="1"/>
  <c r="M159" i="18"/>
  <c r="N159" i="18" s="1"/>
  <c r="AH35" i="18" s="1"/>
  <c r="S93" i="8"/>
  <c r="Z93" i="8" s="1"/>
  <c r="I42" i="8"/>
  <c r="M42" i="8" s="1"/>
  <c r="N42" i="8" s="1"/>
  <c r="BC42" i="8" s="1"/>
  <c r="S284" i="8"/>
  <c r="Z284" i="8" s="1"/>
  <c r="V286" i="8"/>
  <c r="J282" i="8"/>
  <c r="M282" i="8" s="1"/>
  <c r="N282" i="8" s="1"/>
  <c r="BK34" i="8" s="1"/>
  <c r="S33" i="8"/>
  <c r="Z33" i="8" s="1"/>
  <c r="T33" i="8"/>
  <c r="AA33" i="8" s="1"/>
  <c r="P30" i="8"/>
  <c r="W30" i="8" s="1"/>
  <c r="P33" i="8"/>
  <c r="W33" i="8" s="1"/>
  <c r="V93" i="8"/>
  <c r="R126" i="8"/>
  <c r="Y126" i="8" s="1"/>
  <c r="I130" i="6"/>
  <c r="K130" i="6" s="1"/>
  <c r="L130" i="6" s="1"/>
  <c r="AD37" i="6" s="1"/>
  <c r="R30" i="8"/>
  <c r="Y30" i="8" s="1"/>
  <c r="Q42" i="8"/>
  <c r="X42" i="8" s="1"/>
  <c r="Q282" i="8"/>
  <c r="X282" i="8" s="1"/>
  <c r="Q284" i="8"/>
  <c r="X284" i="8" s="1"/>
  <c r="Q131" i="8"/>
  <c r="X131" i="8" s="1"/>
  <c r="U282" i="8"/>
  <c r="AB282" i="8" s="1"/>
  <c r="Q286" i="8"/>
  <c r="X286" i="8" s="1"/>
  <c r="S30" i="8"/>
  <c r="Z30" i="8" s="1"/>
  <c r="Q30" i="8"/>
  <c r="X30" i="8" s="1"/>
  <c r="R179" i="8"/>
  <c r="BV24" i="8" s="1"/>
  <c r="P93" i="8"/>
  <c r="W93" i="8" s="1"/>
  <c r="T284" i="8"/>
  <c r="AA284" i="8" s="1"/>
  <c r="T30" i="8"/>
  <c r="AA30" i="8" s="1"/>
  <c r="M66" i="18"/>
  <c r="N66" i="18" s="1"/>
  <c r="AE35" i="18" s="1"/>
  <c r="K193" i="18"/>
  <c r="K187" i="18"/>
  <c r="M187" i="18" s="1"/>
  <c r="N187" i="18" s="1"/>
  <c r="AI32" i="18" s="1"/>
  <c r="I251" i="6"/>
  <c r="K251" i="6" s="1"/>
  <c r="L251" i="6" s="1"/>
  <c r="AH34" i="6" s="1"/>
  <c r="I245" i="6"/>
  <c r="K245" i="6" s="1"/>
  <c r="L245" i="6" s="1"/>
  <c r="AH28" i="6" s="1"/>
  <c r="V179" i="8"/>
  <c r="V37" i="8"/>
  <c r="I120" i="6"/>
  <c r="K120" i="6" s="1"/>
  <c r="L120" i="6" s="1"/>
  <c r="AD27" i="6" s="1"/>
  <c r="U129" i="8"/>
  <c r="AB129" i="8" s="1"/>
  <c r="K130" i="5"/>
  <c r="I126" i="6"/>
  <c r="K126" i="6" s="1"/>
  <c r="L126" i="6" s="1"/>
  <c r="AD33" i="6" s="1"/>
  <c r="U32" i="8"/>
  <c r="AB32" i="8" s="1"/>
  <c r="K220" i="18"/>
  <c r="M220" i="18" s="1"/>
  <c r="N220" i="18" s="1"/>
  <c r="AJ34" i="18" s="1"/>
  <c r="I214" i="6"/>
  <c r="Q137" i="8"/>
  <c r="X137" i="8" s="1"/>
  <c r="I124" i="6"/>
  <c r="K124" i="6" s="1"/>
  <c r="L124" i="6" s="1"/>
  <c r="AD31" i="6" s="1"/>
  <c r="I248" i="6"/>
  <c r="K248" i="6" s="1"/>
  <c r="L248" i="6" s="1"/>
  <c r="AH31" i="6" s="1"/>
  <c r="K284" i="5"/>
  <c r="K134" i="5"/>
  <c r="I258" i="6"/>
  <c r="K258" i="6" s="1"/>
  <c r="L258" i="6" s="1"/>
  <c r="AH41" i="6" s="1"/>
  <c r="T120" i="8"/>
  <c r="AA120" i="8" s="1"/>
  <c r="K288" i="5"/>
  <c r="R100" i="8"/>
  <c r="Y100" i="8" s="1"/>
  <c r="K278" i="5"/>
  <c r="M150" i="18"/>
  <c r="N150" i="18" s="1"/>
  <c r="K135" i="5"/>
  <c r="V100" i="8"/>
  <c r="I127" i="6"/>
  <c r="K127" i="6" s="1"/>
  <c r="L127" i="6" s="1"/>
  <c r="AD34" i="6" s="1"/>
  <c r="U100" i="8"/>
  <c r="AB100" i="8" s="1"/>
  <c r="M167" i="18"/>
  <c r="N167" i="18" s="1"/>
  <c r="AH43" i="18" s="1"/>
  <c r="M241" i="8"/>
  <c r="N241" i="8" s="1"/>
  <c r="BJ24" i="8" s="1"/>
  <c r="I100" i="8"/>
  <c r="M100" i="8" s="1"/>
  <c r="N100" i="8" s="1"/>
  <c r="BE38" i="8" s="1"/>
  <c r="K181" i="18"/>
  <c r="M181" i="18" s="1"/>
  <c r="N181" i="18" s="1"/>
  <c r="T100" i="8"/>
  <c r="AA100" i="8" s="1"/>
  <c r="I254" i="6"/>
  <c r="K254" i="6" s="1"/>
  <c r="L254" i="6" s="1"/>
  <c r="AH37" i="6" s="1"/>
  <c r="K127" i="5"/>
  <c r="K189" i="5" s="1"/>
  <c r="U134" i="8"/>
  <c r="AB134" i="8" s="1"/>
  <c r="I260" i="6"/>
  <c r="K260" i="6" s="1"/>
  <c r="L260" i="6" s="1"/>
  <c r="AH43" i="6" s="1"/>
  <c r="K184" i="18"/>
  <c r="Z77" i="18"/>
  <c r="AA77" i="18" s="1"/>
  <c r="AL46" i="18" s="1"/>
  <c r="M60" i="18"/>
  <c r="N60" i="18" s="1"/>
  <c r="AE29" i="18" s="1"/>
  <c r="J179" i="8"/>
  <c r="R180" i="8"/>
  <c r="Y180" i="8" s="1"/>
  <c r="CC25" i="8" s="1"/>
  <c r="M68" i="18"/>
  <c r="N68" i="18" s="1"/>
  <c r="AE37" i="18" s="1"/>
  <c r="M65" i="18"/>
  <c r="N65" i="18" s="1"/>
  <c r="AE34" i="18" s="1"/>
  <c r="U180" i="8"/>
  <c r="AB180" i="8" s="1"/>
  <c r="CF25" i="8" s="1"/>
  <c r="T179" i="8"/>
  <c r="AA179" i="8" s="1"/>
  <c r="J261" i="8"/>
  <c r="M245" i="5"/>
  <c r="N245" i="5" s="1"/>
  <c r="AK28" i="5" s="1"/>
  <c r="K96" i="18"/>
  <c r="M96" i="18" s="1"/>
  <c r="N96" i="18" s="1"/>
  <c r="AF34" i="18" s="1"/>
  <c r="K121" i="5"/>
  <c r="K183" i="5" s="1"/>
  <c r="V105" i="8"/>
  <c r="K99" i="18"/>
  <c r="M99" i="18" s="1"/>
  <c r="N99" i="18" s="1"/>
  <c r="AF37" i="18" s="1"/>
  <c r="V129" i="8"/>
  <c r="V191" i="8" s="1"/>
  <c r="I105" i="8"/>
  <c r="M105" i="8" s="1"/>
  <c r="N105" i="8" s="1"/>
  <c r="BE43" i="8" s="1"/>
  <c r="I261" i="6"/>
  <c r="K261" i="6" s="1"/>
  <c r="L261" i="6" s="1"/>
  <c r="AH44" i="6" s="1"/>
  <c r="Q180" i="8"/>
  <c r="X180" i="8" s="1"/>
  <c r="CB25" i="8" s="1"/>
  <c r="K180" i="5"/>
  <c r="M170" i="18"/>
  <c r="N170" i="18" s="1"/>
  <c r="AH46" i="18" s="1"/>
  <c r="Q135" i="8"/>
  <c r="X135" i="8" s="1"/>
  <c r="M154" i="18"/>
  <c r="N154" i="18" s="1"/>
  <c r="AH30" i="18" s="1"/>
  <c r="I229" i="6"/>
  <c r="K229" i="6" s="1"/>
  <c r="L229" i="6" s="1"/>
  <c r="AG43" i="6" s="1"/>
  <c r="I213" i="6"/>
  <c r="K213" i="6" s="1"/>
  <c r="L213" i="6" s="1"/>
  <c r="AG27" i="6" s="1"/>
  <c r="K123" i="5"/>
  <c r="V132" i="8"/>
  <c r="I134" i="6"/>
  <c r="K134" i="6" s="1"/>
  <c r="L134" i="6" s="1"/>
  <c r="AD41" i="6" s="1"/>
  <c r="I136" i="6"/>
  <c r="K136" i="6" s="1"/>
  <c r="L136" i="6" s="1"/>
  <c r="AD43" i="6" s="1"/>
  <c r="I125" i="6"/>
  <c r="K125" i="6" s="1"/>
  <c r="L125" i="6" s="1"/>
  <c r="AD32" i="6" s="1"/>
  <c r="S130" i="8"/>
  <c r="Z130" i="8" s="1"/>
  <c r="I130" i="8"/>
  <c r="M130" i="8" s="1"/>
  <c r="N130" i="8" s="1"/>
  <c r="BF37" i="8" s="1"/>
  <c r="K117" i="6"/>
  <c r="L117" i="6" s="1"/>
  <c r="AD24" i="6" s="1"/>
  <c r="S100" i="8"/>
  <c r="Z100" i="8" s="1"/>
  <c r="Q102" i="8"/>
  <c r="X102" i="8" s="1"/>
  <c r="I121" i="6"/>
  <c r="K121" i="6" s="1"/>
  <c r="L121" i="6" s="1"/>
  <c r="AD28" i="6" s="1"/>
  <c r="M72" i="18"/>
  <c r="N72" i="18" s="1"/>
  <c r="AE41" i="18" s="1"/>
  <c r="Z32" i="18"/>
  <c r="AA32" i="18" s="1"/>
  <c r="AK32" i="18" s="1"/>
  <c r="Z39" i="18"/>
  <c r="AA39" i="18" s="1"/>
  <c r="AK39" i="18" s="1"/>
  <c r="K131" i="5"/>
  <c r="K193" i="5" s="1"/>
  <c r="V96" i="8"/>
  <c r="P100" i="8"/>
  <c r="W100" i="8" s="1"/>
  <c r="K92" i="18"/>
  <c r="M92" i="18" s="1"/>
  <c r="N92" i="18" s="1"/>
  <c r="AF30" i="18" s="1"/>
  <c r="P130" i="8"/>
  <c r="W130" i="8" s="1"/>
  <c r="M70" i="18"/>
  <c r="N70" i="18" s="1"/>
  <c r="AE39" i="18" s="1"/>
  <c r="U103" i="8"/>
  <c r="AB103" i="8" s="1"/>
  <c r="Z76" i="18"/>
  <c r="AA76" i="18" s="1"/>
  <c r="AL45" i="18" s="1"/>
  <c r="S179" i="8"/>
  <c r="BW24" i="8" s="1"/>
  <c r="K93" i="18"/>
  <c r="M93" i="18" s="1"/>
  <c r="N93" i="18" s="1"/>
  <c r="AF31" i="18" s="1"/>
  <c r="R122" i="8"/>
  <c r="Y122" i="8" s="1"/>
  <c r="R120" i="8"/>
  <c r="Y120" i="8" s="1"/>
  <c r="I128" i="6"/>
  <c r="K128" i="6" s="1"/>
  <c r="L128" i="6" s="1"/>
  <c r="AD35" i="6" s="1"/>
  <c r="K254" i="5"/>
  <c r="M254" i="5" s="1"/>
  <c r="N254" i="5" s="1"/>
  <c r="AK37" i="5" s="1"/>
  <c r="K210" i="6"/>
  <c r="L210" i="6" s="1"/>
  <c r="AG24" i="6" s="1"/>
  <c r="Q126" i="8"/>
  <c r="X126" i="8" s="1"/>
  <c r="S180" i="8"/>
  <c r="Z180" i="8" s="1"/>
  <c r="CD25" i="8" s="1"/>
  <c r="K279" i="5"/>
  <c r="K287" i="5"/>
  <c r="K133" i="5"/>
  <c r="K195" i="5" s="1"/>
  <c r="K132" i="5"/>
  <c r="K244" i="5"/>
  <c r="M244" i="5" s="1"/>
  <c r="N244" i="5" s="1"/>
  <c r="AK27" i="5" s="1"/>
  <c r="Z29" i="18"/>
  <c r="AA29" i="18" s="1"/>
  <c r="AK29" i="18" s="1"/>
  <c r="R125" i="8"/>
  <c r="Y125" i="8" s="1"/>
  <c r="I257" i="6"/>
  <c r="K257" i="6" s="1"/>
  <c r="L257" i="6" s="1"/>
  <c r="AH40" i="6" s="1"/>
  <c r="I249" i="6"/>
  <c r="K249" i="6" s="1"/>
  <c r="L249" i="6" s="1"/>
  <c r="AH32" i="6" s="1"/>
  <c r="Z44" i="18"/>
  <c r="AA44" i="18" s="1"/>
  <c r="AK44" i="18" s="1"/>
  <c r="Z27" i="18"/>
  <c r="AA27" i="18" s="1"/>
  <c r="AK27" i="18" s="1"/>
  <c r="Z69" i="18"/>
  <c r="AA69" i="18" s="1"/>
  <c r="AL38" i="18" s="1"/>
  <c r="Z46" i="18"/>
  <c r="AA46" i="18" s="1"/>
  <c r="AK46" i="18" s="1"/>
  <c r="Z57" i="18"/>
  <c r="AA57" i="18" s="1"/>
  <c r="AL26" i="18" s="1"/>
  <c r="Z58" i="18"/>
  <c r="AA58" i="18" s="1"/>
  <c r="AL27" i="18" s="1"/>
  <c r="Z62" i="18"/>
  <c r="AA62" i="18" s="1"/>
  <c r="AL31" i="18" s="1"/>
  <c r="Z63" i="18"/>
  <c r="AA63" i="18" s="1"/>
  <c r="AL32" i="18" s="1"/>
  <c r="Z73" i="18"/>
  <c r="AA73" i="18" s="1"/>
  <c r="AL42" i="18" s="1"/>
  <c r="Z36" i="18"/>
  <c r="AA36" i="18" s="1"/>
  <c r="AK36" i="18" s="1"/>
  <c r="K214" i="6"/>
  <c r="L214" i="6" s="1"/>
  <c r="AG28" i="6" s="1"/>
  <c r="M222" i="5"/>
  <c r="N222" i="5" s="1"/>
  <c r="AJ36" i="5" s="1"/>
  <c r="Z70" i="18"/>
  <c r="AA70" i="18" s="1"/>
  <c r="AL39" i="18" s="1"/>
  <c r="Z40" i="18"/>
  <c r="AA40" i="18" s="1"/>
  <c r="AK40" i="18" s="1"/>
  <c r="U124" i="8"/>
  <c r="AB124" i="8" s="1"/>
  <c r="Q125" i="8"/>
  <c r="X125" i="8" s="1"/>
  <c r="Z30" i="18"/>
  <c r="AA30" i="18" s="1"/>
  <c r="AK30" i="18" s="1"/>
  <c r="Z26" i="18"/>
  <c r="AA26" i="18" s="1"/>
  <c r="AK26" i="18" s="1"/>
  <c r="Z75" i="18"/>
  <c r="AA75" i="18" s="1"/>
  <c r="AL44" i="18" s="1"/>
  <c r="K124" i="5"/>
  <c r="K186" i="5" s="1"/>
  <c r="S125" i="8"/>
  <c r="Z125" i="8" s="1"/>
  <c r="Z72" i="18"/>
  <c r="AA72" i="18" s="1"/>
  <c r="AL41" i="18" s="1"/>
  <c r="Z74" i="18"/>
  <c r="AA74" i="18" s="1"/>
  <c r="AL43" i="18" s="1"/>
  <c r="Z38" i="18"/>
  <c r="AA38" i="18" s="1"/>
  <c r="AK38" i="18" s="1"/>
  <c r="Z33" i="18"/>
  <c r="AA33" i="18" s="1"/>
  <c r="AK33" i="18" s="1"/>
  <c r="Z60" i="18"/>
  <c r="AA60" i="18" s="1"/>
  <c r="AL29" i="18" s="1"/>
  <c r="T125" i="8"/>
  <c r="AA125" i="8" s="1"/>
  <c r="Z45" i="18"/>
  <c r="AA45" i="18" s="1"/>
  <c r="AK45" i="18" s="1"/>
  <c r="T132" i="8"/>
  <c r="AA132" i="8" s="1"/>
  <c r="U125" i="8"/>
  <c r="AB125" i="8" s="1"/>
  <c r="AD27" i="18"/>
  <c r="N48" i="18"/>
  <c r="P136" i="8"/>
  <c r="W136" i="8" s="1"/>
  <c r="P125" i="8"/>
  <c r="W125" i="8" s="1"/>
  <c r="K280" i="5"/>
  <c r="Z43" i="18"/>
  <c r="AA43" i="18" s="1"/>
  <c r="AK43" i="18" s="1"/>
  <c r="Z37" i="18"/>
  <c r="AA37" i="18" s="1"/>
  <c r="AK37" i="18" s="1"/>
  <c r="Z71" i="18"/>
  <c r="AA71" i="18" s="1"/>
  <c r="AL40" i="18" s="1"/>
  <c r="Z61" i="18"/>
  <c r="AA61" i="18" s="1"/>
  <c r="AL30" i="18" s="1"/>
  <c r="Z67" i="18"/>
  <c r="AA67" i="18" s="1"/>
  <c r="AL36" i="18" s="1"/>
  <c r="Z68" i="18"/>
  <c r="AA68" i="18" s="1"/>
  <c r="AL37" i="18" s="1"/>
  <c r="Z65" i="18"/>
  <c r="AA65" i="18" s="1"/>
  <c r="AL34" i="18" s="1"/>
  <c r="V125" i="8"/>
  <c r="K289" i="5"/>
  <c r="Z34" i="18"/>
  <c r="AA34" i="18" s="1"/>
  <c r="AK34" i="18" s="1"/>
  <c r="Z42" i="18"/>
  <c r="AA42" i="18" s="1"/>
  <c r="AK42" i="18" s="1"/>
  <c r="P124" i="8"/>
  <c r="W124" i="8" s="1"/>
  <c r="I125" i="8"/>
  <c r="M125" i="8" s="1"/>
  <c r="N125" i="8" s="1"/>
  <c r="BF32" i="8" s="1"/>
  <c r="Z35" i="18"/>
  <c r="AA35" i="18" s="1"/>
  <c r="AK35" i="18" s="1"/>
  <c r="Z31" i="18"/>
  <c r="AA31" i="18" s="1"/>
  <c r="AK31" i="18" s="1"/>
  <c r="Z64" i="18"/>
  <c r="AA64" i="18" s="1"/>
  <c r="AL33" i="18" s="1"/>
  <c r="Z41" i="18"/>
  <c r="AA41" i="18" s="1"/>
  <c r="AK41" i="18" s="1"/>
  <c r="Z66" i="18"/>
  <c r="AA66" i="18" s="1"/>
  <c r="AL35" i="18" s="1"/>
  <c r="K122" i="5"/>
  <c r="U131" i="8"/>
  <c r="AB131" i="8" s="1"/>
  <c r="S124" i="8"/>
  <c r="Z124" i="8" s="1"/>
  <c r="J124" i="8"/>
  <c r="M124" i="8" s="1"/>
  <c r="N124" i="8" s="1"/>
  <c r="BF31" i="8" s="1"/>
  <c r="Q124" i="8"/>
  <c r="X124" i="8" s="1"/>
  <c r="V133" i="8"/>
  <c r="R133" i="8"/>
  <c r="Y133" i="8" s="1"/>
  <c r="V124" i="8"/>
  <c r="T124" i="8"/>
  <c r="AA124" i="8" s="1"/>
  <c r="U133" i="8"/>
  <c r="AB133" i="8" s="1"/>
  <c r="R124" i="8"/>
  <c r="Y124" i="8" s="1"/>
  <c r="T180" i="8"/>
  <c r="AA180" i="8" s="1"/>
  <c r="CE25" i="8" s="1"/>
  <c r="K125" i="18"/>
  <c r="M125" i="18" s="1"/>
  <c r="N125" i="18" s="1"/>
  <c r="AG32" i="18" s="1"/>
  <c r="S135" i="8"/>
  <c r="Z135" i="8" s="1"/>
  <c r="P132" i="8"/>
  <c r="W132" i="8" s="1"/>
  <c r="S136" i="8"/>
  <c r="Z136" i="8" s="1"/>
  <c r="R137" i="8"/>
  <c r="Y137" i="8" s="1"/>
  <c r="Q132" i="8"/>
  <c r="X132" i="8" s="1"/>
  <c r="J137" i="8"/>
  <c r="M137" i="8" s="1"/>
  <c r="N137" i="8" s="1"/>
  <c r="BF44" i="8" s="1"/>
  <c r="V285" i="8"/>
  <c r="U136" i="8"/>
  <c r="AB136" i="8" s="1"/>
  <c r="P137" i="8"/>
  <c r="W137" i="8" s="1"/>
  <c r="R132" i="8"/>
  <c r="Y132" i="8" s="1"/>
  <c r="T136" i="8"/>
  <c r="AA136" i="8" s="1"/>
  <c r="S137" i="8"/>
  <c r="Z137" i="8" s="1"/>
  <c r="U123" i="8"/>
  <c r="AB123" i="8" s="1"/>
  <c r="R136" i="8"/>
  <c r="Y136" i="8" s="1"/>
  <c r="V137" i="8"/>
  <c r="V199" i="8" s="1"/>
  <c r="S132" i="8"/>
  <c r="Z132" i="8" s="1"/>
  <c r="J132" i="8"/>
  <c r="J194" i="8" s="1"/>
  <c r="V281" i="8"/>
  <c r="Q136" i="8"/>
  <c r="X136" i="8" s="1"/>
  <c r="V288" i="8"/>
  <c r="T137" i="8"/>
  <c r="AA137" i="8" s="1"/>
  <c r="K107" i="18"/>
  <c r="M107" i="18" s="1"/>
  <c r="N107" i="18" s="1"/>
  <c r="AF45" i="18" s="1"/>
  <c r="V136" i="8"/>
  <c r="U137" i="8"/>
  <c r="AB137" i="8" s="1"/>
  <c r="K95" i="18"/>
  <c r="M95" i="18" s="1"/>
  <c r="N95" i="18" s="1"/>
  <c r="AF33" i="18" s="1"/>
  <c r="U132" i="8"/>
  <c r="AB132" i="8" s="1"/>
  <c r="K104" i="18"/>
  <c r="M104" i="18" s="1"/>
  <c r="N104" i="18" s="1"/>
  <c r="AF42" i="18" s="1"/>
  <c r="K229" i="18"/>
  <c r="M229" i="18" s="1"/>
  <c r="N229" i="18" s="1"/>
  <c r="AJ43" i="18" s="1"/>
  <c r="K212" i="18"/>
  <c r="M212" i="18" s="1"/>
  <c r="N212" i="18" s="1"/>
  <c r="AJ26" i="18" s="1"/>
  <c r="I226" i="6"/>
  <c r="K226" i="6" s="1"/>
  <c r="L226" i="6" s="1"/>
  <c r="AG40" i="6" s="1"/>
  <c r="BZ25" i="8"/>
  <c r="K283" i="5"/>
  <c r="K230" i="18"/>
  <c r="M230" i="18" s="1"/>
  <c r="N230" i="18" s="1"/>
  <c r="AJ44" i="18" s="1"/>
  <c r="M192" i="18"/>
  <c r="N192" i="18" s="1"/>
  <c r="AI37" i="18" s="1"/>
  <c r="K129" i="5"/>
  <c r="K222" i="6"/>
  <c r="L222" i="6" s="1"/>
  <c r="AG36" i="6" s="1"/>
  <c r="K88" i="18"/>
  <c r="M88" i="18" s="1"/>
  <c r="N88" i="18" s="1"/>
  <c r="AF26" i="18" s="1"/>
  <c r="K136" i="5"/>
  <c r="K198" i="5" s="1"/>
  <c r="S121" i="8"/>
  <c r="Z121" i="8" s="1"/>
  <c r="I225" i="6"/>
  <c r="K225" i="6" s="1"/>
  <c r="L225" i="6" s="1"/>
  <c r="AG39" i="6" s="1"/>
  <c r="I221" i="6"/>
  <c r="K221" i="6" s="1"/>
  <c r="L221" i="6" s="1"/>
  <c r="AG35" i="6" s="1"/>
  <c r="J257" i="8"/>
  <c r="R101" i="8"/>
  <c r="Y101" i="8" s="1"/>
  <c r="K105" i="18"/>
  <c r="M105" i="18" s="1"/>
  <c r="N105" i="18" s="1"/>
  <c r="AF43" i="18" s="1"/>
  <c r="Q133" i="8"/>
  <c r="X133" i="8" s="1"/>
  <c r="R276" i="8"/>
  <c r="Y276" i="8" s="1"/>
  <c r="S131" i="8"/>
  <c r="Z131" i="8" s="1"/>
  <c r="S289" i="8"/>
  <c r="Z289" i="8" s="1"/>
  <c r="S134" i="8"/>
  <c r="Z134" i="8" s="1"/>
  <c r="T281" i="8"/>
  <c r="AA281" i="8" s="1"/>
  <c r="S285" i="8"/>
  <c r="Z285" i="8" s="1"/>
  <c r="U126" i="8"/>
  <c r="AB126" i="8" s="1"/>
  <c r="T279" i="8"/>
  <c r="AA279" i="8" s="1"/>
  <c r="J134" i="8"/>
  <c r="J196" i="8" s="1"/>
  <c r="P179" i="8"/>
  <c r="BT24" i="8" s="1"/>
  <c r="S276" i="8"/>
  <c r="Z276" i="8" s="1"/>
  <c r="R131" i="8"/>
  <c r="Y131" i="8" s="1"/>
  <c r="R289" i="8"/>
  <c r="Y289" i="8" s="1"/>
  <c r="P134" i="8"/>
  <c r="W134" i="8" s="1"/>
  <c r="J279" i="8"/>
  <c r="M279" i="8" s="1"/>
  <c r="N279" i="8" s="1"/>
  <c r="BK31" i="8" s="1"/>
  <c r="Q281" i="8"/>
  <c r="X281" i="8" s="1"/>
  <c r="R285" i="8"/>
  <c r="Y285" i="8" s="1"/>
  <c r="P288" i="8"/>
  <c r="W288" i="8" s="1"/>
  <c r="P126" i="8"/>
  <c r="W126" i="8" s="1"/>
  <c r="Q279" i="8"/>
  <c r="X279" i="8" s="1"/>
  <c r="J131" i="8"/>
  <c r="J193" i="8" s="1"/>
  <c r="U179" i="8"/>
  <c r="V134" i="8"/>
  <c r="R281" i="8"/>
  <c r="Y281" i="8" s="1"/>
  <c r="U288" i="8"/>
  <c r="AB288" i="8" s="1"/>
  <c r="S279" i="8"/>
  <c r="Z279" i="8" s="1"/>
  <c r="J180" i="8"/>
  <c r="M180" i="8" s="1"/>
  <c r="N180" i="8" s="1"/>
  <c r="BH25" i="8" s="1"/>
  <c r="BP25" i="8" s="1"/>
  <c r="U281" i="8"/>
  <c r="AB281" i="8" s="1"/>
  <c r="T285" i="8"/>
  <c r="AA285" i="8" s="1"/>
  <c r="R288" i="8"/>
  <c r="Y288" i="8" s="1"/>
  <c r="T126" i="8"/>
  <c r="AA126" i="8" s="1"/>
  <c r="V279" i="8"/>
  <c r="J288" i="8"/>
  <c r="M288" i="8" s="1"/>
  <c r="N288" i="8" s="1"/>
  <c r="BK40" i="8" s="1"/>
  <c r="K102" i="18"/>
  <c r="M102" i="18" s="1"/>
  <c r="N102" i="18" s="1"/>
  <c r="AF40" i="18" s="1"/>
  <c r="U276" i="8"/>
  <c r="AB276" i="8" s="1"/>
  <c r="U289" i="8"/>
  <c r="AB289" i="8" s="1"/>
  <c r="Q134" i="8"/>
  <c r="X134" i="8" s="1"/>
  <c r="P281" i="8"/>
  <c r="W281" i="8" s="1"/>
  <c r="P285" i="8"/>
  <c r="W285" i="8" s="1"/>
  <c r="T288" i="8"/>
  <c r="AA288" i="8" s="1"/>
  <c r="S126" i="8"/>
  <c r="Z126" i="8" s="1"/>
  <c r="V131" i="8"/>
  <c r="V289" i="8"/>
  <c r="S281" i="8"/>
  <c r="Z281" i="8" s="1"/>
  <c r="S288" i="8"/>
  <c r="Z288" i="8" s="1"/>
  <c r="V126" i="8"/>
  <c r="V188" i="8" s="1"/>
  <c r="U279" i="8"/>
  <c r="AB279" i="8" s="1"/>
  <c r="J285" i="8"/>
  <c r="M285" i="8" s="1"/>
  <c r="N285" i="8" s="1"/>
  <c r="BK37" i="8" s="1"/>
  <c r="K232" i="18"/>
  <c r="M232" i="18" s="1"/>
  <c r="N232" i="18" s="1"/>
  <c r="AJ46" i="18" s="1"/>
  <c r="K98" i="18"/>
  <c r="M98" i="18" s="1"/>
  <c r="N98" i="18" s="1"/>
  <c r="AF36" i="18" s="1"/>
  <c r="L108" i="6"/>
  <c r="R134" i="8"/>
  <c r="Y134" i="8" s="1"/>
  <c r="AC46" i="6"/>
  <c r="K277" i="5"/>
  <c r="R280" i="8"/>
  <c r="Y280" i="8" s="1"/>
  <c r="R123" i="8"/>
  <c r="Y123" i="8" s="1"/>
  <c r="Q280" i="8"/>
  <c r="X280" i="8" s="1"/>
  <c r="Q123" i="8"/>
  <c r="X123" i="8" s="1"/>
  <c r="S128" i="8"/>
  <c r="Z128" i="8" s="1"/>
  <c r="V135" i="8"/>
  <c r="P133" i="8"/>
  <c r="W133" i="8" s="1"/>
  <c r="K227" i="18"/>
  <c r="M227" i="18" s="1"/>
  <c r="N227" i="18" s="1"/>
  <c r="AJ41" i="18" s="1"/>
  <c r="T105" i="8"/>
  <c r="AA105" i="8" s="1"/>
  <c r="T97" i="8"/>
  <c r="AA97" i="8" s="1"/>
  <c r="S101" i="8"/>
  <c r="Z101" i="8" s="1"/>
  <c r="P280" i="8"/>
  <c r="W280" i="8" s="1"/>
  <c r="S123" i="8"/>
  <c r="Z123" i="8" s="1"/>
  <c r="T128" i="8"/>
  <c r="AA128" i="8" s="1"/>
  <c r="I135" i="8"/>
  <c r="M135" i="8" s="1"/>
  <c r="N135" i="8" s="1"/>
  <c r="BF42" i="8" s="1"/>
  <c r="T133" i="8"/>
  <c r="AA133" i="8" s="1"/>
  <c r="K282" i="5"/>
  <c r="K218" i="18"/>
  <c r="M218" i="18" s="1"/>
  <c r="N218" i="18" s="1"/>
  <c r="AJ32" i="18" s="1"/>
  <c r="R105" i="8"/>
  <c r="Y105" i="8" s="1"/>
  <c r="K197" i="18"/>
  <c r="M197" i="18" s="1"/>
  <c r="N197" i="18" s="1"/>
  <c r="AI42" i="18" s="1"/>
  <c r="AA86" i="8"/>
  <c r="S280" i="8"/>
  <c r="Z280" i="8" s="1"/>
  <c r="R128" i="8"/>
  <c r="Y128" i="8" s="1"/>
  <c r="I123" i="8"/>
  <c r="M123" i="8" s="1"/>
  <c r="N123" i="8" s="1"/>
  <c r="BF30" i="8" s="1"/>
  <c r="BZ24" i="8"/>
  <c r="S105" i="8"/>
  <c r="Z105" i="8" s="1"/>
  <c r="T123" i="8"/>
  <c r="AA123" i="8" s="1"/>
  <c r="Q128" i="8"/>
  <c r="X128" i="8" s="1"/>
  <c r="U135" i="8"/>
  <c r="AB135" i="8" s="1"/>
  <c r="V123" i="8"/>
  <c r="R135" i="8"/>
  <c r="Y135" i="8" s="1"/>
  <c r="S133" i="8"/>
  <c r="Z133" i="8" s="1"/>
  <c r="K290" i="5"/>
  <c r="Q105" i="8"/>
  <c r="X105" i="8" s="1"/>
  <c r="T104" i="8"/>
  <c r="AA104" i="8" s="1"/>
  <c r="P123" i="8"/>
  <c r="W123" i="8" s="1"/>
  <c r="I121" i="8"/>
  <c r="U280" i="8"/>
  <c r="AB280" i="8" s="1"/>
  <c r="V128" i="8"/>
  <c r="P135" i="8"/>
  <c r="W135" i="8" s="1"/>
  <c r="K285" i="5"/>
  <c r="U105" i="8"/>
  <c r="AB105" i="8" s="1"/>
  <c r="T135" i="8"/>
  <c r="AA135" i="8" s="1"/>
  <c r="P128" i="8"/>
  <c r="W128" i="8" s="1"/>
  <c r="K139" i="18"/>
  <c r="M139" i="18" s="1"/>
  <c r="N139" i="18" s="1"/>
  <c r="AG46" i="18" s="1"/>
  <c r="X86" i="8"/>
  <c r="K225" i="18"/>
  <c r="M225" i="18" s="1"/>
  <c r="N225" i="18" s="1"/>
  <c r="AJ39" i="18" s="1"/>
  <c r="R97" i="8"/>
  <c r="Y97" i="8" s="1"/>
  <c r="Q104" i="8"/>
  <c r="X104" i="8" s="1"/>
  <c r="K103" i="18"/>
  <c r="M103" i="18" s="1"/>
  <c r="N103" i="18" s="1"/>
  <c r="AF41" i="18" s="1"/>
  <c r="U97" i="8"/>
  <c r="AB97" i="8" s="1"/>
  <c r="V104" i="8"/>
  <c r="K101" i="18"/>
  <c r="M101" i="18" s="1"/>
  <c r="N101" i="18" s="1"/>
  <c r="AF39" i="18" s="1"/>
  <c r="K221" i="18"/>
  <c r="M221" i="18" s="1"/>
  <c r="N221" i="18" s="1"/>
  <c r="AJ35" i="18" s="1"/>
  <c r="I97" i="8"/>
  <c r="M97" i="8" s="1"/>
  <c r="N97" i="8" s="1"/>
  <c r="BE35" i="8" s="1"/>
  <c r="S104" i="8"/>
  <c r="Z104" i="8" s="1"/>
  <c r="K130" i="18"/>
  <c r="M130" i="18" s="1"/>
  <c r="N130" i="18" s="1"/>
  <c r="AG37" i="18" s="1"/>
  <c r="K196" i="18"/>
  <c r="M196" i="18" s="1"/>
  <c r="N196" i="18" s="1"/>
  <c r="AI41" i="18" s="1"/>
  <c r="K188" i="18"/>
  <c r="M188" i="18" s="1"/>
  <c r="N188" i="18" s="1"/>
  <c r="AI33" i="18" s="1"/>
  <c r="P97" i="8"/>
  <c r="W97" i="8" s="1"/>
  <c r="K100" i="18"/>
  <c r="M100" i="18" s="1"/>
  <c r="N100" i="18" s="1"/>
  <c r="AF38" i="18" s="1"/>
  <c r="K128" i="18"/>
  <c r="M128" i="18" s="1"/>
  <c r="N128" i="18" s="1"/>
  <c r="AG35" i="18" s="1"/>
  <c r="M184" i="18"/>
  <c r="N184" i="18" s="1"/>
  <c r="AI29" i="18" s="1"/>
  <c r="Q97" i="8"/>
  <c r="X97" i="8" s="1"/>
  <c r="U104" i="8"/>
  <c r="AB104" i="8" s="1"/>
  <c r="P121" i="8"/>
  <c r="W121" i="8" s="1"/>
  <c r="V97" i="8"/>
  <c r="R104" i="8"/>
  <c r="Y104" i="8" s="1"/>
  <c r="Q292" i="8"/>
  <c r="X292" i="8" s="1"/>
  <c r="K138" i="18"/>
  <c r="M138" i="18" s="1"/>
  <c r="N138" i="18" s="1"/>
  <c r="AG45" i="18" s="1"/>
  <c r="K201" i="18"/>
  <c r="M201" i="18" s="1"/>
  <c r="N201" i="18" s="1"/>
  <c r="AI46" i="18" s="1"/>
  <c r="I253" i="8"/>
  <c r="I104" i="8"/>
  <c r="M104" i="8" s="1"/>
  <c r="N104" i="8" s="1"/>
  <c r="BE42" i="8" s="1"/>
  <c r="T275" i="8"/>
  <c r="U120" i="8"/>
  <c r="AB120" i="8" s="1"/>
  <c r="J275" i="8"/>
  <c r="M275" i="8" s="1"/>
  <c r="N275" i="8" s="1"/>
  <c r="BK27" i="8" s="1"/>
  <c r="K136" i="18"/>
  <c r="M136" i="18" s="1"/>
  <c r="N136" i="18" s="1"/>
  <c r="AG43" i="18" s="1"/>
  <c r="K222" i="18"/>
  <c r="M222" i="18" s="1"/>
  <c r="N222" i="18" s="1"/>
  <c r="AJ36" i="18" s="1"/>
  <c r="I102" i="8"/>
  <c r="M102" i="8" s="1"/>
  <c r="N102" i="8" s="1"/>
  <c r="BE40" i="8" s="1"/>
  <c r="R103" i="8"/>
  <c r="Y103" i="8" s="1"/>
  <c r="P275" i="8"/>
  <c r="W275" i="8" s="1"/>
  <c r="R129" i="8"/>
  <c r="Y129" i="8" s="1"/>
  <c r="S120" i="8"/>
  <c r="K219" i="18"/>
  <c r="M219" i="18" s="1"/>
  <c r="N219" i="18" s="1"/>
  <c r="AJ33" i="18" s="1"/>
  <c r="I220" i="6"/>
  <c r="K220" i="6" s="1"/>
  <c r="L220" i="6" s="1"/>
  <c r="AG34" i="6" s="1"/>
  <c r="R102" i="8"/>
  <c r="Y102" i="8" s="1"/>
  <c r="P103" i="8"/>
  <c r="W103" i="8" s="1"/>
  <c r="I217" i="6"/>
  <c r="K217" i="6" s="1"/>
  <c r="L217" i="6" s="1"/>
  <c r="AG31" i="6" s="1"/>
  <c r="I228" i="6"/>
  <c r="K228" i="6" s="1"/>
  <c r="L228" i="6" s="1"/>
  <c r="AG42" i="6" s="1"/>
  <c r="I106" i="8"/>
  <c r="M106" i="8" s="1"/>
  <c r="N106" i="8" s="1"/>
  <c r="BE44" i="8" s="1"/>
  <c r="U275" i="8"/>
  <c r="AB275" i="8" s="1"/>
  <c r="S129" i="8"/>
  <c r="Z129" i="8" s="1"/>
  <c r="K133" i="18"/>
  <c r="M133" i="18" s="1"/>
  <c r="N133" i="18" s="1"/>
  <c r="AG40" i="18" s="1"/>
  <c r="K195" i="18"/>
  <c r="M195" i="18" s="1"/>
  <c r="N195" i="18" s="1"/>
  <c r="AI40" i="18" s="1"/>
  <c r="S102" i="8"/>
  <c r="Z102" i="8" s="1"/>
  <c r="T103" i="8"/>
  <c r="AA103" i="8" s="1"/>
  <c r="K97" i="18"/>
  <c r="M97" i="18" s="1"/>
  <c r="N97" i="18" s="1"/>
  <c r="AF35" i="18" s="1"/>
  <c r="V275" i="8"/>
  <c r="Q129" i="8"/>
  <c r="X129" i="8" s="1"/>
  <c r="V120" i="8"/>
  <c r="K127" i="18"/>
  <c r="M127" i="18" s="1"/>
  <c r="N127" i="18" s="1"/>
  <c r="AG34" i="18" s="1"/>
  <c r="P102" i="8"/>
  <c r="W102" i="8" s="1"/>
  <c r="V103" i="8"/>
  <c r="P129" i="8"/>
  <c r="W129" i="8" s="1"/>
  <c r="P120" i="8"/>
  <c r="W120" i="8" s="1"/>
  <c r="U102" i="8"/>
  <c r="AB102" i="8" s="1"/>
  <c r="S103" i="8"/>
  <c r="Z103" i="8" s="1"/>
  <c r="J129" i="8"/>
  <c r="M129" i="8" s="1"/>
  <c r="N129" i="8" s="1"/>
  <c r="BF36" i="8" s="1"/>
  <c r="R275" i="8"/>
  <c r="Y275" i="8" s="1"/>
  <c r="T129" i="8"/>
  <c r="AA129" i="8" s="1"/>
  <c r="Q120" i="8"/>
  <c r="X120" i="8" s="1"/>
  <c r="J120" i="8"/>
  <c r="M120" i="8" s="1"/>
  <c r="N120" i="8" s="1"/>
  <c r="BF27" i="8" s="1"/>
  <c r="K137" i="18"/>
  <c r="M137" i="18" s="1"/>
  <c r="N137" i="18" s="1"/>
  <c r="AG44" i="18" s="1"/>
  <c r="K182" i="18"/>
  <c r="M182" i="18" s="1"/>
  <c r="N182" i="18" s="1"/>
  <c r="AI27" i="18" s="1"/>
  <c r="I260" i="8"/>
  <c r="V102" i="8"/>
  <c r="Q103" i="8"/>
  <c r="X103" i="8" s="1"/>
  <c r="K191" i="18"/>
  <c r="M191" i="18" s="1"/>
  <c r="N191" i="18" s="1"/>
  <c r="AI36" i="18" s="1"/>
  <c r="P122" i="8"/>
  <c r="W122" i="8" s="1"/>
  <c r="R121" i="8"/>
  <c r="Y121" i="8" s="1"/>
  <c r="R130" i="8"/>
  <c r="Y130" i="8" s="1"/>
  <c r="M193" i="18"/>
  <c r="N193" i="18" s="1"/>
  <c r="AI38" i="18" s="1"/>
  <c r="Q122" i="8"/>
  <c r="X122" i="8" s="1"/>
  <c r="J122" i="8"/>
  <c r="M122" i="8" s="1"/>
  <c r="N122" i="8" s="1"/>
  <c r="BF29" i="8" s="1"/>
  <c r="U130" i="8"/>
  <c r="AB130" i="8" s="1"/>
  <c r="V101" i="8"/>
  <c r="V122" i="8"/>
  <c r="Q121" i="8"/>
  <c r="X121" i="8" s="1"/>
  <c r="Q130" i="8"/>
  <c r="X130" i="8" s="1"/>
  <c r="T106" i="8"/>
  <c r="AA106" i="8" s="1"/>
  <c r="I101" i="8"/>
  <c r="I194" i="8" s="1"/>
  <c r="U121" i="8"/>
  <c r="AB121" i="8" s="1"/>
  <c r="V130" i="8"/>
  <c r="K134" i="18"/>
  <c r="M134" i="18" s="1"/>
  <c r="N134" i="18" s="1"/>
  <c r="AG41" i="18" s="1"/>
  <c r="U122" i="8"/>
  <c r="AB122" i="8" s="1"/>
  <c r="T121" i="8"/>
  <c r="AA121" i="8" s="1"/>
  <c r="T130" i="8"/>
  <c r="AA130" i="8" s="1"/>
  <c r="J121" i="8"/>
  <c r="M121" i="8" s="1"/>
  <c r="N121" i="8" s="1"/>
  <c r="BF28" i="8" s="1"/>
  <c r="I252" i="8"/>
  <c r="S122" i="8"/>
  <c r="Z122" i="8" s="1"/>
  <c r="V121" i="8"/>
  <c r="M96" i="8"/>
  <c r="N96" i="8" s="1"/>
  <c r="BE34" i="8" s="1"/>
  <c r="AD32" i="7"/>
  <c r="AF32" i="7" s="1"/>
  <c r="AA40" i="9" s="1"/>
  <c r="I223" i="6"/>
  <c r="K223" i="6" s="1"/>
  <c r="L223" i="6" s="1"/>
  <c r="AG37" i="6" s="1"/>
  <c r="K132" i="18"/>
  <c r="M132" i="18" s="1"/>
  <c r="N132" i="18" s="1"/>
  <c r="AG39" i="18" s="1"/>
  <c r="K190" i="18"/>
  <c r="M190" i="18" s="1"/>
  <c r="N190" i="18" s="1"/>
  <c r="AI35" i="18" s="1"/>
  <c r="J248" i="8"/>
  <c r="Q96" i="8"/>
  <c r="X96" i="8" s="1"/>
  <c r="Q90" i="8"/>
  <c r="X90" i="8" s="1"/>
  <c r="P101" i="8"/>
  <c r="W101" i="8" s="1"/>
  <c r="K198" i="18"/>
  <c r="M198" i="18" s="1"/>
  <c r="N198" i="18" s="1"/>
  <c r="AI43" i="18" s="1"/>
  <c r="T96" i="8"/>
  <c r="AA96" i="8" s="1"/>
  <c r="I90" i="8"/>
  <c r="M90" i="8" s="1"/>
  <c r="N90" i="8" s="1"/>
  <c r="BE28" i="8" s="1"/>
  <c r="I249" i="8"/>
  <c r="M249" i="8" s="1"/>
  <c r="N249" i="8" s="1"/>
  <c r="BJ32" i="8" s="1"/>
  <c r="I219" i="6"/>
  <c r="K219" i="6" s="1"/>
  <c r="L219" i="6" s="1"/>
  <c r="AG33" i="6" s="1"/>
  <c r="U101" i="8"/>
  <c r="AB101" i="8" s="1"/>
  <c r="R96" i="8"/>
  <c r="Y96" i="8" s="1"/>
  <c r="P90" i="8"/>
  <c r="W90" i="8" s="1"/>
  <c r="R90" i="8"/>
  <c r="Y90" i="8" s="1"/>
  <c r="I224" i="6"/>
  <c r="K224" i="6" s="1"/>
  <c r="L224" i="6" s="1"/>
  <c r="AG38" i="6" s="1"/>
  <c r="I216" i="6"/>
  <c r="K216" i="6" s="1"/>
  <c r="L216" i="6" s="1"/>
  <c r="AG30" i="6" s="1"/>
  <c r="K131" i="18"/>
  <c r="M131" i="18" s="1"/>
  <c r="N131" i="18" s="1"/>
  <c r="AG38" i="18" s="1"/>
  <c r="K215" i="18"/>
  <c r="M215" i="18" s="1"/>
  <c r="N215" i="18" s="1"/>
  <c r="AJ29" i="18" s="1"/>
  <c r="K223" i="18"/>
  <c r="M223" i="18" s="1"/>
  <c r="N223" i="18" s="1"/>
  <c r="AJ37" i="18" s="1"/>
  <c r="P96" i="8"/>
  <c r="W96" i="8" s="1"/>
  <c r="K260" i="5"/>
  <c r="M260" i="5" s="1"/>
  <c r="N260" i="5" s="1"/>
  <c r="AK43" i="5" s="1"/>
  <c r="V90" i="8"/>
  <c r="J255" i="8"/>
  <c r="I227" i="6"/>
  <c r="K227" i="6" s="1"/>
  <c r="L227" i="6" s="1"/>
  <c r="AG41" i="6" s="1"/>
  <c r="U106" i="8"/>
  <c r="AB106" i="8" s="1"/>
  <c r="T101" i="8"/>
  <c r="AA101" i="8" s="1"/>
  <c r="S96" i="8"/>
  <c r="Z96" i="8" s="1"/>
  <c r="T90" i="8"/>
  <c r="AA90" i="8" s="1"/>
  <c r="I215" i="6"/>
  <c r="K215" i="6" s="1"/>
  <c r="L215" i="6" s="1"/>
  <c r="AG29" i="6" s="1"/>
  <c r="Y241" i="8"/>
  <c r="K250" i="5"/>
  <c r="M250" i="5" s="1"/>
  <c r="N250" i="5" s="1"/>
  <c r="AK33" i="5" s="1"/>
  <c r="K251" i="5"/>
  <c r="M251" i="5" s="1"/>
  <c r="N251" i="5" s="1"/>
  <c r="AK34" i="5" s="1"/>
  <c r="S252" i="8"/>
  <c r="Z252" i="8" s="1"/>
  <c r="Q252" i="8"/>
  <c r="X252" i="8" s="1"/>
  <c r="V252" i="8"/>
  <c r="P252" i="8"/>
  <c r="W252" i="8" s="1"/>
  <c r="R252" i="8"/>
  <c r="Y252" i="8" s="1"/>
  <c r="U252" i="8"/>
  <c r="AB252" i="8" s="1"/>
  <c r="T252" i="8"/>
  <c r="AA252" i="8" s="1"/>
  <c r="K194" i="18"/>
  <c r="M194" i="18" s="1"/>
  <c r="N194" i="18" s="1"/>
  <c r="AI39" i="18" s="1"/>
  <c r="R106" i="8"/>
  <c r="Y106" i="8" s="1"/>
  <c r="P247" i="8"/>
  <c r="W247" i="8" s="1"/>
  <c r="T247" i="8"/>
  <c r="AA247" i="8" s="1"/>
  <c r="Q247" i="8"/>
  <c r="X247" i="8" s="1"/>
  <c r="R247" i="8"/>
  <c r="Y247" i="8" s="1"/>
  <c r="I247" i="8"/>
  <c r="S247" i="8"/>
  <c r="Z247" i="8" s="1"/>
  <c r="V247" i="8"/>
  <c r="U247" i="8"/>
  <c r="AB247" i="8" s="1"/>
  <c r="Q91" i="8"/>
  <c r="X91" i="8" s="1"/>
  <c r="S98" i="8"/>
  <c r="Z98" i="8" s="1"/>
  <c r="T92" i="8"/>
  <c r="AA92" i="8" s="1"/>
  <c r="J244" i="8"/>
  <c r="I99" i="8"/>
  <c r="M99" i="8" s="1"/>
  <c r="N99" i="8" s="1"/>
  <c r="BE37" i="8" s="1"/>
  <c r="P95" i="8"/>
  <c r="W95" i="8" s="1"/>
  <c r="V89" i="8"/>
  <c r="Q94" i="8"/>
  <c r="X94" i="8" s="1"/>
  <c r="J253" i="8"/>
  <c r="W241" i="8"/>
  <c r="AI26" i="18"/>
  <c r="I246" i="8"/>
  <c r="Q257" i="8"/>
  <c r="X257" i="8" s="1"/>
  <c r="R257" i="8"/>
  <c r="Y257" i="8" s="1"/>
  <c r="T257" i="8"/>
  <c r="AA257" i="8" s="1"/>
  <c r="P257" i="8"/>
  <c r="W257" i="8" s="1"/>
  <c r="I257" i="8"/>
  <c r="V257" i="8"/>
  <c r="U257" i="8"/>
  <c r="AB257" i="8" s="1"/>
  <c r="S257" i="8"/>
  <c r="Z257" i="8" s="1"/>
  <c r="K252" i="5"/>
  <c r="M252" i="5" s="1"/>
  <c r="N252" i="5" s="1"/>
  <c r="AK35" i="5" s="1"/>
  <c r="K258" i="5"/>
  <c r="M258" i="5" s="1"/>
  <c r="N258" i="5" s="1"/>
  <c r="AK41" i="5" s="1"/>
  <c r="R91" i="8"/>
  <c r="Y91" i="8" s="1"/>
  <c r="U98" i="8"/>
  <c r="AB98" i="8" s="1"/>
  <c r="P92" i="8"/>
  <c r="W92" i="8" s="1"/>
  <c r="S99" i="8"/>
  <c r="Z99" i="8" s="1"/>
  <c r="S95" i="8"/>
  <c r="Z95" i="8" s="1"/>
  <c r="I89" i="8"/>
  <c r="M89" i="8" s="1"/>
  <c r="N89" i="8" s="1"/>
  <c r="U94" i="8"/>
  <c r="AB94" i="8" s="1"/>
  <c r="X241" i="8"/>
  <c r="P246" i="8"/>
  <c r="W246" i="8" s="1"/>
  <c r="Q246" i="8"/>
  <c r="X246" i="8" s="1"/>
  <c r="V246" i="8"/>
  <c r="U246" i="8"/>
  <c r="AB246" i="8" s="1"/>
  <c r="S246" i="8"/>
  <c r="Z246" i="8" s="1"/>
  <c r="T246" i="8"/>
  <c r="AA246" i="8" s="1"/>
  <c r="R246" i="8"/>
  <c r="Y246" i="8" s="1"/>
  <c r="I258" i="8"/>
  <c r="U258" i="8"/>
  <c r="AB258" i="8" s="1"/>
  <c r="Q258" i="8"/>
  <c r="X258" i="8" s="1"/>
  <c r="S258" i="8"/>
  <c r="Z258" i="8" s="1"/>
  <c r="R258" i="8"/>
  <c r="Y258" i="8" s="1"/>
  <c r="T258" i="8"/>
  <c r="AA258" i="8" s="1"/>
  <c r="V258" i="8"/>
  <c r="P258" i="8"/>
  <c r="W258" i="8" s="1"/>
  <c r="K253" i="5"/>
  <c r="M253" i="5" s="1"/>
  <c r="N253" i="5" s="1"/>
  <c r="AK36" i="5" s="1"/>
  <c r="K261" i="5"/>
  <c r="M261" i="5" s="1"/>
  <c r="N261" i="5" s="1"/>
  <c r="AK44" i="5" s="1"/>
  <c r="J246" i="8"/>
  <c r="K200" i="18"/>
  <c r="M200" i="18" s="1"/>
  <c r="N200" i="18" s="1"/>
  <c r="AI45" i="18" s="1"/>
  <c r="Q106" i="8"/>
  <c r="X106" i="8" s="1"/>
  <c r="P91" i="8"/>
  <c r="W91" i="8" s="1"/>
  <c r="R98" i="8"/>
  <c r="Y98" i="8" s="1"/>
  <c r="S92" i="8"/>
  <c r="Z92" i="8" s="1"/>
  <c r="P99" i="8"/>
  <c r="W99" i="8" s="1"/>
  <c r="T95" i="8"/>
  <c r="AA95" i="8" s="1"/>
  <c r="Q260" i="8"/>
  <c r="X260" i="8" s="1"/>
  <c r="R260" i="8"/>
  <c r="Y260" i="8" s="1"/>
  <c r="P260" i="8"/>
  <c r="W260" i="8" s="1"/>
  <c r="T260" i="8"/>
  <c r="AA260" i="8" s="1"/>
  <c r="S260" i="8"/>
  <c r="Z260" i="8" s="1"/>
  <c r="U260" i="8"/>
  <c r="AB260" i="8" s="1"/>
  <c r="V260" i="8"/>
  <c r="S89" i="8"/>
  <c r="P94" i="8"/>
  <c r="W94" i="8" s="1"/>
  <c r="J259" i="8"/>
  <c r="P254" i="8"/>
  <c r="W254" i="8" s="1"/>
  <c r="T254" i="8"/>
  <c r="AA254" i="8" s="1"/>
  <c r="V254" i="8"/>
  <c r="Q254" i="8"/>
  <c r="X254" i="8" s="1"/>
  <c r="S254" i="8"/>
  <c r="Z254" i="8" s="1"/>
  <c r="U254" i="8"/>
  <c r="AB254" i="8" s="1"/>
  <c r="R254" i="8"/>
  <c r="Y254" i="8" s="1"/>
  <c r="I261" i="8"/>
  <c r="M261" i="8" s="1"/>
  <c r="N261" i="8" s="1"/>
  <c r="BJ44" i="8" s="1"/>
  <c r="P261" i="8"/>
  <c r="W261" i="8" s="1"/>
  <c r="R261" i="8"/>
  <c r="Y261" i="8" s="1"/>
  <c r="S261" i="8"/>
  <c r="Z261" i="8" s="1"/>
  <c r="Q261" i="8"/>
  <c r="X261" i="8" s="1"/>
  <c r="V261" i="8"/>
  <c r="T261" i="8"/>
  <c r="AA261" i="8" s="1"/>
  <c r="U261" i="8"/>
  <c r="AB261" i="8" s="1"/>
  <c r="K246" i="5"/>
  <c r="M246" i="5" s="1"/>
  <c r="N246" i="5" s="1"/>
  <c r="AK29" i="5" s="1"/>
  <c r="K247" i="5"/>
  <c r="M247" i="5" s="1"/>
  <c r="N247" i="5" s="1"/>
  <c r="AK30" i="5" s="1"/>
  <c r="I218" i="6"/>
  <c r="K218" i="6" s="1"/>
  <c r="L218" i="6" s="1"/>
  <c r="AG32" i="6" s="1"/>
  <c r="I91" i="8"/>
  <c r="M91" i="8" s="1"/>
  <c r="N91" i="8" s="1"/>
  <c r="BE29" i="8" s="1"/>
  <c r="T245" i="8"/>
  <c r="AA245" i="8" s="1"/>
  <c r="P245" i="8"/>
  <c r="W245" i="8" s="1"/>
  <c r="Q245" i="8"/>
  <c r="X245" i="8" s="1"/>
  <c r="U245" i="8"/>
  <c r="AB245" i="8" s="1"/>
  <c r="V245" i="8"/>
  <c r="S245" i="8"/>
  <c r="Z245" i="8" s="1"/>
  <c r="I245" i="8"/>
  <c r="R245" i="8"/>
  <c r="Y245" i="8" s="1"/>
  <c r="T98" i="8"/>
  <c r="AA98" i="8" s="1"/>
  <c r="U92" i="8"/>
  <c r="AB92" i="8" s="1"/>
  <c r="V99" i="8"/>
  <c r="Q95" i="8"/>
  <c r="X95" i="8" s="1"/>
  <c r="U89" i="8"/>
  <c r="U182" i="8" s="1"/>
  <c r="S94" i="8"/>
  <c r="Z94" i="8" s="1"/>
  <c r="K216" i="18"/>
  <c r="M216" i="18" s="1"/>
  <c r="N216" i="18" s="1"/>
  <c r="AJ30" i="18" s="1"/>
  <c r="AA241" i="8"/>
  <c r="R249" i="8"/>
  <c r="Y249" i="8" s="1"/>
  <c r="T249" i="8"/>
  <c r="AA249" i="8" s="1"/>
  <c r="U249" i="8"/>
  <c r="AB249" i="8" s="1"/>
  <c r="Q249" i="8"/>
  <c r="X249" i="8" s="1"/>
  <c r="V249" i="8"/>
  <c r="S249" i="8"/>
  <c r="Z249" i="8" s="1"/>
  <c r="P249" i="8"/>
  <c r="W249" i="8" s="1"/>
  <c r="K256" i="5"/>
  <c r="M256" i="5" s="1"/>
  <c r="N256" i="5" s="1"/>
  <c r="AK39" i="5" s="1"/>
  <c r="J247" i="8"/>
  <c r="AF24" i="5"/>
  <c r="AF46" i="5" s="1"/>
  <c r="N108" i="5"/>
  <c r="J254" i="8"/>
  <c r="K199" i="18"/>
  <c r="M199" i="18" s="1"/>
  <c r="N199" i="18" s="1"/>
  <c r="AI44" i="18" s="1"/>
  <c r="S106" i="8"/>
  <c r="Z106" i="8" s="1"/>
  <c r="J250" i="8"/>
  <c r="U91" i="8"/>
  <c r="AB91" i="8" s="1"/>
  <c r="P98" i="8"/>
  <c r="W98" i="8" s="1"/>
  <c r="V92" i="8"/>
  <c r="J245" i="8"/>
  <c r="R99" i="8"/>
  <c r="Y99" i="8" s="1"/>
  <c r="I95" i="8"/>
  <c r="M95" i="8" s="1"/>
  <c r="N95" i="8" s="1"/>
  <c r="BE33" i="8" s="1"/>
  <c r="T253" i="8"/>
  <c r="AA253" i="8" s="1"/>
  <c r="V253" i="8"/>
  <c r="P253" i="8"/>
  <c r="W253" i="8" s="1"/>
  <c r="R253" i="8"/>
  <c r="Y253" i="8" s="1"/>
  <c r="Q253" i="8"/>
  <c r="X253" i="8" s="1"/>
  <c r="U253" i="8"/>
  <c r="AB253" i="8" s="1"/>
  <c r="S253" i="8"/>
  <c r="Z253" i="8" s="1"/>
  <c r="R89" i="8"/>
  <c r="I94" i="8"/>
  <c r="M94" i="8" s="1"/>
  <c r="N94" i="8" s="1"/>
  <c r="BE32" i="8" s="1"/>
  <c r="J256" i="8"/>
  <c r="AB241" i="8"/>
  <c r="U259" i="8"/>
  <c r="AB259" i="8" s="1"/>
  <c r="P259" i="8"/>
  <c r="W259" i="8" s="1"/>
  <c r="V259" i="8"/>
  <c r="S259" i="8"/>
  <c r="Z259" i="8" s="1"/>
  <c r="R259" i="8"/>
  <c r="Y259" i="8" s="1"/>
  <c r="T259" i="8"/>
  <c r="AA259" i="8" s="1"/>
  <c r="I259" i="8"/>
  <c r="Q259" i="8"/>
  <c r="X259" i="8" s="1"/>
  <c r="I254" i="8"/>
  <c r="J258" i="8"/>
  <c r="R255" i="8"/>
  <c r="Y255" i="8" s="1"/>
  <c r="P255" i="8"/>
  <c r="W255" i="8" s="1"/>
  <c r="S255" i="8"/>
  <c r="Z255" i="8" s="1"/>
  <c r="T255" i="8"/>
  <c r="AA255" i="8" s="1"/>
  <c r="I255" i="8"/>
  <c r="U255" i="8"/>
  <c r="AB255" i="8" s="1"/>
  <c r="V255" i="8"/>
  <c r="Q255" i="8"/>
  <c r="X255" i="8" s="1"/>
  <c r="K241" i="5"/>
  <c r="M241" i="5" s="1"/>
  <c r="N241" i="5" s="1"/>
  <c r="K249" i="5"/>
  <c r="M249" i="5" s="1"/>
  <c r="N249" i="5" s="1"/>
  <c r="AK32" i="5" s="1"/>
  <c r="V250" i="8"/>
  <c r="P250" i="8"/>
  <c r="W250" i="8" s="1"/>
  <c r="S250" i="8"/>
  <c r="Z250" i="8" s="1"/>
  <c r="I250" i="8"/>
  <c r="Q250" i="8"/>
  <c r="X250" i="8" s="1"/>
  <c r="R250" i="8"/>
  <c r="Y250" i="8" s="1"/>
  <c r="T250" i="8"/>
  <c r="AA250" i="8" s="1"/>
  <c r="U250" i="8"/>
  <c r="AB250" i="8" s="1"/>
  <c r="K186" i="18"/>
  <c r="M186" i="18" s="1"/>
  <c r="N186" i="18" s="1"/>
  <c r="AI31" i="18" s="1"/>
  <c r="T91" i="8"/>
  <c r="AA91" i="8" s="1"/>
  <c r="R251" i="8"/>
  <c r="Y251" i="8" s="1"/>
  <c r="U251" i="8"/>
  <c r="AB251" i="8" s="1"/>
  <c r="T251" i="8"/>
  <c r="AA251" i="8" s="1"/>
  <c r="Q251" i="8"/>
  <c r="X251" i="8" s="1"/>
  <c r="V251" i="8"/>
  <c r="I251" i="8"/>
  <c r="S251" i="8"/>
  <c r="Z251" i="8" s="1"/>
  <c r="P251" i="8"/>
  <c r="W251" i="8" s="1"/>
  <c r="I98" i="8"/>
  <c r="M98" i="8" s="1"/>
  <c r="N98" i="8" s="1"/>
  <c r="BE36" i="8" s="1"/>
  <c r="Q92" i="8"/>
  <c r="X92" i="8" s="1"/>
  <c r="T99" i="8"/>
  <c r="AA99" i="8" s="1"/>
  <c r="J232" i="7"/>
  <c r="AA24" i="7"/>
  <c r="AA46" i="7" s="1"/>
  <c r="U95" i="8"/>
  <c r="AB95" i="8" s="1"/>
  <c r="T89" i="8"/>
  <c r="AA89" i="8" s="1"/>
  <c r="T94" i="8"/>
  <c r="AA94" i="8" s="1"/>
  <c r="V244" i="8"/>
  <c r="S244" i="8"/>
  <c r="Z244" i="8" s="1"/>
  <c r="U244" i="8"/>
  <c r="AB244" i="8" s="1"/>
  <c r="Q244" i="8"/>
  <c r="X244" i="8" s="1"/>
  <c r="I244" i="8"/>
  <c r="R244" i="8"/>
  <c r="Y244" i="8" s="1"/>
  <c r="T244" i="8"/>
  <c r="AA244" i="8" s="1"/>
  <c r="P244" i="8"/>
  <c r="W244" i="8" s="1"/>
  <c r="K257" i="5"/>
  <c r="M257" i="5" s="1"/>
  <c r="N257" i="5" s="1"/>
  <c r="AK40" i="5" s="1"/>
  <c r="K255" i="5"/>
  <c r="M255" i="5" s="1"/>
  <c r="N255" i="5" s="1"/>
  <c r="AK38" i="5" s="1"/>
  <c r="J252" i="8"/>
  <c r="I230" i="6"/>
  <c r="K230" i="6" s="1"/>
  <c r="L230" i="6" s="1"/>
  <c r="AG44" i="6" s="1"/>
  <c r="T256" i="8"/>
  <c r="AA256" i="8" s="1"/>
  <c r="Q256" i="8"/>
  <c r="X256" i="8" s="1"/>
  <c r="V256" i="8"/>
  <c r="I256" i="8"/>
  <c r="S256" i="8"/>
  <c r="Z256" i="8" s="1"/>
  <c r="R256" i="8"/>
  <c r="Y256" i="8" s="1"/>
  <c r="U256" i="8"/>
  <c r="AB256" i="8" s="1"/>
  <c r="P256" i="8"/>
  <c r="W256" i="8" s="1"/>
  <c r="V91" i="8"/>
  <c r="Q98" i="8"/>
  <c r="X98" i="8" s="1"/>
  <c r="I92" i="8"/>
  <c r="M92" i="8" s="1"/>
  <c r="N92" i="8" s="1"/>
  <c r="BE30" i="8" s="1"/>
  <c r="J251" i="8"/>
  <c r="Q99" i="8"/>
  <c r="X99" i="8" s="1"/>
  <c r="R95" i="8"/>
  <c r="Y95" i="8" s="1"/>
  <c r="P89" i="8"/>
  <c r="W89" i="8" s="1"/>
  <c r="V94" i="8"/>
  <c r="Z241" i="8"/>
  <c r="P248" i="8"/>
  <c r="W248" i="8" s="1"/>
  <c r="U248" i="8"/>
  <c r="AB248" i="8" s="1"/>
  <c r="T248" i="8"/>
  <c r="AA248" i="8" s="1"/>
  <c r="I248" i="8"/>
  <c r="S248" i="8"/>
  <c r="Z248" i="8" s="1"/>
  <c r="V248" i="8"/>
  <c r="Q248" i="8"/>
  <c r="X248" i="8" s="1"/>
  <c r="R248" i="8"/>
  <c r="Y248" i="8" s="1"/>
  <c r="K259" i="5"/>
  <c r="M259" i="5" s="1"/>
  <c r="N259" i="5" s="1"/>
  <c r="AK42" i="5" s="1"/>
  <c r="K248" i="5"/>
  <c r="M248" i="5" s="1"/>
  <c r="N248" i="5" s="1"/>
  <c r="AK31" i="5" s="1"/>
  <c r="M103" i="8"/>
  <c r="N103" i="8" s="1"/>
  <c r="BE41" i="8" s="1"/>
  <c r="K189" i="18"/>
  <c r="M189" i="18" s="1"/>
  <c r="N189" i="18" s="1"/>
  <c r="AI34" i="18" s="1"/>
  <c r="M210" i="5"/>
  <c r="N210" i="5" s="1"/>
  <c r="AJ24" i="5" s="1"/>
  <c r="K124" i="18"/>
  <c r="M124" i="18" s="1"/>
  <c r="N124" i="18" s="1"/>
  <c r="AG31" i="18" s="1"/>
  <c r="K226" i="18"/>
  <c r="M226" i="18" s="1"/>
  <c r="N226" i="18" s="1"/>
  <c r="AJ40" i="18" s="1"/>
  <c r="J278" i="8"/>
  <c r="M278" i="8" s="1"/>
  <c r="N278" i="8" s="1"/>
  <c r="BK30" i="8" s="1"/>
  <c r="K119" i="18"/>
  <c r="M119" i="18" s="1"/>
  <c r="N119" i="18" s="1"/>
  <c r="K228" i="18"/>
  <c r="M228" i="18" s="1"/>
  <c r="N228" i="18" s="1"/>
  <c r="AJ42" i="18" s="1"/>
  <c r="K123" i="18"/>
  <c r="M123" i="18" s="1"/>
  <c r="N123" i="18" s="1"/>
  <c r="AG30" i="18" s="1"/>
  <c r="K217" i="18"/>
  <c r="M217" i="18" s="1"/>
  <c r="N217" i="18" s="1"/>
  <c r="AJ31" i="18" s="1"/>
  <c r="J292" i="8"/>
  <c r="M292" i="8" s="1"/>
  <c r="N292" i="8" s="1"/>
  <c r="BK44" i="8" s="1"/>
  <c r="K231" i="18"/>
  <c r="M231" i="18" s="1"/>
  <c r="N231" i="18" s="1"/>
  <c r="AJ45" i="18" s="1"/>
  <c r="S292" i="8"/>
  <c r="Z292" i="8" s="1"/>
  <c r="V292" i="8"/>
  <c r="K224" i="18"/>
  <c r="M224" i="18" s="1"/>
  <c r="N224" i="18" s="1"/>
  <c r="AJ38" i="18" s="1"/>
  <c r="M226" i="5"/>
  <c r="N226" i="5" s="1"/>
  <c r="AJ40" i="5" s="1"/>
  <c r="X127" i="5"/>
  <c r="Z127" i="5" s="1"/>
  <c r="AA127" i="5" s="1"/>
  <c r="AP34" i="5" s="1"/>
  <c r="X100" i="5"/>
  <c r="Z100" i="5" s="1"/>
  <c r="AA100" i="5" s="1"/>
  <c r="AO38" i="5" s="1"/>
  <c r="J290" i="8"/>
  <c r="M290" i="8" s="1"/>
  <c r="N290" i="8" s="1"/>
  <c r="BK42" i="8" s="1"/>
  <c r="M229" i="5"/>
  <c r="N229" i="5" s="1"/>
  <c r="AJ43" i="5" s="1"/>
  <c r="P283" i="8"/>
  <c r="W283" i="8" s="1"/>
  <c r="K120" i="18"/>
  <c r="M120" i="18" s="1"/>
  <c r="N120" i="18" s="1"/>
  <c r="AG27" i="18" s="1"/>
  <c r="K126" i="18"/>
  <c r="M126" i="18" s="1"/>
  <c r="N126" i="18" s="1"/>
  <c r="AG33" i="18" s="1"/>
  <c r="K135" i="18"/>
  <c r="M135" i="18" s="1"/>
  <c r="N135" i="18" s="1"/>
  <c r="AG42" i="18" s="1"/>
  <c r="U287" i="8"/>
  <c r="AB287" i="8" s="1"/>
  <c r="U290" i="8"/>
  <c r="AB290" i="8" s="1"/>
  <c r="K129" i="18"/>
  <c r="M129" i="18" s="1"/>
  <c r="N129" i="18" s="1"/>
  <c r="AG36" i="18" s="1"/>
  <c r="AE26" i="18"/>
  <c r="N79" i="18"/>
  <c r="K122" i="18"/>
  <c r="M122" i="18" s="1"/>
  <c r="N122" i="18" s="1"/>
  <c r="AG29" i="18" s="1"/>
  <c r="N172" i="18"/>
  <c r="AH26" i="18"/>
  <c r="AH48" i="18" s="1"/>
  <c r="M221" i="5"/>
  <c r="N221" i="5" s="1"/>
  <c r="AJ35" i="5" s="1"/>
  <c r="AA46" i="6"/>
  <c r="T278" i="8"/>
  <c r="AA278" i="8" s="1"/>
  <c r="R278" i="8"/>
  <c r="Y278" i="8" s="1"/>
  <c r="U278" i="8"/>
  <c r="AB278" i="8" s="1"/>
  <c r="P278" i="8"/>
  <c r="W278" i="8" s="1"/>
  <c r="Q278" i="8"/>
  <c r="X278" i="8" s="1"/>
  <c r="S278" i="8"/>
  <c r="Z278" i="8" s="1"/>
  <c r="M220" i="5"/>
  <c r="N220" i="5" s="1"/>
  <c r="AJ34" i="5" s="1"/>
  <c r="M230" i="5"/>
  <c r="N230" i="5" s="1"/>
  <c r="AJ44" i="5" s="1"/>
  <c r="R290" i="8"/>
  <c r="Y290" i="8" s="1"/>
  <c r="Q283" i="8"/>
  <c r="X283" i="8" s="1"/>
  <c r="T287" i="8"/>
  <c r="AA287" i="8" s="1"/>
  <c r="M219" i="5"/>
  <c r="N219" i="5" s="1"/>
  <c r="AJ33" i="5" s="1"/>
  <c r="P290" i="8"/>
  <c r="W290" i="8" s="1"/>
  <c r="V283" i="8"/>
  <c r="R287" i="8"/>
  <c r="Y287" i="8" s="1"/>
  <c r="J283" i="8"/>
  <c r="M283" i="8" s="1"/>
  <c r="N283" i="8" s="1"/>
  <c r="BK35" i="8" s="1"/>
  <c r="J287" i="8"/>
  <c r="M287" i="8" s="1"/>
  <c r="N287" i="8" s="1"/>
  <c r="BK39" i="8" s="1"/>
  <c r="R283" i="8"/>
  <c r="Y283" i="8" s="1"/>
  <c r="P287" i="8"/>
  <c r="W287" i="8" s="1"/>
  <c r="V287" i="8"/>
  <c r="T290" i="8"/>
  <c r="AA290" i="8" s="1"/>
  <c r="T283" i="8"/>
  <c r="AA283" i="8" s="1"/>
  <c r="Q287" i="8"/>
  <c r="X287" i="8" s="1"/>
  <c r="M180" i="5"/>
  <c r="N180" i="5" s="1"/>
  <c r="AI25" i="5" s="1"/>
  <c r="S290" i="8"/>
  <c r="Z290" i="8" s="1"/>
  <c r="S283" i="8"/>
  <c r="Z283" i="8" s="1"/>
  <c r="V290" i="8"/>
  <c r="M223" i="5"/>
  <c r="N223" i="5" s="1"/>
  <c r="AJ37" i="5" s="1"/>
  <c r="M215" i="5"/>
  <c r="N215" i="5" s="1"/>
  <c r="AJ29" i="5" s="1"/>
  <c r="M214" i="5"/>
  <c r="N214" i="5" s="1"/>
  <c r="AJ28" i="5" s="1"/>
  <c r="V277" i="8"/>
  <c r="M217" i="5"/>
  <c r="N217" i="5" s="1"/>
  <c r="AJ31" i="5" s="1"/>
  <c r="P291" i="8"/>
  <c r="W291" i="8" s="1"/>
  <c r="M228" i="5"/>
  <c r="N228" i="5" s="1"/>
  <c r="AJ42" i="5" s="1"/>
  <c r="M218" i="5"/>
  <c r="N218" i="5" s="1"/>
  <c r="AJ32" i="5" s="1"/>
  <c r="T291" i="8"/>
  <c r="AA291" i="8" s="1"/>
  <c r="J291" i="8"/>
  <c r="M291" i="8" s="1"/>
  <c r="N291" i="8" s="1"/>
  <c r="BK43" i="8" s="1"/>
  <c r="J277" i="8"/>
  <c r="M277" i="8" s="1"/>
  <c r="N277" i="8" s="1"/>
  <c r="BK29" i="8" s="1"/>
  <c r="Q277" i="8"/>
  <c r="X277" i="8" s="1"/>
  <c r="R277" i="8"/>
  <c r="Y277" i="8" s="1"/>
  <c r="P277" i="8"/>
  <c r="W277" i="8" s="1"/>
  <c r="U285" i="8"/>
  <c r="AB285" i="8" s="1"/>
  <c r="M288" i="5"/>
  <c r="N288" i="5" s="1"/>
  <c r="AL40" i="5" s="1"/>
  <c r="M213" i="5"/>
  <c r="N213" i="5" s="1"/>
  <c r="AJ27" i="5" s="1"/>
  <c r="L179" i="5"/>
  <c r="S291" i="8"/>
  <c r="Z291" i="8" s="1"/>
  <c r="T277" i="8"/>
  <c r="AA277" i="8" s="1"/>
  <c r="Q291" i="8"/>
  <c r="X291" i="8" s="1"/>
  <c r="M216" i="5"/>
  <c r="N216" i="5" s="1"/>
  <c r="AJ30" i="5" s="1"/>
  <c r="V291" i="8"/>
  <c r="U277" i="8"/>
  <c r="AB277" i="8" s="1"/>
  <c r="U291" i="8"/>
  <c r="AB291" i="8" s="1"/>
  <c r="L46" i="6"/>
  <c r="M227" i="5"/>
  <c r="N227" i="5" s="1"/>
  <c r="AJ41" i="5" s="1"/>
  <c r="M225" i="5"/>
  <c r="N225" i="5" s="1"/>
  <c r="AJ39" i="5" s="1"/>
  <c r="V186" i="8"/>
  <c r="CA25" i="8"/>
  <c r="AB63" i="8"/>
  <c r="Y67" i="8"/>
  <c r="AA62" i="8"/>
  <c r="T186" i="8"/>
  <c r="Z71" i="8"/>
  <c r="Z73" i="8"/>
  <c r="W75" i="8"/>
  <c r="AB74" i="8"/>
  <c r="AB66" i="8"/>
  <c r="U190" i="8"/>
  <c r="W65" i="8"/>
  <c r="Y61" i="8"/>
  <c r="Z70" i="8"/>
  <c r="W68" i="8"/>
  <c r="Y59" i="8"/>
  <c r="AA64" i="8"/>
  <c r="AB69" i="8"/>
  <c r="X94" i="5"/>
  <c r="Z94" i="5" s="1"/>
  <c r="AA94" i="5" s="1"/>
  <c r="AO32" i="5" s="1"/>
  <c r="Z59" i="8"/>
  <c r="AA75" i="8"/>
  <c r="T199" i="8"/>
  <c r="AA199" i="8" s="1"/>
  <c r="AA65" i="8"/>
  <c r="Y68" i="8"/>
  <c r="AA69" i="8"/>
  <c r="W63" i="8"/>
  <c r="AA67" i="8"/>
  <c r="Z60" i="8"/>
  <c r="Z62" i="8"/>
  <c r="S186" i="8"/>
  <c r="Z186" i="8" s="1"/>
  <c r="Z72" i="8"/>
  <c r="AB75" i="8"/>
  <c r="Z66" i="8"/>
  <c r="W61" i="8"/>
  <c r="Q194" i="8"/>
  <c r="X194" i="8" s="1"/>
  <c r="AB59" i="8"/>
  <c r="Y69" i="8"/>
  <c r="AB64" i="8"/>
  <c r="Y63" i="8"/>
  <c r="R187" i="8"/>
  <c r="Y187" i="8" s="1"/>
  <c r="AA60" i="8"/>
  <c r="W72" i="8"/>
  <c r="Y75" i="8"/>
  <c r="AB68" i="8"/>
  <c r="Y62" i="8"/>
  <c r="AB73" i="8"/>
  <c r="W66" i="8"/>
  <c r="P190" i="8"/>
  <c r="AB65" i="8"/>
  <c r="U189" i="8"/>
  <c r="AB189" i="8" s="1"/>
  <c r="Z61" i="8"/>
  <c r="AB70" i="8"/>
  <c r="Z68" i="8"/>
  <c r="Z67" i="8"/>
  <c r="W70" i="8"/>
  <c r="W67" i="8"/>
  <c r="AB62" i="8"/>
  <c r="AB67" i="8"/>
  <c r="AB60" i="8"/>
  <c r="AB72" i="8"/>
  <c r="Y73" i="8"/>
  <c r="Z75" i="8"/>
  <c r="Z74" i="8"/>
  <c r="Y66" i="8"/>
  <c r="Z65" i="8"/>
  <c r="AA61" i="8"/>
  <c r="Y64" i="8"/>
  <c r="W69" i="8"/>
  <c r="P193" i="8"/>
  <c r="W193" i="8" s="1"/>
  <c r="X124" i="5"/>
  <c r="Z124" i="5" s="1"/>
  <c r="AA124" i="5" s="1"/>
  <c r="AP31" i="5" s="1"/>
  <c r="Y72" i="8"/>
  <c r="W58" i="8"/>
  <c r="AA59" i="8"/>
  <c r="W60" i="8"/>
  <c r="Z63" i="8"/>
  <c r="AB71" i="8"/>
  <c r="U195" i="8"/>
  <c r="AB195" i="8" s="1"/>
  <c r="W73" i="8"/>
  <c r="AA74" i="8"/>
  <c r="Y65" i="8"/>
  <c r="AA68" i="8"/>
  <c r="Z64" i="8"/>
  <c r="Z69" i="8"/>
  <c r="W71" i="8"/>
  <c r="Y74" i="8"/>
  <c r="AA70" i="8"/>
  <c r="Y58" i="8"/>
  <c r="AA71" i="8"/>
  <c r="AA72" i="8"/>
  <c r="F68" i="9"/>
  <c r="P17" i="4" s="1"/>
  <c r="AA63" i="8"/>
  <c r="Y60" i="8"/>
  <c r="W62" i="8"/>
  <c r="Y71" i="8"/>
  <c r="AA73" i="8"/>
  <c r="W74" i="8"/>
  <c r="AA66" i="8"/>
  <c r="V189" i="8"/>
  <c r="BZ34" i="8" s="1"/>
  <c r="AB61" i="8"/>
  <c r="Y70" i="8"/>
  <c r="AB58" i="8"/>
  <c r="W59" i="8"/>
  <c r="W64" i="8"/>
  <c r="Q193" i="8"/>
  <c r="X193" i="8" s="1"/>
  <c r="M224" i="5"/>
  <c r="N224" i="5" s="1"/>
  <c r="AJ38" i="5" s="1"/>
  <c r="L71" i="5"/>
  <c r="M71" i="5" s="1"/>
  <c r="N71" i="5" s="1"/>
  <c r="AE40" i="5" s="1"/>
  <c r="L70" i="5"/>
  <c r="M70" i="5" s="1"/>
  <c r="N70" i="5" s="1"/>
  <c r="AE39" i="5" s="1"/>
  <c r="L69" i="5"/>
  <c r="M69" i="5" s="1"/>
  <c r="N69" i="5" s="1"/>
  <c r="AE38" i="5" s="1"/>
  <c r="L60" i="5"/>
  <c r="M60" i="5" s="1"/>
  <c r="N60" i="5" s="1"/>
  <c r="AE29" i="5" s="1"/>
  <c r="L67" i="5"/>
  <c r="M67" i="5" s="1"/>
  <c r="N67" i="5" s="1"/>
  <c r="AE36" i="5" s="1"/>
  <c r="L74" i="5"/>
  <c r="M74" i="5" s="1"/>
  <c r="N74" i="5" s="1"/>
  <c r="AE43" i="5" s="1"/>
  <c r="L63" i="5"/>
  <c r="M63" i="5" s="1"/>
  <c r="N63" i="5" s="1"/>
  <c r="AE32" i="5" s="1"/>
  <c r="L62" i="5"/>
  <c r="M62" i="5" s="1"/>
  <c r="N62" i="5" s="1"/>
  <c r="AE31" i="5" s="1"/>
  <c r="L59" i="5"/>
  <c r="M59" i="5" s="1"/>
  <c r="N59" i="5" s="1"/>
  <c r="AE28" i="5" s="1"/>
  <c r="L64" i="5"/>
  <c r="M64" i="5" s="1"/>
  <c r="N64" i="5" s="1"/>
  <c r="AE33" i="5" s="1"/>
  <c r="L72" i="5"/>
  <c r="M72" i="5" s="1"/>
  <c r="N72" i="5" s="1"/>
  <c r="AE41" i="5" s="1"/>
  <c r="L65" i="5"/>
  <c r="M65" i="5" s="1"/>
  <c r="N65" i="5" s="1"/>
  <c r="AE34" i="5" s="1"/>
  <c r="L68" i="5"/>
  <c r="M68" i="5" s="1"/>
  <c r="N68" i="5" s="1"/>
  <c r="AE37" i="5" s="1"/>
  <c r="L58" i="5"/>
  <c r="M58" i="5" s="1"/>
  <c r="N58" i="5" s="1"/>
  <c r="AE27" i="5" s="1"/>
  <c r="L61" i="5"/>
  <c r="M61" i="5" s="1"/>
  <c r="N61" i="5" s="1"/>
  <c r="AE30" i="5" s="1"/>
  <c r="L73" i="5"/>
  <c r="M73" i="5" s="1"/>
  <c r="N73" i="5" s="1"/>
  <c r="AE42" i="5" s="1"/>
  <c r="L75" i="5"/>
  <c r="M75" i="5" s="1"/>
  <c r="N75" i="5" s="1"/>
  <c r="AE44" i="5" s="1"/>
  <c r="L66" i="5"/>
  <c r="M66" i="5" s="1"/>
  <c r="N66" i="5" s="1"/>
  <c r="AE35" i="5" s="1"/>
  <c r="L276" i="5"/>
  <c r="M276" i="5" s="1"/>
  <c r="N276" i="5" s="1"/>
  <c r="AL28" i="5" s="1"/>
  <c r="L282" i="5"/>
  <c r="L291" i="5"/>
  <c r="M291" i="5" s="1"/>
  <c r="N291" i="5" s="1"/>
  <c r="AL43" i="5" s="1"/>
  <c r="L286" i="5"/>
  <c r="L278" i="5"/>
  <c r="M278" i="5" s="1"/>
  <c r="N278" i="5" s="1"/>
  <c r="AL30" i="5" s="1"/>
  <c r="L290" i="5"/>
  <c r="L285" i="5"/>
  <c r="L275" i="5"/>
  <c r="M275" i="5" s="1"/>
  <c r="N275" i="5" s="1"/>
  <c r="AL27" i="5" s="1"/>
  <c r="L281" i="5"/>
  <c r="M281" i="5" s="1"/>
  <c r="N281" i="5" s="1"/>
  <c r="AL33" i="5" s="1"/>
  <c r="L289" i="5"/>
  <c r="M289" i="5" s="1"/>
  <c r="N289" i="5" s="1"/>
  <c r="AL41" i="5" s="1"/>
  <c r="L283" i="5"/>
  <c r="L287" i="5"/>
  <c r="M287" i="5" s="1"/>
  <c r="N287" i="5" s="1"/>
  <c r="AL39" i="5" s="1"/>
  <c r="L280" i="5"/>
  <c r="M273" i="5"/>
  <c r="N273" i="5" s="1"/>
  <c r="AL25" i="5" s="1"/>
  <c r="L133" i="5"/>
  <c r="L132" i="5"/>
  <c r="M132" i="5" s="1"/>
  <c r="N132" i="5" s="1"/>
  <c r="AG39" i="5" s="1"/>
  <c r="L137" i="5"/>
  <c r="M137" i="5" s="1"/>
  <c r="N137" i="5" s="1"/>
  <c r="AG44" i="5" s="1"/>
  <c r="L136" i="5"/>
  <c r="L128" i="5"/>
  <c r="M128" i="5" s="1"/>
  <c r="N128" i="5" s="1"/>
  <c r="AG35" i="5" s="1"/>
  <c r="L131" i="5"/>
  <c r="L122" i="5"/>
  <c r="M122" i="5" s="1"/>
  <c r="N122" i="5" s="1"/>
  <c r="AG29" i="5" s="1"/>
  <c r="L135" i="5"/>
  <c r="M135" i="5" s="1"/>
  <c r="N135" i="5" s="1"/>
  <c r="AG42" i="5" s="1"/>
  <c r="L120" i="5"/>
  <c r="M120" i="5" s="1"/>
  <c r="N120" i="5" s="1"/>
  <c r="AG27" i="5" s="1"/>
  <c r="L125" i="5"/>
  <c r="M125" i="5" s="1"/>
  <c r="N125" i="5" s="1"/>
  <c r="AG32" i="5" s="1"/>
  <c r="L121" i="5"/>
  <c r="L129" i="5"/>
  <c r="M129" i="5" s="1"/>
  <c r="N129" i="5" s="1"/>
  <c r="AG36" i="5" s="1"/>
  <c r="L134" i="5"/>
  <c r="M134" i="5" s="1"/>
  <c r="N134" i="5" s="1"/>
  <c r="AG41" i="5" s="1"/>
  <c r="L130" i="5"/>
  <c r="M130" i="5" s="1"/>
  <c r="N130" i="5" s="1"/>
  <c r="AG37" i="5" s="1"/>
  <c r="L124" i="5"/>
  <c r="L126" i="5"/>
  <c r="M126" i="5" s="1"/>
  <c r="N126" i="5" s="1"/>
  <c r="AG33" i="5" s="1"/>
  <c r="L127" i="5"/>
  <c r="L123" i="5"/>
  <c r="L284" i="5"/>
  <c r="M284" i="5" s="1"/>
  <c r="N284" i="5" s="1"/>
  <c r="AL36" i="5" s="1"/>
  <c r="L292" i="5"/>
  <c r="M292" i="5" s="1"/>
  <c r="N292" i="5" s="1"/>
  <c r="AL44" i="5" s="1"/>
  <c r="L279" i="5"/>
  <c r="L277" i="5"/>
  <c r="AD29" i="5"/>
  <c r="M179" i="8"/>
  <c r="N179" i="8" s="1"/>
  <c r="BH24" i="8" s="1"/>
  <c r="J185" i="8"/>
  <c r="J192" i="8"/>
  <c r="Y46" i="8"/>
  <c r="AW77" i="8"/>
  <c r="AZ77" i="8"/>
  <c r="AW46" i="8"/>
  <c r="AV77" i="8"/>
  <c r="AB232" i="8"/>
  <c r="BL46" i="8"/>
  <c r="AX77" i="8"/>
  <c r="AX46" i="8"/>
  <c r="AU77" i="8"/>
  <c r="AU46" i="8"/>
  <c r="Y232" i="8"/>
  <c r="W232" i="8"/>
  <c r="X46" i="8"/>
  <c r="AY77" i="8"/>
  <c r="J188" i="8"/>
  <c r="AV46" i="8"/>
  <c r="AZ46" i="8"/>
  <c r="AB46" i="8"/>
  <c r="AA46" i="8"/>
  <c r="Z46" i="8"/>
  <c r="N46" i="8"/>
  <c r="J195" i="8"/>
  <c r="J197" i="8"/>
  <c r="J191" i="8"/>
  <c r="W46" i="8"/>
  <c r="AL46" i="8"/>
  <c r="J183" i="8"/>
  <c r="J189" i="8"/>
  <c r="AL77" i="8"/>
  <c r="J198" i="8"/>
  <c r="BC46" i="8"/>
  <c r="J187" i="8"/>
  <c r="J190" i="8"/>
  <c r="V46" i="8"/>
  <c r="P46" i="8"/>
  <c r="X89" i="5"/>
  <c r="Z89" i="5" s="1"/>
  <c r="AA89" i="5" s="1"/>
  <c r="AO27" i="5" s="1"/>
  <c r="M213" i="8"/>
  <c r="N213" i="8" s="1"/>
  <c r="BI27" i="8" s="1"/>
  <c r="T46" i="8"/>
  <c r="M228" i="8"/>
  <c r="N228" i="8" s="1"/>
  <c r="BI42" i="8" s="1"/>
  <c r="AK25" i="6"/>
  <c r="AM25" i="6" s="1"/>
  <c r="Z53" i="9" s="1"/>
  <c r="I151" i="6"/>
  <c r="K151" i="6" s="1"/>
  <c r="L151" i="6" s="1"/>
  <c r="AE27" i="6" s="1"/>
  <c r="M227" i="8"/>
  <c r="N227" i="8" s="1"/>
  <c r="BI41" i="8" s="1"/>
  <c r="M218" i="8"/>
  <c r="N218" i="8" s="1"/>
  <c r="BI32" i="8" s="1"/>
  <c r="M221" i="8"/>
  <c r="N221" i="8" s="1"/>
  <c r="BI35" i="8" s="1"/>
  <c r="M280" i="8"/>
  <c r="N280" i="8" s="1"/>
  <c r="BK32" i="8" s="1"/>
  <c r="M229" i="8"/>
  <c r="N229" i="8" s="1"/>
  <c r="BI43" i="8" s="1"/>
  <c r="BM24" i="8"/>
  <c r="BM46" i="8" s="1"/>
  <c r="M128" i="8"/>
  <c r="N128" i="8" s="1"/>
  <c r="BF35" i="8" s="1"/>
  <c r="M225" i="8"/>
  <c r="N225" i="8" s="1"/>
  <c r="BI39" i="8" s="1"/>
  <c r="F49" i="9"/>
  <c r="AF43" i="7"/>
  <c r="AA51" i="9" s="1"/>
  <c r="AF29" i="7"/>
  <c r="AA37" i="9" s="1"/>
  <c r="M219" i="8"/>
  <c r="N219" i="8" s="1"/>
  <c r="BI33" i="8" s="1"/>
  <c r="K148" i="6"/>
  <c r="L148" i="6" s="1"/>
  <c r="AE24" i="6" s="1"/>
  <c r="M214" i="8"/>
  <c r="N214" i="8" s="1"/>
  <c r="BI28" i="8" s="1"/>
  <c r="M230" i="8"/>
  <c r="N230" i="8" s="1"/>
  <c r="BI44" i="8" s="1"/>
  <c r="K58" i="6"/>
  <c r="L58" i="6" s="1"/>
  <c r="AB27" i="6" s="1"/>
  <c r="F39" i="9"/>
  <c r="AU25" i="5"/>
  <c r="F42" i="9"/>
  <c r="V77" i="8"/>
  <c r="BX24" i="8"/>
  <c r="F48" i="9"/>
  <c r="AF40" i="7"/>
  <c r="AA48" i="9" s="1"/>
  <c r="M284" i="8"/>
  <c r="N284" i="8" s="1"/>
  <c r="BK36" i="8" s="1"/>
  <c r="BT25" i="8"/>
  <c r="M286" i="8"/>
  <c r="N286" i="8" s="1"/>
  <c r="BK38" i="8" s="1"/>
  <c r="X101" i="5"/>
  <c r="Z101" i="5" s="1"/>
  <c r="AA101" i="5" s="1"/>
  <c r="AO39" i="5" s="1"/>
  <c r="F52" i="9"/>
  <c r="AF44" i="7"/>
  <c r="AA52" i="9" s="1"/>
  <c r="K135" i="6"/>
  <c r="L135" i="6" s="1"/>
  <c r="AD42" i="6" s="1"/>
  <c r="I166" i="6"/>
  <c r="K166" i="6" s="1"/>
  <c r="L166" i="6" s="1"/>
  <c r="AE42" i="6" s="1"/>
  <c r="M223" i="8"/>
  <c r="N223" i="8" s="1"/>
  <c r="BI37" i="8" s="1"/>
  <c r="M276" i="8"/>
  <c r="N276" i="8" s="1"/>
  <c r="BK28" i="8" s="1"/>
  <c r="X99" i="5"/>
  <c r="Z99" i="5" s="1"/>
  <c r="AA99" i="5" s="1"/>
  <c r="AO37" i="5" s="1"/>
  <c r="AT77" i="8"/>
  <c r="X134" i="5"/>
  <c r="Z134" i="5" s="1"/>
  <c r="AA134" i="5" s="1"/>
  <c r="AP41" i="5" s="1"/>
  <c r="I153" i="6"/>
  <c r="K153" i="6" s="1"/>
  <c r="L153" i="6" s="1"/>
  <c r="AE29" i="6" s="1"/>
  <c r="AF28" i="7"/>
  <c r="AA36" i="9" s="1"/>
  <c r="F36" i="9"/>
  <c r="V232" i="8"/>
  <c r="AF39" i="7"/>
  <c r="AA47" i="9" s="1"/>
  <c r="F47" i="9"/>
  <c r="X105" i="5"/>
  <c r="Z105" i="5" s="1"/>
  <c r="AA105" i="5" s="1"/>
  <c r="AO43" i="5" s="1"/>
  <c r="M281" i="8"/>
  <c r="N281" i="8" s="1"/>
  <c r="BK33" i="8" s="1"/>
  <c r="Z275" i="8"/>
  <c r="AN46" i="8"/>
  <c r="M222" i="8"/>
  <c r="N222" i="8" s="1"/>
  <c r="BI36" i="8" s="1"/>
  <c r="X106" i="5"/>
  <c r="Z106" i="5" s="1"/>
  <c r="AA106" i="5" s="1"/>
  <c r="AO44" i="5" s="1"/>
  <c r="X40" i="5"/>
  <c r="Z40" i="5" s="1"/>
  <c r="AA40" i="5" s="1"/>
  <c r="AM40" i="5" s="1"/>
  <c r="F41" i="9"/>
  <c r="AF33" i="7"/>
  <c r="AA41" i="9" s="1"/>
  <c r="K70" i="6"/>
  <c r="L70" i="6" s="1"/>
  <c r="AB39" i="6" s="1"/>
  <c r="R77" i="8"/>
  <c r="AQ46" i="8"/>
  <c r="Z120" i="8"/>
  <c r="X213" i="8"/>
  <c r="X232" i="8" s="1"/>
  <c r="Q232" i="8"/>
  <c r="AT46" i="8"/>
  <c r="AP77" i="8"/>
  <c r="K64" i="6"/>
  <c r="L64" i="6" s="1"/>
  <c r="AB33" i="6" s="1"/>
  <c r="AO77" i="8"/>
  <c r="AN77" i="8"/>
  <c r="AF30" i="7"/>
  <c r="AA38" i="9" s="1"/>
  <c r="F38" i="9"/>
  <c r="AS46" i="8"/>
  <c r="R232" i="8"/>
  <c r="Z58" i="8"/>
  <c r="S77" i="8"/>
  <c r="U232" i="8"/>
  <c r="X29" i="5"/>
  <c r="Z29" i="5" s="1"/>
  <c r="AA29" i="5" s="1"/>
  <c r="AM29" i="5" s="1"/>
  <c r="U77" i="8"/>
  <c r="AP46" i="8"/>
  <c r="AQ77" i="8"/>
  <c r="AF36" i="7"/>
  <c r="AA44" i="9" s="1"/>
  <c r="F44" i="9"/>
  <c r="Z213" i="8"/>
  <c r="Z232" i="8" s="1"/>
  <c r="S232" i="8"/>
  <c r="P232" i="8"/>
  <c r="AA275" i="8"/>
  <c r="M217" i="8"/>
  <c r="N217" i="8" s="1"/>
  <c r="BI31" i="8" s="1"/>
  <c r="M127" i="8"/>
  <c r="N127" i="8" s="1"/>
  <c r="BF34" i="8" s="1"/>
  <c r="AA58" i="8"/>
  <c r="T77" i="8"/>
  <c r="AH24" i="6"/>
  <c r="P77" i="8"/>
  <c r="AF27" i="6"/>
  <c r="AF46" i="6" s="1"/>
  <c r="L201" i="6"/>
  <c r="I154" i="6"/>
  <c r="K154" i="6" s="1"/>
  <c r="L154" i="6" s="1"/>
  <c r="AE30" i="6" s="1"/>
  <c r="K61" i="6"/>
  <c r="L61" i="6" s="1"/>
  <c r="AB30" i="6" s="1"/>
  <c r="AR77" i="8"/>
  <c r="X102" i="5"/>
  <c r="Z102" i="5" s="1"/>
  <c r="AA102" i="5" s="1"/>
  <c r="AO40" i="5" s="1"/>
  <c r="X129" i="5"/>
  <c r="Z129" i="5" s="1"/>
  <c r="AA129" i="5" s="1"/>
  <c r="AP36" i="5" s="1"/>
  <c r="M136" i="8"/>
  <c r="N136" i="8" s="1"/>
  <c r="BF43" i="8" s="1"/>
  <c r="X123" i="5"/>
  <c r="Z123" i="5" s="1"/>
  <c r="AA123" i="5" s="1"/>
  <c r="AP30" i="5" s="1"/>
  <c r="Q77" i="8"/>
  <c r="AS77" i="8"/>
  <c r="AA213" i="8"/>
  <c r="AA232" i="8" s="1"/>
  <c r="T232" i="8"/>
  <c r="AY27" i="8"/>
  <c r="AY46" i="8" s="1"/>
  <c r="AR46" i="8"/>
  <c r="F46" i="9"/>
  <c r="AF38" i="7"/>
  <c r="AA46" i="9" s="1"/>
  <c r="F35" i="9"/>
  <c r="AF27" i="7"/>
  <c r="AA35" i="9" s="1"/>
  <c r="F43" i="9"/>
  <c r="AF35" i="7"/>
  <c r="AA43" i="9" s="1"/>
  <c r="AF37" i="7"/>
  <c r="AA45" i="9" s="1"/>
  <c r="F45" i="9"/>
  <c r="AO46" i="8"/>
  <c r="AF42" i="7"/>
  <c r="AA50" i="9" s="1"/>
  <c r="F50" i="9"/>
  <c r="X66" i="8"/>
  <c r="K67" i="6"/>
  <c r="L67" i="6" s="1"/>
  <c r="AB36" i="6" s="1"/>
  <c r="I160" i="6"/>
  <c r="K160" i="6" s="1"/>
  <c r="L160" i="6" s="1"/>
  <c r="AE36" i="6" s="1"/>
  <c r="X67" i="8"/>
  <c r="X71" i="8"/>
  <c r="X61" i="8"/>
  <c r="M59" i="8"/>
  <c r="N59" i="8" s="1"/>
  <c r="BD28" i="8" s="1"/>
  <c r="I183" i="8"/>
  <c r="X135" i="5"/>
  <c r="Z135" i="5" s="1"/>
  <c r="AA135" i="5" s="1"/>
  <c r="AP42" i="5" s="1"/>
  <c r="X60" i="8"/>
  <c r="M126" i="8"/>
  <c r="N126" i="8" s="1"/>
  <c r="BF33" i="8" s="1"/>
  <c r="X24" i="5"/>
  <c r="Z24" i="5" s="1"/>
  <c r="AA24" i="5" s="1"/>
  <c r="X55" i="5"/>
  <c r="Z55" i="5" s="1"/>
  <c r="AA55" i="5" s="1"/>
  <c r="I199" i="8"/>
  <c r="M75" i="8"/>
  <c r="N75" i="8" s="1"/>
  <c r="BD44" i="8" s="1"/>
  <c r="X97" i="5"/>
  <c r="Z97" i="5" s="1"/>
  <c r="AA97" i="5" s="1"/>
  <c r="AO35" i="5" s="1"/>
  <c r="X70" i="8"/>
  <c r="X117" i="5"/>
  <c r="Z117" i="5" s="1"/>
  <c r="AA117" i="5" s="1"/>
  <c r="X86" i="5"/>
  <c r="Z86" i="5" s="1"/>
  <c r="AA86" i="5" s="1"/>
  <c r="K197" i="5"/>
  <c r="X62" i="5"/>
  <c r="Z62" i="5" s="1"/>
  <c r="AA62" i="5" s="1"/>
  <c r="AN31" i="5" s="1"/>
  <c r="X31" i="5"/>
  <c r="Z31" i="5" s="1"/>
  <c r="AA31" i="5" s="1"/>
  <c r="AM31" i="5" s="1"/>
  <c r="X63" i="8"/>
  <c r="M67" i="8"/>
  <c r="N67" i="8" s="1"/>
  <c r="BD36" i="8" s="1"/>
  <c r="X72" i="8"/>
  <c r="K179" i="5"/>
  <c r="M55" i="5"/>
  <c r="N55" i="5" s="1"/>
  <c r="X75" i="8"/>
  <c r="M66" i="8"/>
  <c r="N66" i="8" s="1"/>
  <c r="BD35" i="8" s="1"/>
  <c r="I168" i="6"/>
  <c r="K168" i="6" s="1"/>
  <c r="L168" i="6" s="1"/>
  <c r="AE44" i="6" s="1"/>
  <c r="K75" i="6"/>
  <c r="L75" i="6" s="1"/>
  <c r="AB44" i="6" s="1"/>
  <c r="X58" i="8"/>
  <c r="X42" i="5"/>
  <c r="Z42" i="5" s="1"/>
  <c r="AA42" i="5" s="1"/>
  <c r="AM42" i="5" s="1"/>
  <c r="X73" i="5"/>
  <c r="Z73" i="5" s="1"/>
  <c r="AA73" i="5" s="1"/>
  <c r="AN42" i="5" s="1"/>
  <c r="X61" i="5"/>
  <c r="Z61" i="5" s="1"/>
  <c r="AA61" i="5" s="1"/>
  <c r="AN30" i="5" s="1"/>
  <c r="X68" i="8"/>
  <c r="X59" i="8"/>
  <c r="X69" i="8"/>
  <c r="X66" i="5"/>
  <c r="Z66" i="5" s="1"/>
  <c r="AA66" i="5" s="1"/>
  <c r="AN35" i="5" s="1"/>
  <c r="K187" i="5"/>
  <c r="V46" i="7"/>
  <c r="I165" i="6"/>
  <c r="K165" i="6" s="1"/>
  <c r="L165" i="6" s="1"/>
  <c r="AE41" i="6" s="1"/>
  <c r="K72" i="6"/>
  <c r="L72" i="6" s="1"/>
  <c r="AB41" i="6" s="1"/>
  <c r="K199" i="5"/>
  <c r="K194" i="5"/>
  <c r="M133" i="8"/>
  <c r="N133" i="8" s="1"/>
  <c r="BF40" i="8" s="1"/>
  <c r="X122" i="5"/>
  <c r="Z122" i="5" s="1"/>
  <c r="AA122" i="5" s="1"/>
  <c r="AP29" i="5" s="1"/>
  <c r="M216" i="8"/>
  <c r="N216" i="8" s="1"/>
  <c r="BI30" i="8" s="1"/>
  <c r="X72" i="5"/>
  <c r="Z72" i="5" s="1"/>
  <c r="AA72" i="5" s="1"/>
  <c r="AN41" i="5" s="1"/>
  <c r="X41" i="5"/>
  <c r="Z41" i="5" s="1"/>
  <c r="AA41" i="5" s="1"/>
  <c r="AM41" i="5" s="1"/>
  <c r="K69" i="6"/>
  <c r="L69" i="6" s="1"/>
  <c r="AB38" i="6" s="1"/>
  <c r="I162" i="6"/>
  <c r="K162" i="6" s="1"/>
  <c r="L162" i="6" s="1"/>
  <c r="AE38" i="6" s="1"/>
  <c r="AL24" i="5"/>
  <c r="M74" i="8"/>
  <c r="N74" i="8" s="1"/>
  <c r="BD43" i="8" s="1"/>
  <c r="I198" i="8"/>
  <c r="X65" i="8"/>
  <c r="M61" i="8"/>
  <c r="N61" i="8" s="1"/>
  <c r="BD30" i="8" s="1"/>
  <c r="K71" i="6"/>
  <c r="L71" i="6" s="1"/>
  <c r="AB40" i="6" s="1"/>
  <c r="I164" i="6"/>
  <c r="K164" i="6" s="1"/>
  <c r="L164" i="6" s="1"/>
  <c r="AE40" i="6" s="1"/>
  <c r="M58" i="8"/>
  <c r="N58" i="8" s="1"/>
  <c r="BD27" i="8" s="1"/>
  <c r="I182" i="8"/>
  <c r="K184" i="5"/>
  <c r="BI24" i="8"/>
  <c r="I193" i="8"/>
  <c r="M69" i="8"/>
  <c r="N69" i="8" s="1"/>
  <c r="BD38" i="8" s="1"/>
  <c r="X74" i="5"/>
  <c r="Z74" i="5" s="1"/>
  <c r="AA74" i="5" s="1"/>
  <c r="AN43" i="5" s="1"/>
  <c r="X43" i="5"/>
  <c r="Z43" i="5" s="1"/>
  <c r="AA43" i="5" s="1"/>
  <c r="AM43" i="5" s="1"/>
  <c r="X69" i="5"/>
  <c r="Z69" i="5" s="1"/>
  <c r="AA69" i="5" s="1"/>
  <c r="AN38" i="5" s="1"/>
  <c r="X39" i="5"/>
  <c r="Z39" i="5" s="1"/>
  <c r="AA39" i="5" s="1"/>
  <c r="AM39" i="5" s="1"/>
  <c r="M71" i="8"/>
  <c r="N71" i="8" s="1"/>
  <c r="BD40" i="8" s="1"/>
  <c r="X68" i="5"/>
  <c r="Z68" i="5" s="1"/>
  <c r="AA68" i="5" s="1"/>
  <c r="AN37" i="5" s="1"/>
  <c r="X37" i="5"/>
  <c r="Z37" i="5" s="1"/>
  <c r="AA37" i="5" s="1"/>
  <c r="AM37" i="5" s="1"/>
  <c r="K59" i="6"/>
  <c r="L59" i="6" s="1"/>
  <c r="AB28" i="6" s="1"/>
  <c r="BF24" i="8"/>
  <c r="X44" i="5"/>
  <c r="Z44" i="5" s="1"/>
  <c r="AA44" i="5" s="1"/>
  <c r="AM44" i="5" s="1"/>
  <c r="X75" i="5"/>
  <c r="Z75" i="5" s="1"/>
  <c r="AA75" i="5" s="1"/>
  <c r="AN44" i="5" s="1"/>
  <c r="K62" i="6"/>
  <c r="L62" i="6" s="1"/>
  <c r="AB31" i="6" s="1"/>
  <c r="I155" i="6"/>
  <c r="K155" i="6" s="1"/>
  <c r="L155" i="6" s="1"/>
  <c r="AE31" i="6" s="1"/>
  <c r="X74" i="8"/>
  <c r="M224" i="8"/>
  <c r="N224" i="8" s="1"/>
  <c r="BI38" i="8" s="1"/>
  <c r="Y179" i="8"/>
  <c r="X33" i="5"/>
  <c r="Z33" i="5" s="1"/>
  <c r="AA33" i="5" s="1"/>
  <c r="AM33" i="5" s="1"/>
  <c r="X64" i="5"/>
  <c r="Z64" i="5" s="1"/>
  <c r="AA64" i="5" s="1"/>
  <c r="AN33" i="5" s="1"/>
  <c r="M60" i="8"/>
  <c r="N60" i="8" s="1"/>
  <c r="BD29" i="8" s="1"/>
  <c r="X62" i="8"/>
  <c r="K68" i="6"/>
  <c r="L68" i="6" s="1"/>
  <c r="AB37" i="6" s="1"/>
  <c r="I161" i="6"/>
  <c r="K161" i="6" s="1"/>
  <c r="L161" i="6" s="1"/>
  <c r="AE37" i="6" s="1"/>
  <c r="M72" i="8"/>
  <c r="N72" i="8" s="1"/>
  <c r="BD41" i="8" s="1"/>
  <c r="I196" i="8"/>
  <c r="K196" i="5"/>
  <c r="M73" i="8"/>
  <c r="N73" i="8" s="1"/>
  <c r="BD42" i="8" s="1"/>
  <c r="K63" i="6"/>
  <c r="L63" i="6" s="1"/>
  <c r="AB32" i="6" s="1"/>
  <c r="X179" i="8"/>
  <c r="BU24" i="8"/>
  <c r="I189" i="8"/>
  <c r="M65" i="8"/>
  <c r="N65" i="8" s="1"/>
  <c r="BD34" i="8" s="1"/>
  <c r="M70" i="8"/>
  <c r="N70" i="8" s="1"/>
  <c r="BD39" i="8" s="1"/>
  <c r="M226" i="8"/>
  <c r="N226" i="8" s="1"/>
  <c r="BI40" i="8" s="1"/>
  <c r="M215" i="8"/>
  <c r="N215" i="8" s="1"/>
  <c r="BI29" i="8" s="1"/>
  <c r="X64" i="8"/>
  <c r="X32" i="5"/>
  <c r="Z32" i="5" s="1"/>
  <c r="AA32" i="5" s="1"/>
  <c r="AM32" i="5" s="1"/>
  <c r="X59" i="5"/>
  <c r="Z59" i="5" s="1"/>
  <c r="AA59" i="5" s="1"/>
  <c r="AN28" i="5" s="1"/>
  <c r="AG24" i="5"/>
  <c r="K74" i="6"/>
  <c r="L74" i="6" s="1"/>
  <c r="AB43" i="6" s="1"/>
  <c r="K191" i="5"/>
  <c r="M220" i="8"/>
  <c r="N220" i="8" s="1"/>
  <c r="BI34" i="8" s="1"/>
  <c r="M62" i="8"/>
  <c r="N62" i="8" s="1"/>
  <c r="BD31" i="8" s="1"/>
  <c r="I186" i="8"/>
  <c r="M68" i="8"/>
  <c r="N68" i="8" s="1"/>
  <c r="BD37" i="8" s="1"/>
  <c r="X121" i="5"/>
  <c r="Z121" i="5" s="1"/>
  <c r="AA121" i="5" s="1"/>
  <c r="AP28" i="5" s="1"/>
  <c r="K182" i="5"/>
  <c r="M63" i="8"/>
  <c r="N63" i="8" s="1"/>
  <c r="BD32" i="8" s="1"/>
  <c r="X58" i="5"/>
  <c r="Z58" i="5" s="1"/>
  <c r="AA58" i="5" s="1"/>
  <c r="AN27" i="5" s="1"/>
  <c r="X27" i="5"/>
  <c r="Z27" i="5" s="1"/>
  <c r="AA27" i="5" s="1"/>
  <c r="AM27" i="5" s="1"/>
  <c r="K188" i="5"/>
  <c r="M289" i="8"/>
  <c r="N289" i="8" s="1"/>
  <c r="BK41" i="8" s="1"/>
  <c r="K66" i="6"/>
  <c r="L66" i="6" s="1"/>
  <c r="AB35" i="6" s="1"/>
  <c r="K185" i="5"/>
  <c r="K192" i="5"/>
  <c r="X73" i="8"/>
  <c r="BY24" i="8"/>
  <c r="AB179" i="8"/>
  <c r="X36" i="5"/>
  <c r="Z36" i="5" s="1"/>
  <c r="AA36" i="5" s="1"/>
  <c r="AM36" i="5" s="1"/>
  <c r="X67" i="5"/>
  <c r="Z67" i="5" s="1"/>
  <c r="AA67" i="5" s="1"/>
  <c r="AN36" i="5" s="1"/>
  <c r="K190" i="5"/>
  <c r="M64" i="8"/>
  <c r="N64" i="8" s="1"/>
  <c r="BD33" i="8" s="1"/>
  <c r="X65" i="5"/>
  <c r="Z65" i="5" s="1"/>
  <c r="AA65" i="5" s="1"/>
  <c r="AN34" i="5" s="1"/>
  <c r="N46" i="5" l="1"/>
  <c r="AD46" i="5"/>
  <c r="I152" i="6"/>
  <c r="K152" i="6" s="1"/>
  <c r="L152" i="6" s="1"/>
  <c r="AE28" i="6" s="1"/>
  <c r="I159" i="6"/>
  <c r="K159" i="6" s="1"/>
  <c r="L159" i="6" s="1"/>
  <c r="AE35" i="6" s="1"/>
  <c r="I157" i="6"/>
  <c r="K157" i="6" s="1"/>
  <c r="L157" i="6" s="1"/>
  <c r="AE33" i="6" s="1"/>
  <c r="M260" i="8"/>
  <c r="N260" i="8" s="1"/>
  <c r="BJ43" i="8" s="1"/>
  <c r="CE24" i="8"/>
  <c r="M244" i="8"/>
  <c r="N244" i="8" s="1"/>
  <c r="BJ27" i="8" s="1"/>
  <c r="V193" i="8"/>
  <c r="S190" i="8"/>
  <c r="Z190" i="8" s="1"/>
  <c r="T193" i="8"/>
  <c r="AA193" i="8" s="1"/>
  <c r="CE38" i="8" s="1"/>
  <c r="AD24" i="7"/>
  <c r="AF24" i="7" s="1"/>
  <c r="AK29" i="6"/>
  <c r="E37" i="9" s="1"/>
  <c r="V182" i="8"/>
  <c r="V195" i="8"/>
  <c r="I167" i="6"/>
  <c r="K167" i="6" s="1"/>
  <c r="L167" i="6" s="1"/>
  <c r="AE43" i="6" s="1"/>
  <c r="AK43" i="6" s="1"/>
  <c r="R46" i="8"/>
  <c r="I163" i="6"/>
  <c r="K163" i="6" s="1"/>
  <c r="L163" i="6" s="1"/>
  <c r="AE39" i="6" s="1"/>
  <c r="AK39" i="6" s="1"/>
  <c r="Q188" i="8"/>
  <c r="M121" i="5"/>
  <c r="N121" i="5" s="1"/>
  <c r="AG28" i="5" s="1"/>
  <c r="Q46" i="8"/>
  <c r="BV25" i="8"/>
  <c r="U191" i="8"/>
  <c r="AB191" i="8" s="1"/>
  <c r="CF36" i="8" s="1"/>
  <c r="M124" i="5"/>
  <c r="N124" i="5" s="1"/>
  <c r="AG31" i="5" s="1"/>
  <c r="AQ25" i="5"/>
  <c r="AS25" i="5" s="1"/>
  <c r="X53" i="9" s="1"/>
  <c r="U46" i="8"/>
  <c r="M127" i="5"/>
  <c r="N127" i="5" s="1"/>
  <c r="AG34" i="5" s="1"/>
  <c r="M257" i="8"/>
  <c r="N257" i="8" s="1"/>
  <c r="BJ40" i="8" s="1"/>
  <c r="V198" i="8"/>
  <c r="BZ43" i="8" s="1"/>
  <c r="M286" i="5"/>
  <c r="N286" i="5" s="1"/>
  <c r="AL38" i="5" s="1"/>
  <c r="I156" i="6"/>
  <c r="K156" i="6" s="1"/>
  <c r="L156" i="6" s="1"/>
  <c r="AE32" i="6" s="1"/>
  <c r="I158" i="6"/>
  <c r="K158" i="6" s="1"/>
  <c r="L158" i="6" s="1"/>
  <c r="AE34" i="6" s="1"/>
  <c r="AK34" i="6" s="1"/>
  <c r="AM34" i="6" s="1"/>
  <c r="Z42" i="9" s="1"/>
  <c r="AD46" i="6"/>
  <c r="S46" i="8"/>
  <c r="U196" i="8"/>
  <c r="T189" i="8"/>
  <c r="AA189" i="8" s="1"/>
  <c r="CE34" i="8" s="1"/>
  <c r="V197" i="8"/>
  <c r="BZ42" i="8" s="1"/>
  <c r="M255" i="8"/>
  <c r="N255" i="8" s="1"/>
  <c r="BJ38" i="8" s="1"/>
  <c r="P185" i="8"/>
  <c r="R194" i="8"/>
  <c r="V185" i="8"/>
  <c r="BZ30" i="8" s="1"/>
  <c r="Q184" i="8"/>
  <c r="M252" i="8"/>
  <c r="N252" i="8" s="1"/>
  <c r="BJ35" i="8" s="1"/>
  <c r="M248" i="8"/>
  <c r="N248" i="8" s="1"/>
  <c r="BJ31" i="8" s="1"/>
  <c r="I192" i="8"/>
  <c r="M192" i="8" s="1"/>
  <c r="N192" i="8" s="1"/>
  <c r="BH37" i="8" s="1"/>
  <c r="BY25" i="8"/>
  <c r="BW25" i="8"/>
  <c r="R195" i="8"/>
  <c r="Y195" i="8" s="1"/>
  <c r="U193" i="8"/>
  <c r="AB193" i="8" s="1"/>
  <c r="CF38" i="8" s="1"/>
  <c r="P186" i="8"/>
  <c r="W186" i="8" s="1"/>
  <c r="CA31" i="8" s="1"/>
  <c r="U186" i="8"/>
  <c r="AB186" i="8" s="1"/>
  <c r="CF31" i="8" s="1"/>
  <c r="Z179" i="8"/>
  <c r="CD24" i="8" s="1"/>
  <c r="M131" i="5"/>
  <c r="N131" i="5" s="1"/>
  <c r="AG38" i="5" s="1"/>
  <c r="R197" i="8"/>
  <c r="Y197" i="8" s="1"/>
  <c r="CC42" i="8" s="1"/>
  <c r="V196" i="8"/>
  <c r="BZ41" i="8" s="1"/>
  <c r="T196" i="8"/>
  <c r="M123" i="5"/>
  <c r="N123" i="5" s="1"/>
  <c r="AG30" i="5" s="1"/>
  <c r="V194" i="8"/>
  <c r="BZ39" i="8" s="1"/>
  <c r="Q185" i="8"/>
  <c r="X185" i="8" s="1"/>
  <c r="CB30" i="8" s="1"/>
  <c r="R182" i="8"/>
  <c r="Y182" i="8" s="1"/>
  <c r="M279" i="5"/>
  <c r="N279" i="5" s="1"/>
  <c r="AL31" i="5" s="1"/>
  <c r="L263" i="6"/>
  <c r="M133" i="5"/>
  <c r="N133" i="5" s="1"/>
  <c r="AG40" i="5" s="1"/>
  <c r="J199" i="8"/>
  <c r="M134" i="8"/>
  <c r="N134" i="8" s="1"/>
  <c r="BF41" i="8" s="1"/>
  <c r="J186" i="8"/>
  <c r="M186" i="8" s="1"/>
  <c r="N186" i="8" s="1"/>
  <c r="BH31" i="8" s="1"/>
  <c r="BP31" i="8" s="1"/>
  <c r="T195" i="8"/>
  <c r="AA195" i="8" s="1"/>
  <c r="Q195" i="8"/>
  <c r="X195" i="8" s="1"/>
  <c r="CB40" i="8" s="1"/>
  <c r="I188" i="8"/>
  <c r="M188" i="8" s="1"/>
  <c r="N188" i="8" s="1"/>
  <c r="BH33" i="8" s="1"/>
  <c r="BP33" i="8" s="1"/>
  <c r="BR33" i="8" s="1"/>
  <c r="AB41" i="9" s="1"/>
  <c r="M277" i="5"/>
  <c r="N277" i="5" s="1"/>
  <c r="AL29" i="5" s="1"/>
  <c r="Q191" i="8"/>
  <c r="X191" i="8" s="1"/>
  <c r="CB36" i="8" s="1"/>
  <c r="M199" i="8"/>
  <c r="N199" i="8" s="1"/>
  <c r="BH44" i="8" s="1"/>
  <c r="I195" i="8"/>
  <c r="M195" i="8" s="1"/>
  <c r="N195" i="8" s="1"/>
  <c r="BH40" i="8" s="1"/>
  <c r="BP40" i="8" s="1"/>
  <c r="BU25" i="8"/>
  <c r="M136" i="5"/>
  <c r="N136" i="5" s="1"/>
  <c r="AG43" i="5" s="1"/>
  <c r="P198" i="8"/>
  <c r="W198" i="8" s="1"/>
  <c r="CA43" i="8" s="1"/>
  <c r="R198" i="8"/>
  <c r="Y198" i="8" s="1"/>
  <c r="CC43" i="8" s="1"/>
  <c r="I190" i="8"/>
  <c r="M190" i="8" s="1"/>
  <c r="N190" i="8" s="1"/>
  <c r="BH35" i="8" s="1"/>
  <c r="BP35" i="8" s="1"/>
  <c r="R186" i="8"/>
  <c r="Y186" i="8" s="1"/>
  <c r="CC31" i="8" s="1"/>
  <c r="AM29" i="18"/>
  <c r="AO29" i="18" s="1"/>
  <c r="Y35" i="9" s="1"/>
  <c r="I191" i="8"/>
  <c r="M191" i="8" s="1"/>
  <c r="N191" i="8" s="1"/>
  <c r="BH36" i="8" s="1"/>
  <c r="BP36" i="8" s="1"/>
  <c r="G44" i="9" s="1"/>
  <c r="I197" i="8"/>
  <c r="M197" i="8" s="1"/>
  <c r="N197" i="8" s="1"/>
  <c r="BH42" i="8" s="1"/>
  <c r="F40" i="9"/>
  <c r="N110" i="18"/>
  <c r="P182" i="8"/>
  <c r="W182" i="8" s="1"/>
  <c r="CA27" i="8" s="1"/>
  <c r="S191" i="8"/>
  <c r="Z191" i="8" s="1"/>
  <c r="CD36" i="8" s="1"/>
  <c r="Q198" i="8"/>
  <c r="X198" i="8" s="1"/>
  <c r="CB43" i="8" s="1"/>
  <c r="Q186" i="8"/>
  <c r="X186" i="8" s="1"/>
  <c r="I184" i="8"/>
  <c r="AF48" i="18"/>
  <c r="AM46" i="18"/>
  <c r="AO46" i="18" s="1"/>
  <c r="Y52" i="9" s="1"/>
  <c r="AM44" i="18"/>
  <c r="AO44" i="18" s="1"/>
  <c r="Y50" i="9" s="1"/>
  <c r="V187" i="8"/>
  <c r="BZ32" i="8" s="1"/>
  <c r="AM31" i="18"/>
  <c r="AO31" i="18" s="1"/>
  <c r="Y37" i="9" s="1"/>
  <c r="S182" i="8"/>
  <c r="Z182" i="8" s="1"/>
  <c r="AM41" i="18"/>
  <c r="D47" i="9" s="1"/>
  <c r="AM33" i="18"/>
  <c r="AO33" i="18" s="1"/>
  <c r="Y39" i="9" s="1"/>
  <c r="I185" i="8"/>
  <c r="M185" i="8" s="1"/>
  <c r="N185" i="8" s="1"/>
  <c r="BH30" i="8" s="1"/>
  <c r="J182" i="8"/>
  <c r="M182" i="8" s="1"/>
  <c r="N182" i="8" s="1"/>
  <c r="BH27" i="8" s="1"/>
  <c r="M285" i="5"/>
  <c r="N285" i="5" s="1"/>
  <c r="AL37" i="5" s="1"/>
  <c r="N141" i="18"/>
  <c r="AM35" i="18"/>
  <c r="AO35" i="18" s="1"/>
  <c r="Y41" i="9" s="1"/>
  <c r="AM37" i="18"/>
  <c r="D43" i="9" s="1"/>
  <c r="AM32" i="18"/>
  <c r="AO32" i="18" s="1"/>
  <c r="Y38" i="9" s="1"/>
  <c r="W179" i="8"/>
  <c r="CA24" i="8" s="1"/>
  <c r="M280" i="5"/>
  <c r="N280" i="5" s="1"/>
  <c r="AL32" i="5" s="1"/>
  <c r="S193" i="8"/>
  <c r="Z193" i="8" s="1"/>
  <c r="CD38" i="8" s="1"/>
  <c r="P194" i="8"/>
  <c r="W194" i="8" s="1"/>
  <c r="CA39" i="8" s="1"/>
  <c r="AK48" i="18"/>
  <c r="AM45" i="18"/>
  <c r="AO45" i="18" s="1"/>
  <c r="Y51" i="9" s="1"/>
  <c r="T184" i="8"/>
  <c r="AA184" i="8" s="1"/>
  <c r="CE29" i="8" s="1"/>
  <c r="AA48" i="18"/>
  <c r="N234" i="18"/>
  <c r="V184" i="8"/>
  <c r="BZ29" i="8" s="1"/>
  <c r="M253" i="8"/>
  <c r="N253" i="8" s="1"/>
  <c r="BJ36" i="8" s="1"/>
  <c r="AM40" i="18"/>
  <c r="D46" i="9" s="1"/>
  <c r="V190" i="8"/>
  <c r="BZ35" i="8" s="1"/>
  <c r="I187" i="8"/>
  <c r="M187" i="8" s="1"/>
  <c r="N187" i="8" s="1"/>
  <c r="BH32" i="8" s="1"/>
  <c r="BP32" i="8" s="1"/>
  <c r="BX25" i="8"/>
  <c r="R190" i="8"/>
  <c r="AB294" i="8"/>
  <c r="BZ40" i="8"/>
  <c r="AM34" i="18"/>
  <c r="D40" i="9" s="1"/>
  <c r="AM43" i="18"/>
  <c r="D49" i="9" s="1"/>
  <c r="AM38" i="18"/>
  <c r="AO38" i="18" s="1"/>
  <c r="Y44" i="9" s="1"/>
  <c r="AM39" i="18"/>
  <c r="AO39" i="18" s="1"/>
  <c r="Y45" i="9" s="1"/>
  <c r="P183" i="8"/>
  <c r="W183" i="8" s="1"/>
  <c r="CA28" i="8" s="1"/>
  <c r="Y294" i="8"/>
  <c r="AM42" i="18"/>
  <c r="D48" i="9" s="1"/>
  <c r="T187" i="8"/>
  <c r="BX32" i="8" s="1"/>
  <c r="P184" i="8"/>
  <c r="W184" i="8" s="1"/>
  <c r="CA29" i="8" s="1"/>
  <c r="S183" i="8"/>
  <c r="Z183" i="8" s="1"/>
  <c r="CD28" i="8" s="1"/>
  <c r="AM30" i="18"/>
  <c r="AO30" i="18" s="1"/>
  <c r="Y36" i="9" s="1"/>
  <c r="AM36" i="18"/>
  <c r="D42" i="9" s="1"/>
  <c r="AO37" i="18"/>
  <c r="Y43" i="9" s="1"/>
  <c r="U185" i="8"/>
  <c r="J184" i="8"/>
  <c r="M184" i="8" s="1"/>
  <c r="N184" i="8" s="1"/>
  <c r="M283" i="5"/>
  <c r="N283" i="5" s="1"/>
  <c r="AL35" i="5" s="1"/>
  <c r="T198" i="8"/>
  <c r="AA198" i="8" s="1"/>
  <c r="CE43" i="8" s="1"/>
  <c r="BV32" i="8"/>
  <c r="M282" i="5"/>
  <c r="N282" i="5" s="1"/>
  <c r="AL34" i="5" s="1"/>
  <c r="U199" i="8"/>
  <c r="AB199" i="8" s="1"/>
  <c r="CF44" i="8" s="1"/>
  <c r="P187" i="8"/>
  <c r="P192" i="8"/>
  <c r="W192" i="8" s="1"/>
  <c r="CA37" i="8" s="1"/>
  <c r="AI48" i="18"/>
  <c r="Q192" i="8"/>
  <c r="X192" i="8" s="1"/>
  <c r="CB37" i="8" s="1"/>
  <c r="U198" i="8"/>
  <c r="AB198" i="8" s="1"/>
  <c r="CF43" i="8" s="1"/>
  <c r="N203" i="18"/>
  <c r="T194" i="8"/>
  <c r="AA194" i="8" s="1"/>
  <c r="CE39" i="8" s="1"/>
  <c r="S194" i="8"/>
  <c r="Z194" i="8" s="1"/>
  <c r="CD39" i="8" s="1"/>
  <c r="BZ38" i="8"/>
  <c r="AL48" i="18"/>
  <c r="AE48" i="18"/>
  <c r="M101" i="8"/>
  <c r="N101" i="8" s="1"/>
  <c r="BE39" i="8" s="1"/>
  <c r="AM27" i="18"/>
  <c r="AD48" i="18"/>
  <c r="T192" i="8"/>
  <c r="AA192" i="8" s="1"/>
  <c r="CE37" i="8" s="1"/>
  <c r="AA79" i="18"/>
  <c r="CC32" i="8"/>
  <c r="M290" i="5"/>
  <c r="N290" i="5" s="1"/>
  <c r="AL42" i="5" s="1"/>
  <c r="R185" i="8"/>
  <c r="Y185" i="8" s="1"/>
  <c r="CC30" i="8" s="1"/>
  <c r="AJ48" i="18"/>
  <c r="U184" i="8"/>
  <c r="AB184" i="8" s="1"/>
  <c r="CF29" i="8" s="1"/>
  <c r="U183" i="8"/>
  <c r="AB183" i="8" s="1"/>
  <c r="CF28" i="8" s="1"/>
  <c r="R183" i="8"/>
  <c r="Y183" i="8" s="1"/>
  <c r="CC28" i="8" s="1"/>
  <c r="Y139" i="8"/>
  <c r="S192" i="8"/>
  <c r="Z192" i="8" s="1"/>
  <c r="CD37" i="8" s="1"/>
  <c r="R192" i="8"/>
  <c r="Y192" i="8" s="1"/>
  <c r="CC37" i="8" s="1"/>
  <c r="R191" i="8"/>
  <c r="BV36" i="8" s="1"/>
  <c r="Z139" i="8"/>
  <c r="T185" i="8"/>
  <c r="AA185" i="8" s="1"/>
  <c r="CE30" i="8" s="1"/>
  <c r="P199" i="8"/>
  <c r="W199" i="8" s="1"/>
  <c r="CA44" i="8" s="1"/>
  <c r="U187" i="8"/>
  <c r="AB187" i="8" s="1"/>
  <c r="CF32" i="8" s="1"/>
  <c r="Q199" i="8"/>
  <c r="X199" i="8" s="1"/>
  <c r="CB44" i="8" s="1"/>
  <c r="S187" i="8"/>
  <c r="Z187" i="8" s="1"/>
  <c r="CD32" i="8" s="1"/>
  <c r="S185" i="8"/>
  <c r="Z185" i="8" s="1"/>
  <c r="CD30" i="8" s="1"/>
  <c r="T188" i="8"/>
  <c r="AA188" i="8" s="1"/>
  <c r="CE33" i="8" s="1"/>
  <c r="M132" i="8"/>
  <c r="N132" i="8" s="1"/>
  <c r="BF39" i="8" s="1"/>
  <c r="S189" i="8"/>
  <c r="Z189" i="8" s="1"/>
  <c r="CD34" i="8" s="1"/>
  <c r="U194" i="8"/>
  <c r="AB194" i="8" s="1"/>
  <c r="CF39" i="8" s="1"/>
  <c r="P188" i="8"/>
  <c r="W188" i="8" s="1"/>
  <c r="CA33" i="8" s="1"/>
  <c r="S188" i="8"/>
  <c r="Z188" i="8" s="1"/>
  <c r="CD33" i="8" s="1"/>
  <c r="P197" i="8"/>
  <c r="W197" i="8" s="1"/>
  <c r="CA42" i="8" s="1"/>
  <c r="S196" i="8"/>
  <c r="Z196" i="8" s="1"/>
  <c r="CD41" i="8" s="1"/>
  <c r="R188" i="8"/>
  <c r="Y188" i="8" s="1"/>
  <c r="CC33" i="8" s="1"/>
  <c r="S195" i="8"/>
  <c r="Z195" i="8" s="1"/>
  <c r="CD40" i="8" s="1"/>
  <c r="V263" i="8"/>
  <c r="R139" i="8"/>
  <c r="U192" i="8"/>
  <c r="AB192" i="8" s="1"/>
  <c r="CF37" i="8" s="1"/>
  <c r="T190" i="8"/>
  <c r="AA190" i="8" s="1"/>
  <c r="CE35" i="8" s="1"/>
  <c r="S198" i="8"/>
  <c r="Z198" i="8" s="1"/>
  <c r="CD43" i="8" s="1"/>
  <c r="Q189" i="8"/>
  <c r="X189" i="8" s="1"/>
  <c r="CB34" i="8" s="1"/>
  <c r="R193" i="8"/>
  <c r="Y193" i="8" s="1"/>
  <c r="CC38" i="8" s="1"/>
  <c r="S184" i="8"/>
  <c r="Z184" i="8" s="1"/>
  <c r="CD29" i="8" s="1"/>
  <c r="Q196" i="8"/>
  <c r="BU41" i="8" s="1"/>
  <c r="S139" i="8"/>
  <c r="R184" i="8"/>
  <c r="Y184" i="8" s="1"/>
  <c r="CC29" i="8" s="1"/>
  <c r="W108" i="8"/>
  <c r="V139" i="8"/>
  <c r="Y77" i="8"/>
  <c r="V192" i="8"/>
  <c r="BZ37" i="8" s="1"/>
  <c r="X139" i="8"/>
  <c r="V108" i="8"/>
  <c r="AA139" i="8"/>
  <c r="W77" i="8"/>
  <c r="AB77" i="8"/>
  <c r="BZ27" i="8"/>
  <c r="Z263" i="8"/>
  <c r="AB139" i="8"/>
  <c r="AA77" i="8"/>
  <c r="S199" i="8"/>
  <c r="Z199" i="8" s="1"/>
  <c r="CD44" i="8" s="1"/>
  <c r="Y89" i="8"/>
  <c r="Y108" i="8" s="1"/>
  <c r="R108" i="8"/>
  <c r="AA263" i="8"/>
  <c r="AA108" i="8"/>
  <c r="T191" i="8"/>
  <c r="AA191" i="8" s="1"/>
  <c r="CE36" i="8" s="1"/>
  <c r="T182" i="8"/>
  <c r="BX27" i="8" s="1"/>
  <c r="BE27" i="8"/>
  <c r="T263" i="8"/>
  <c r="P139" i="8"/>
  <c r="Q139" i="8"/>
  <c r="Z77" i="8"/>
  <c r="P195" i="8"/>
  <c r="W195" i="8" s="1"/>
  <c r="CA40" i="8" s="1"/>
  <c r="T183" i="8"/>
  <c r="AA183" i="8" s="1"/>
  <c r="CE28" i="8" s="1"/>
  <c r="Q183" i="8"/>
  <c r="X183" i="8" s="1"/>
  <c r="CB28" i="8" s="1"/>
  <c r="R263" i="8"/>
  <c r="Q108" i="8"/>
  <c r="X263" i="8"/>
  <c r="W139" i="8"/>
  <c r="T139" i="8"/>
  <c r="T197" i="8"/>
  <c r="AA197" i="8" s="1"/>
  <c r="CE42" i="8" s="1"/>
  <c r="R189" i="8"/>
  <c r="Y189" i="8" s="1"/>
  <c r="CC34" i="8" s="1"/>
  <c r="Q197" i="8"/>
  <c r="X197" i="8" s="1"/>
  <c r="CB42" i="8" s="1"/>
  <c r="AB89" i="8"/>
  <c r="AB108" i="8" s="1"/>
  <c r="U108" i="8"/>
  <c r="Y263" i="8"/>
  <c r="X108" i="8"/>
  <c r="Q187" i="8"/>
  <c r="X187" i="8" s="1"/>
  <c r="CB32" i="8" s="1"/>
  <c r="AA294" i="8"/>
  <c r="P191" i="8"/>
  <c r="W191" i="8" s="1"/>
  <c r="CA36" i="8" s="1"/>
  <c r="R199" i="8"/>
  <c r="BV44" i="8" s="1"/>
  <c r="U188" i="8"/>
  <c r="BY33" i="8" s="1"/>
  <c r="Q182" i="8"/>
  <c r="X182" i="8" s="1"/>
  <c r="CB27" i="8" s="1"/>
  <c r="U263" i="8"/>
  <c r="P263" i="8"/>
  <c r="U139" i="8"/>
  <c r="Z294" i="8"/>
  <c r="Q190" i="8"/>
  <c r="X190" i="8" s="1"/>
  <c r="CB35" i="8" s="1"/>
  <c r="V183" i="8"/>
  <c r="BZ28" i="8" s="1"/>
  <c r="U197" i="8"/>
  <c r="AB197" i="8" s="1"/>
  <c r="CF42" i="8" s="1"/>
  <c r="P189" i="8"/>
  <c r="W189" i="8" s="1"/>
  <c r="CA34" i="8" s="1"/>
  <c r="S197" i="8"/>
  <c r="Z197" i="8" s="1"/>
  <c r="CD42" i="8" s="1"/>
  <c r="AB263" i="8"/>
  <c r="L232" i="6"/>
  <c r="Z89" i="8"/>
  <c r="Z108" i="8" s="1"/>
  <c r="S108" i="8"/>
  <c r="W263" i="8"/>
  <c r="P108" i="8"/>
  <c r="T108" i="8"/>
  <c r="M131" i="8"/>
  <c r="N131" i="8" s="1"/>
  <c r="BF38" i="8" s="1"/>
  <c r="R196" i="8"/>
  <c r="Y196" i="8" s="1"/>
  <c r="CC41" i="8" s="1"/>
  <c r="P196" i="8"/>
  <c r="W196" i="8" s="1"/>
  <c r="CA41" i="8" s="1"/>
  <c r="BZ31" i="8"/>
  <c r="S263" i="8"/>
  <c r="AG46" i="6"/>
  <c r="Q263" i="8"/>
  <c r="M246" i="8"/>
  <c r="N246" i="8" s="1"/>
  <c r="BJ29" i="8" s="1"/>
  <c r="M259" i="8"/>
  <c r="N259" i="8" s="1"/>
  <c r="BJ42" i="8" s="1"/>
  <c r="W294" i="8"/>
  <c r="X294" i="8"/>
  <c r="M254" i="8"/>
  <c r="N254" i="8" s="1"/>
  <c r="BJ37" i="8" s="1"/>
  <c r="M245" i="8"/>
  <c r="N245" i="8" s="1"/>
  <c r="BJ28" i="8" s="1"/>
  <c r="BZ36" i="8"/>
  <c r="M250" i="8"/>
  <c r="N250" i="8" s="1"/>
  <c r="BJ33" i="8" s="1"/>
  <c r="M256" i="8"/>
  <c r="N256" i="8" s="1"/>
  <c r="BJ39" i="8" s="1"/>
  <c r="BZ33" i="8"/>
  <c r="M258" i="8"/>
  <c r="N258" i="8" s="1"/>
  <c r="BJ41" i="8" s="1"/>
  <c r="M251" i="8"/>
  <c r="N251" i="8" s="1"/>
  <c r="BJ34" i="8" s="1"/>
  <c r="AK24" i="5"/>
  <c r="AK46" i="5" s="1"/>
  <c r="N263" i="5"/>
  <c r="M247" i="8"/>
  <c r="N247" i="8" s="1"/>
  <c r="BJ30" i="8" s="1"/>
  <c r="AG26" i="18"/>
  <c r="AG48" i="18" s="1"/>
  <c r="CE40" i="8"/>
  <c r="CA38" i="8"/>
  <c r="S294" i="8"/>
  <c r="BZ44" i="8"/>
  <c r="CF40" i="8"/>
  <c r="R294" i="8"/>
  <c r="V294" i="8"/>
  <c r="U294" i="8"/>
  <c r="Q294" i="8"/>
  <c r="T294" i="8"/>
  <c r="N232" i="5"/>
  <c r="AJ46" i="5"/>
  <c r="P294" i="8"/>
  <c r="CC40" i="8"/>
  <c r="CD31" i="8"/>
  <c r="CE44" i="8"/>
  <c r="CD35" i="8"/>
  <c r="M194" i="8"/>
  <c r="N194" i="8" s="1"/>
  <c r="BH39" i="8" s="1"/>
  <c r="CF34" i="8"/>
  <c r="M183" i="8"/>
  <c r="N183" i="8" s="1"/>
  <c r="BH28" i="8" s="1"/>
  <c r="M196" i="8"/>
  <c r="N196" i="8" s="1"/>
  <c r="BH41" i="8" s="1"/>
  <c r="M193" i="8"/>
  <c r="N193" i="8" s="1"/>
  <c r="BH38" i="8" s="1"/>
  <c r="BP38" i="8" s="1"/>
  <c r="BR38" i="8" s="1"/>
  <c r="AB46" i="9" s="1"/>
  <c r="L197" i="5"/>
  <c r="M197" i="5" s="1"/>
  <c r="N197" i="5" s="1"/>
  <c r="AI42" i="5" s="1"/>
  <c r="L189" i="5"/>
  <c r="M189" i="5" s="1"/>
  <c r="N189" i="5" s="1"/>
  <c r="AI34" i="5" s="1"/>
  <c r="L186" i="5"/>
  <c r="M186" i="5" s="1"/>
  <c r="N186" i="5" s="1"/>
  <c r="AI31" i="5" s="1"/>
  <c r="L184" i="5"/>
  <c r="M184" i="5" s="1"/>
  <c r="N184" i="5" s="1"/>
  <c r="AI29" i="5" s="1"/>
  <c r="L185" i="5"/>
  <c r="M185" i="5" s="1"/>
  <c r="N185" i="5" s="1"/>
  <c r="AI30" i="5" s="1"/>
  <c r="L196" i="5"/>
  <c r="M196" i="5" s="1"/>
  <c r="N196" i="5" s="1"/>
  <c r="AI41" i="5" s="1"/>
  <c r="AQ41" i="5" s="1"/>
  <c r="AS41" i="5" s="1"/>
  <c r="X49" i="9" s="1"/>
  <c r="L187" i="5"/>
  <c r="M187" i="5" s="1"/>
  <c r="N187" i="5" s="1"/>
  <c r="AI32" i="5" s="1"/>
  <c r="L193" i="5"/>
  <c r="M193" i="5" s="1"/>
  <c r="N193" i="5" s="1"/>
  <c r="AI38" i="5" s="1"/>
  <c r="L190" i="5"/>
  <c r="M190" i="5" s="1"/>
  <c r="N190" i="5" s="1"/>
  <c r="AI35" i="5" s="1"/>
  <c r="L182" i="5"/>
  <c r="M182" i="5" s="1"/>
  <c r="N182" i="5" s="1"/>
  <c r="AI27" i="5" s="1"/>
  <c r="AQ27" i="5" s="1"/>
  <c r="L188" i="5"/>
  <c r="M188" i="5" s="1"/>
  <c r="N188" i="5" s="1"/>
  <c r="AI33" i="5" s="1"/>
  <c r="AQ33" i="5" s="1"/>
  <c r="L198" i="5"/>
  <c r="M198" i="5" s="1"/>
  <c r="N198" i="5" s="1"/>
  <c r="AI43" i="5" s="1"/>
  <c r="L194" i="5"/>
  <c r="M194" i="5" s="1"/>
  <c r="N194" i="5" s="1"/>
  <c r="AI39" i="5" s="1"/>
  <c r="AQ39" i="5" s="1"/>
  <c r="L199" i="5"/>
  <c r="M199" i="5" s="1"/>
  <c r="N199" i="5" s="1"/>
  <c r="AI44" i="5" s="1"/>
  <c r="AQ44" i="5" s="1"/>
  <c r="L192" i="5"/>
  <c r="M192" i="5" s="1"/>
  <c r="N192" i="5" s="1"/>
  <c r="AI37" i="5" s="1"/>
  <c r="L183" i="5"/>
  <c r="M183" i="5" s="1"/>
  <c r="N183" i="5" s="1"/>
  <c r="AI28" i="5" s="1"/>
  <c r="AQ28" i="5" s="1"/>
  <c r="L191" i="5"/>
  <c r="M191" i="5" s="1"/>
  <c r="N191" i="5" s="1"/>
  <c r="AI36" i="5" s="1"/>
  <c r="AQ36" i="5" s="1"/>
  <c r="L195" i="5"/>
  <c r="M195" i="5" s="1"/>
  <c r="N195" i="5" s="1"/>
  <c r="AI40" i="5" s="1"/>
  <c r="M189" i="8"/>
  <c r="N189" i="8" s="1"/>
  <c r="BH34" i="8" s="1"/>
  <c r="BP24" i="8"/>
  <c r="G34" i="9" s="1"/>
  <c r="BR25" i="8"/>
  <c r="AB53" i="9" s="1"/>
  <c r="G53" i="9"/>
  <c r="BK46" i="8"/>
  <c r="X77" i="8"/>
  <c r="N232" i="8"/>
  <c r="BD46" i="8"/>
  <c r="BP44" i="8"/>
  <c r="G52" i="9" s="1"/>
  <c r="N77" i="8"/>
  <c r="BI46" i="8"/>
  <c r="M198" i="8"/>
  <c r="N198" i="8" s="1"/>
  <c r="BH43" i="8" s="1"/>
  <c r="BP43" i="8" s="1"/>
  <c r="N294" i="8"/>
  <c r="E53" i="9"/>
  <c r="AK42" i="6"/>
  <c r="AM42" i="6" s="1"/>
  <c r="Z50" i="9" s="1"/>
  <c r="C53" i="9"/>
  <c r="BU40" i="8"/>
  <c r="L139" i="6"/>
  <c r="BW35" i="8"/>
  <c r="BU31" i="8"/>
  <c r="AU40" i="5"/>
  <c r="AK32" i="6"/>
  <c r="AK40" i="6"/>
  <c r="E48" i="9" s="1"/>
  <c r="BY40" i="8"/>
  <c r="AU28" i="5"/>
  <c r="AK33" i="6"/>
  <c r="AM33" i="6" s="1"/>
  <c r="Z41" i="9" s="1"/>
  <c r="BX44" i="8"/>
  <c r="CB38" i="8"/>
  <c r="BW32" i="8"/>
  <c r="AK36" i="6"/>
  <c r="AU41" i="5"/>
  <c r="AH46" i="6"/>
  <c r="E68" i="9" s="1"/>
  <c r="P16" i="4" s="1"/>
  <c r="AK24" i="6"/>
  <c r="AK27" i="6"/>
  <c r="AU37" i="5"/>
  <c r="AU33" i="5"/>
  <c r="AU36" i="5"/>
  <c r="AK28" i="6"/>
  <c r="AU29" i="5"/>
  <c r="AU38" i="5"/>
  <c r="AU42" i="5"/>
  <c r="AU44" i="5"/>
  <c r="L77" i="6"/>
  <c r="AU43" i="5"/>
  <c r="AK41" i="6"/>
  <c r="AU34" i="5"/>
  <c r="AK30" i="6"/>
  <c r="AU39" i="5"/>
  <c r="AK35" i="6"/>
  <c r="AU32" i="5"/>
  <c r="AK44" i="6"/>
  <c r="BU39" i="8"/>
  <c r="AU27" i="5"/>
  <c r="AB46" i="6"/>
  <c r="AK38" i="6"/>
  <c r="AU31" i="5"/>
  <c r="AU35" i="5"/>
  <c r="BX40" i="8"/>
  <c r="AK37" i="6"/>
  <c r="CB31" i="8"/>
  <c r="AK31" i="6"/>
  <c r="BX34" i="8"/>
  <c r="M179" i="5"/>
  <c r="N179" i="5" s="1"/>
  <c r="AI24" i="5" s="1"/>
  <c r="AU24" i="5"/>
  <c r="CB39" i="8"/>
  <c r="BV40" i="8"/>
  <c r="BY38" i="8"/>
  <c r="AU30" i="5"/>
  <c r="W190" i="8"/>
  <c r="CA35" i="8" s="1"/>
  <c r="BT35" i="8"/>
  <c r="AB188" i="8"/>
  <c r="CF33" i="8" s="1"/>
  <c r="CC24" i="8"/>
  <c r="X188" i="8"/>
  <c r="CB33" i="8" s="1"/>
  <c r="BU33" i="8"/>
  <c r="AB196" i="8"/>
  <c r="CF41" i="8" s="1"/>
  <c r="BY41" i="8"/>
  <c r="BT38" i="8"/>
  <c r="AP24" i="5"/>
  <c r="AP46" i="5" s="1"/>
  <c r="AA139" i="5"/>
  <c r="Y194" i="8"/>
  <c r="CC39" i="8" s="1"/>
  <c r="BV39" i="8"/>
  <c r="X184" i="8"/>
  <c r="CB29" i="8" s="1"/>
  <c r="BU29" i="8"/>
  <c r="W187" i="8"/>
  <c r="CA32" i="8" s="1"/>
  <c r="BT32" i="8"/>
  <c r="BV42" i="8"/>
  <c r="BX28" i="8"/>
  <c r="AA196" i="8"/>
  <c r="CE41" i="8" s="1"/>
  <c r="BX41" i="8"/>
  <c r="BW31" i="8"/>
  <c r="BY36" i="8"/>
  <c r="X196" i="8"/>
  <c r="CB41" i="8" s="1"/>
  <c r="AA186" i="8"/>
  <c r="CE31" i="8" s="1"/>
  <c r="BX31" i="8"/>
  <c r="BX38" i="8"/>
  <c r="AA187" i="8"/>
  <c r="CE32" i="8" s="1"/>
  <c r="AN24" i="5"/>
  <c r="AN46" i="5" s="1"/>
  <c r="AA77" i="5"/>
  <c r="AB190" i="8"/>
  <c r="CF35" i="8" s="1"/>
  <c r="BY35" i="8"/>
  <c r="AB182" i="8"/>
  <c r="BY27" i="8"/>
  <c r="AB185" i="8"/>
  <c r="CF30" i="8" s="1"/>
  <c r="BY30" i="8"/>
  <c r="Y191" i="8"/>
  <c r="CC36" i="8" s="1"/>
  <c r="CF24" i="8"/>
  <c r="BY34" i="8"/>
  <c r="CB24" i="8"/>
  <c r="BU38" i="8"/>
  <c r="AE24" i="5"/>
  <c r="N77" i="5"/>
  <c r="BW38" i="8"/>
  <c r="AO24" i="5"/>
  <c r="AO46" i="5" s="1"/>
  <c r="AA108" i="5"/>
  <c r="AA46" i="5"/>
  <c r="AM24" i="5"/>
  <c r="AM46" i="5" s="1"/>
  <c r="W185" i="8"/>
  <c r="CA30" i="8" s="1"/>
  <c r="BT30" i="8"/>
  <c r="Y190" i="8"/>
  <c r="CC35" i="8" s="1"/>
  <c r="BV35" i="8"/>
  <c r="AM29" i="6" l="1"/>
  <c r="Z37" i="9" s="1"/>
  <c r="BU37" i="8"/>
  <c r="BU30" i="8"/>
  <c r="BT29" i="8"/>
  <c r="BY31" i="8"/>
  <c r="AD46" i="7"/>
  <c r="F34" i="9"/>
  <c r="F55" i="9" s="1"/>
  <c r="Q17" i="4" s="1"/>
  <c r="R17" i="4" s="1"/>
  <c r="E42" i="9"/>
  <c r="L170" i="6"/>
  <c r="AE46" i="6"/>
  <c r="AQ31" i="5"/>
  <c r="C39" i="9" s="1"/>
  <c r="BV43" i="8"/>
  <c r="AQ38" i="5"/>
  <c r="C46" i="9" s="1"/>
  <c r="BT27" i="8"/>
  <c r="BW42" i="8"/>
  <c r="BY28" i="8"/>
  <c r="BX39" i="8"/>
  <c r="BW39" i="8"/>
  <c r="AQ29" i="5"/>
  <c r="C37" i="9" s="1"/>
  <c r="AQ30" i="5"/>
  <c r="AS30" i="5" s="1"/>
  <c r="X38" i="9" s="1"/>
  <c r="BY32" i="8"/>
  <c r="BY29" i="8"/>
  <c r="BV28" i="8"/>
  <c r="BX43" i="8"/>
  <c r="CC27" i="8"/>
  <c r="BT33" i="8"/>
  <c r="AQ43" i="5"/>
  <c r="AS43" i="5" s="1"/>
  <c r="X51" i="9" s="1"/>
  <c r="BW40" i="8"/>
  <c r="BW34" i="8"/>
  <c r="BV27" i="8"/>
  <c r="AQ35" i="5"/>
  <c r="AS35" i="5" s="1"/>
  <c r="X43" i="9" s="1"/>
  <c r="BT42" i="8"/>
  <c r="BW28" i="8"/>
  <c r="AQ37" i="5"/>
  <c r="AS37" i="5" s="1"/>
  <c r="X45" i="9" s="1"/>
  <c r="BT31" i="8"/>
  <c r="BW37" i="8"/>
  <c r="CD27" i="8"/>
  <c r="CD46" i="8" s="1"/>
  <c r="D63" i="9" s="1"/>
  <c r="Q31" i="4" s="1"/>
  <c r="R31" i="4" s="1"/>
  <c r="AG46" i="5"/>
  <c r="BT43" i="8"/>
  <c r="BV30" i="8"/>
  <c r="D52" i="9"/>
  <c r="BW27" i="8"/>
  <c r="BU43" i="8"/>
  <c r="BT28" i="8"/>
  <c r="N139" i="5"/>
  <c r="BV31" i="8"/>
  <c r="BU36" i="8"/>
  <c r="BX29" i="8"/>
  <c r="AO34" i="18"/>
  <c r="Y40" i="9" s="1"/>
  <c r="AQ40" i="5"/>
  <c r="C48" i="9" s="1"/>
  <c r="BF46" i="8"/>
  <c r="G68" i="9" s="1"/>
  <c r="P18" i="4" s="1"/>
  <c r="BT44" i="8"/>
  <c r="BW44" i="8"/>
  <c r="BY44" i="8"/>
  <c r="BY39" i="8"/>
  <c r="BU27" i="8"/>
  <c r="BP42" i="8"/>
  <c r="G50" i="9" s="1"/>
  <c r="AQ32" i="5"/>
  <c r="AS32" i="5" s="1"/>
  <c r="X40" i="9" s="1"/>
  <c r="BW33" i="8"/>
  <c r="BT37" i="8"/>
  <c r="D35" i="9"/>
  <c r="AQ42" i="5"/>
  <c r="C50" i="9" s="1"/>
  <c r="BU44" i="8"/>
  <c r="D38" i="9"/>
  <c r="BV29" i="8"/>
  <c r="D37" i="9"/>
  <c r="D39" i="9"/>
  <c r="AO42" i="18"/>
  <c r="Y48" i="9" s="1"/>
  <c r="D45" i="9"/>
  <c r="BY37" i="8"/>
  <c r="BW36" i="8"/>
  <c r="AA182" i="8"/>
  <c r="CE27" i="8" s="1"/>
  <c r="CE46" i="8" s="1"/>
  <c r="D65" i="9" s="1"/>
  <c r="Q33" i="4" s="1"/>
  <c r="R33" i="4" s="1"/>
  <c r="D50" i="9"/>
  <c r="AO41" i="18"/>
  <c r="Y47" i="9" s="1"/>
  <c r="AL46" i="5"/>
  <c r="AO36" i="18"/>
  <c r="Y42" i="9" s="1"/>
  <c r="BW29" i="8"/>
  <c r="D51" i="9"/>
  <c r="D41" i="9"/>
  <c r="CF27" i="8"/>
  <c r="CF46" i="8" s="1"/>
  <c r="D66" i="9" s="1"/>
  <c r="Q34" i="4" s="1"/>
  <c r="R34" i="4" s="1"/>
  <c r="BT34" i="8"/>
  <c r="BX30" i="8"/>
  <c r="BX37" i="8"/>
  <c r="BY42" i="8"/>
  <c r="BU28" i="8"/>
  <c r="BT39" i="8"/>
  <c r="AQ34" i="5"/>
  <c r="AS34" i="5" s="1"/>
  <c r="X42" i="9" s="1"/>
  <c r="AO43" i="18"/>
  <c r="Y49" i="9" s="1"/>
  <c r="AO40" i="18"/>
  <c r="Y46" i="9" s="1"/>
  <c r="BV38" i="8"/>
  <c r="N294" i="5"/>
  <c r="N139" i="8"/>
  <c r="BP30" i="8"/>
  <c r="BR30" i="8" s="1"/>
  <c r="AB38" i="9" s="1"/>
  <c r="D36" i="9"/>
  <c r="D44" i="9"/>
  <c r="Y199" i="8"/>
  <c r="CC44" i="8" s="1"/>
  <c r="CC46" i="8" s="1"/>
  <c r="D62" i="9" s="1"/>
  <c r="Q30" i="4" s="1"/>
  <c r="R30" i="4" s="1"/>
  <c r="BV33" i="8"/>
  <c r="BX33" i="8"/>
  <c r="BV34" i="8"/>
  <c r="BU34" i="8"/>
  <c r="BT36" i="8"/>
  <c r="BY43" i="8"/>
  <c r="AO27" i="18"/>
  <c r="Y53" i="9" s="1"/>
  <c r="AM53" i="9" s="1"/>
  <c r="AO53" i="9" s="1"/>
  <c r="AS44" i="9" s="1"/>
  <c r="D53" i="9"/>
  <c r="R53" i="9" s="1"/>
  <c r="T53" i="9" s="1"/>
  <c r="AM26" i="18"/>
  <c r="U201" i="8"/>
  <c r="BV41" i="8"/>
  <c r="BP41" i="8"/>
  <c r="BR41" i="8" s="1"/>
  <c r="AB49" i="9" s="1"/>
  <c r="BX35" i="8"/>
  <c r="D68" i="9"/>
  <c r="P15" i="4" s="1"/>
  <c r="N108" i="8"/>
  <c r="BE46" i="8"/>
  <c r="BP37" i="8"/>
  <c r="BR37" i="8" s="1"/>
  <c r="AB45" i="9" s="1"/>
  <c r="BV37" i="8"/>
  <c r="BW43" i="8"/>
  <c r="BW30" i="8"/>
  <c r="BW41" i="8"/>
  <c r="S201" i="8"/>
  <c r="Q201" i="8"/>
  <c r="BX42" i="8"/>
  <c r="BJ46" i="8"/>
  <c r="BU35" i="8"/>
  <c r="BP34" i="8"/>
  <c r="BR34" i="8" s="1"/>
  <c r="AB42" i="9" s="1"/>
  <c r="R201" i="8"/>
  <c r="BP27" i="8"/>
  <c r="G35" i="9" s="1"/>
  <c r="BP39" i="8"/>
  <c r="G47" i="9" s="1"/>
  <c r="V201" i="8"/>
  <c r="BP28" i="8"/>
  <c r="G36" i="9" s="1"/>
  <c r="BU42" i="8"/>
  <c r="BT41" i="8"/>
  <c r="P201" i="8"/>
  <c r="N263" i="8"/>
  <c r="BT40" i="8"/>
  <c r="BU32" i="8"/>
  <c r="T201" i="8"/>
  <c r="BX36" i="8"/>
  <c r="BZ46" i="8"/>
  <c r="C64" i="9" s="1"/>
  <c r="O32" i="4" s="1"/>
  <c r="P32" i="4" s="1"/>
  <c r="BR36" i="8"/>
  <c r="AB44" i="9" s="1"/>
  <c r="BR24" i="8"/>
  <c r="AB34" i="9" s="1"/>
  <c r="AB201" i="8"/>
  <c r="G46" i="9"/>
  <c r="G48" i="9"/>
  <c r="BR40" i="8"/>
  <c r="AB48" i="9" s="1"/>
  <c r="G51" i="9"/>
  <c r="BR43" i="8"/>
  <c r="AB51" i="9" s="1"/>
  <c r="G41" i="9"/>
  <c r="X201" i="8"/>
  <c r="G39" i="9"/>
  <c r="BR31" i="8"/>
  <c r="AB39" i="9" s="1"/>
  <c r="CB46" i="8"/>
  <c r="D61" i="9" s="1"/>
  <c r="Q29" i="4" s="1"/>
  <c r="R29" i="4" s="1"/>
  <c r="E50" i="9"/>
  <c r="BR44" i="8"/>
  <c r="AB52" i="9" s="1"/>
  <c r="CA46" i="8"/>
  <c r="D60" i="9" s="1"/>
  <c r="Q28" i="4" s="1"/>
  <c r="R28" i="4" s="1"/>
  <c r="BR32" i="8"/>
  <c r="AB40" i="9" s="1"/>
  <c r="G40" i="9"/>
  <c r="G43" i="9"/>
  <c r="BR35" i="8"/>
  <c r="AB43" i="9" s="1"/>
  <c r="Z201" i="8"/>
  <c r="W201" i="8"/>
  <c r="BH29" i="8"/>
  <c r="N201" i="8"/>
  <c r="AM40" i="6"/>
  <c r="Z48" i="9" s="1"/>
  <c r="AM39" i="6"/>
  <c r="Z47" i="9" s="1"/>
  <c r="E47" i="9"/>
  <c r="C36" i="9"/>
  <c r="AS28" i="5"/>
  <c r="X36" i="9" s="1"/>
  <c r="E40" i="9"/>
  <c r="AM32" i="6"/>
  <c r="Z40" i="9" s="1"/>
  <c r="E51" i="9"/>
  <c r="AM43" i="6"/>
  <c r="Z51" i="9" s="1"/>
  <c r="E41" i="9"/>
  <c r="C49" i="9"/>
  <c r="C41" i="9"/>
  <c r="AS33" i="5"/>
  <c r="X41" i="9" s="1"/>
  <c r="AM41" i="9" s="1"/>
  <c r="AO41" i="9" s="1"/>
  <c r="C47" i="9"/>
  <c r="AS39" i="5"/>
  <c r="X47" i="9" s="1"/>
  <c r="AS27" i="5"/>
  <c r="X35" i="9" s="1"/>
  <c r="C35" i="9"/>
  <c r="AS36" i="5"/>
  <c r="X44" i="9" s="1"/>
  <c r="C44" i="9"/>
  <c r="E38" i="9"/>
  <c r="AM30" i="6"/>
  <c r="Z38" i="9" s="1"/>
  <c r="AM28" i="6"/>
  <c r="Z36" i="9" s="1"/>
  <c r="E36" i="9"/>
  <c r="E45" i="9"/>
  <c r="AM37" i="6"/>
  <c r="Z45" i="9" s="1"/>
  <c r="AS31" i="5"/>
  <c r="X39" i="9" s="1"/>
  <c r="E44" i="9"/>
  <c r="AM36" i="6"/>
  <c r="Z44" i="9" s="1"/>
  <c r="AM31" i="6"/>
  <c r="Z39" i="9" s="1"/>
  <c r="E39" i="9"/>
  <c r="AM24" i="6"/>
  <c r="AK46" i="6"/>
  <c r="E34" i="9"/>
  <c r="AU46" i="5"/>
  <c r="C57" i="9" s="1"/>
  <c r="Q21" i="4" s="1"/>
  <c r="R21" i="4" s="1"/>
  <c r="AM38" i="6"/>
  <c r="Z46" i="9" s="1"/>
  <c r="E46" i="9"/>
  <c r="AM44" i="6"/>
  <c r="Z52" i="9" s="1"/>
  <c r="E52" i="9"/>
  <c r="E43" i="9"/>
  <c r="AM35" i="6"/>
  <c r="Z43" i="9" s="1"/>
  <c r="N201" i="5"/>
  <c r="E35" i="9"/>
  <c r="AM27" i="6"/>
  <c r="Z35" i="9" s="1"/>
  <c r="AI46" i="5"/>
  <c r="AS44" i="5"/>
  <c r="X52" i="9" s="1"/>
  <c r="C52" i="9"/>
  <c r="AM41" i="6"/>
  <c r="Z49" i="9" s="1"/>
  <c r="E49" i="9"/>
  <c r="AA34" i="9"/>
  <c r="AA55" i="9" s="1"/>
  <c r="AF46" i="7"/>
  <c r="AE46" i="5"/>
  <c r="AQ24" i="5"/>
  <c r="AS38" i="5" l="1"/>
  <c r="X46" i="9" s="1"/>
  <c r="AM46" i="9" s="1"/>
  <c r="AO46" i="9" s="1"/>
  <c r="O17" i="4"/>
  <c r="AS29" i="5"/>
  <c r="X37" i="9" s="1"/>
  <c r="C38" i="9"/>
  <c r="AS42" i="5"/>
  <c r="X50" i="9" s="1"/>
  <c r="C68" i="9"/>
  <c r="P14" i="4" s="1"/>
  <c r="P19" i="4" s="1"/>
  <c r="C51" i="9"/>
  <c r="R51" i="9" s="1"/>
  <c r="T51" i="9" s="1"/>
  <c r="AS40" i="5"/>
  <c r="X48" i="9" s="1"/>
  <c r="AM48" i="9" s="1"/>
  <c r="AO48" i="9" s="1"/>
  <c r="C45" i="9"/>
  <c r="C43" i="9"/>
  <c r="R43" i="9" s="1"/>
  <c r="T43" i="9" s="1"/>
  <c r="C42" i="9"/>
  <c r="BR42" i="8"/>
  <c r="AB50" i="9" s="1"/>
  <c r="C40" i="9"/>
  <c r="R40" i="9" s="1"/>
  <c r="T40" i="9" s="1"/>
  <c r="AM49" i="9"/>
  <c r="AO49" i="9" s="1"/>
  <c r="BW46" i="8"/>
  <c r="C63" i="9" s="1"/>
  <c r="O31" i="4" s="1"/>
  <c r="P31" i="4" s="1"/>
  <c r="AM42" i="9"/>
  <c r="AO42" i="9" s="1"/>
  <c r="AA201" i="8"/>
  <c r="G49" i="9"/>
  <c r="R49" i="9" s="1"/>
  <c r="T49" i="9" s="1"/>
  <c r="G38" i="9"/>
  <c r="Y201" i="8"/>
  <c r="BY46" i="8"/>
  <c r="C66" i="9" s="1"/>
  <c r="O34" i="4" s="1"/>
  <c r="P34" i="4" s="1"/>
  <c r="BV46" i="8"/>
  <c r="C62" i="9" s="1"/>
  <c r="O30" i="4" s="1"/>
  <c r="P30" i="4" s="1"/>
  <c r="BT46" i="8"/>
  <c r="C60" i="9" s="1"/>
  <c r="O28" i="4" s="1"/>
  <c r="P28" i="4" s="1"/>
  <c r="BX46" i="8"/>
  <c r="C65" i="9" s="1"/>
  <c r="O33" i="4" s="1"/>
  <c r="P33" i="4" s="1"/>
  <c r="D34" i="9"/>
  <c r="D55" i="9" s="1"/>
  <c r="Q15" i="4" s="1"/>
  <c r="R15" i="4" s="1"/>
  <c r="AO26" i="18"/>
  <c r="AM48" i="18"/>
  <c r="G45" i="9"/>
  <c r="BU46" i="8"/>
  <c r="C61" i="9" s="1"/>
  <c r="O29" i="4" s="1"/>
  <c r="P29" i="4" s="1"/>
  <c r="BR27" i="8"/>
  <c r="AB35" i="9" s="1"/>
  <c r="AM35" i="9" s="1"/>
  <c r="AO35" i="9" s="1"/>
  <c r="G42" i="9"/>
  <c r="BR39" i="8"/>
  <c r="AB47" i="9" s="1"/>
  <c r="AM47" i="9" s="1"/>
  <c r="AO47" i="9" s="1"/>
  <c r="BR28" i="8"/>
  <c r="AB36" i="9" s="1"/>
  <c r="AM36" i="9" s="1"/>
  <c r="AO36" i="9" s="1"/>
  <c r="R50" i="9"/>
  <c r="T50" i="9" s="1"/>
  <c r="R48" i="9"/>
  <c r="T48" i="9" s="1"/>
  <c r="BP29" i="8"/>
  <c r="BH46" i="8"/>
  <c r="AM39" i="9"/>
  <c r="AO39" i="9" s="1"/>
  <c r="R47" i="9"/>
  <c r="T47" i="9" s="1"/>
  <c r="R41" i="9"/>
  <c r="T41" i="9" s="1"/>
  <c r="R36" i="9"/>
  <c r="T36" i="9" s="1"/>
  <c r="AM40" i="9"/>
  <c r="AO40" i="9" s="1"/>
  <c r="AS31" i="9" s="1"/>
  <c r="AM51" i="9"/>
  <c r="AO51" i="9" s="1"/>
  <c r="AM38" i="9"/>
  <c r="AO38" i="9" s="1"/>
  <c r="AM43" i="9"/>
  <c r="AO43" i="9" s="1"/>
  <c r="R52" i="9"/>
  <c r="T52" i="9" s="1"/>
  <c r="R39" i="9"/>
  <c r="T39" i="9" s="1"/>
  <c r="R35" i="9"/>
  <c r="T35" i="9" s="1"/>
  <c r="AM45" i="9"/>
  <c r="AO45" i="9" s="1"/>
  <c r="Z34" i="9"/>
  <c r="Z55" i="9" s="1"/>
  <c r="AM46" i="6"/>
  <c r="R46" i="9"/>
  <c r="T46" i="9" s="1"/>
  <c r="R44" i="9"/>
  <c r="T44" i="9" s="1"/>
  <c r="AM52" i="9"/>
  <c r="AO52" i="9" s="1"/>
  <c r="AS43" i="9" s="1"/>
  <c r="E55" i="9"/>
  <c r="Q16" i="4" s="1"/>
  <c r="AM44" i="9"/>
  <c r="AO44" i="9" s="1"/>
  <c r="AQ46" i="5"/>
  <c r="AS24" i="5"/>
  <c r="C34" i="9"/>
  <c r="R38" i="9" l="1"/>
  <c r="T38" i="9" s="1"/>
  <c r="R42" i="9"/>
  <c r="T42" i="9" s="1"/>
  <c r="AS36" i="9"/>
  <c r="AS42" i="9"/>
  <c r="AM50" i="9"/>
  <c r="AO50" i="9" s="1"/>
  <c r="AS40" i="9" s="1"/>
  <c r="AS39" i="9"/>
  <c r="AS30" i="9"/>
  <c r="R45" i="9"/>
  <c r="T45" i="9" s="1"/>
  <c r="AS26" i="9"/>
  <c r="AS38" i="9"/>
  <c r="AS33" i="9"/>
  <c r="AS41" i="9"/>
  <c r="AS37" i="9"/>
  <c r="AS34" i="9"/>
  <c r="AS29" i="9"/>
  <c r="AS35" i="9"/>
  <c r="AS32" i="9"/>
  <c r="O15" i="4"/>
  <c r="AO48" i="18"/>
  <c r="Y34" i="9"/>
  <c r="Y55" i="9" s="1"/>
  <c r="G37" i="9"/>
  <c r="BR29" i="8"/>
  <c r="BP46" i="8"/>
  <c r="O16" i="4"/>
  <c r="R16" i="4"/>
  <c r="R34" i="9"/>
  <c r="C55" i="9"/>
  <c r="Q14" i="4" s="1"/>
  <c r="X34" i="9"/>
  <c r="AS46" i="5"/>
  <c r="AB37" i="9" l="1"/>
  <c r="BR46" i="8"/>
  <c r="G55" i="9"/>
  <c r="Q18" i="4" s="1"/>
  <c r="Q19" i="4" s="1"/>
  <c r="R19" i="4" s="1"/>
  <c r="R37" i="9"/>
  <c r="T37" i="9" s="1"/>
  <c r="AM34" i="9"/>
  <c r="X55" i="9"/>
  <c r="R14" i="4"/>
  <c r="O14" i="4"/>
  <c r="T34" i="9"/>
  <c r="T55" i="9" l="1"/>
  <c r="H15" i="4" s="1"/>
  <c r="R55" i="9"/>
  <c r="R18" i="4"/>
  <c r="O18" i="4"/>
  <c r="O19" i="4" s="1"/>
  <c r="AB55" i="9"/>
  <c r="AM37" i="9"/>
  <c r="AO37" i="9" s="1"/>
  <c r="AO34" i="9"/>
  <c r="AS25" i="9" l="1"/>
  <c r="AS24" i="9"/>
  <c r="AS28" i="9"/>
  <c r="AS27" i="9"/>
  <c r="H14" i="4"/>
  <c r="H17" i="4"/>
  <c r="AM55" i="9"/>
  <c r="AO55" i="9"/>
  <c r="AP34" i="9"/>
  <c r="AP35" i="9" l="1"/>
  <c r="AP36" i="9" s="1"/>
  <c r="AP37" i="9" s="1"/>
  <c r="AP38" i="9" s="1"/>
  <c r="AP39" i="9" s="1"/>
  <c r="AP40" i="9" s="1"/>
  <c r="AP41" i="9" s="1"/>
  <c r="AP42" i="9" s="1"/>
  <c r="AP43" i="9" s="1"/>
  <c r="AP44" i="9" s="1"/>
  <c r="AP45" i="9" s="1"/>
  <c r="AP46" i="9" s="1"/>
  <c r="AP47" i="9" s="1"/>
  <c r="AP48" i="9" s="1"/>
  <c r="AP49" i="9" s="1"/>
  <c r="AP50" i="9" s="1"/>
  <c r="AP51" i="9" s="1"/>
  <c r="AP52" i="9" s="1"/>
  <c r="AP53" i="9" s="1"/>
  <c r="AP58" i="9" s="1"/>
  <c r="H21" i="4" s="1"/>
  <c r="AS54" i="9"/>
  <c r="H19" i="4" s="1"/>
</calcChain>
</file>

<file path=xl/sharedStrings.xml><?xml version="1.0" encoding="utf-8"?>
<sst xmlns="http://schemas.openxmlformats.org/spreadsheetml/2006/main" count="3162" uniqueCount="885">
  <si>
    <t>No Build</t>
  </si>
  <si>
    <t>Build</t>
  </si>
  <si>
    <t>No Build (Peak Period Only)</t>
  </si>
  <si>
    <t>Build (Peak Period Only)</t>
  </si>
  <si>
    <t>Impacted Length</t>
  </si>
  <si>
    <t>Construction Period</t>
  </si>
  <si>
    <t>Project Open</t>
  </si>
  <si>
    <r>
      <t>CO</t>
    </r>
    <r>
      <rPr>
        <b/>
        <vertAlign val="subscript"/>
        <sz val="10"/>
        <rFont val="Arial"/>
        <family val="2"/>
      </rPr>
      <t>2</t>
    </r>
    <r>
      <rPr>
        <b/>
        <sz val="10"/>
        <rFont val="Arial"/>
        <family val="2"/>
      </rPr>
      <t>e</t>
    </r>
  </si>
  <si>
    <t>Sources: McCubbin and Delucchi, 1996 for emissions other than CO2e</t>
  </si>
  <si>
    <r>
      <t>includes value for CO</t>
    </r>
    <r>
      <rPr>
        <vertAlign val="subscript"/>
        <sz val="12"/>
        <color indexed="18"/>
        <rFont val="Arial"/>
        <family val="2"/>
      </rPr>
      <t>2</t>
    </r>
    <r>
      <rPr>
        <sz val="12"/>
        <color indexed="18"/>
        <rFont val="Arial"/>
        <family val="2"/>
      </rPr>
      <t>e</t>
    </r>
  </si>
  <si>
    <r>
      <t>CO</t>
    </r>
    <r>
      <rPr>
        <b/>
        <vertAlign val="subscript"/>
        <sz val="10"/>
        <rFont val="Arial"/>
        <family val="2"/>
      </rPr>
      <t>2</t>
    </r>
  </si>
  <si>
    <t>RAIL AND TRANSIT DATA</t>
  </si>
  <si>
    <t>Please select a type of highway project</t>
  </si>
  <si>
    <t>Please select a type of TMS project</t>
  </si>
  <si>
    <t>Remember to run model for both roads</t>
  </si>
  <si>
    <t>Enter HOV restriction in section 1B</t>
  </si>
  <si>
    <t>Please select a type of op. improvement</t>
  </si>
  <si>
    <t>Include toll payers as HOVs &amp; check AVOs</t>
  </si>
  <si>
    <t>Enter a truck speed in section 1B</t>
  </si>
  <si>
    <t>Enter pavement condition in section 1B</t>
  </si>
  <si>
    <t>Enter data in both sections 1B &amp; 1E</t>
  </si>
  <si>
    <t>Complete only sections 1A, 1E &amp; 2C</t>
  </si>
  <si>
    <t>Enter ramp design speed &amp; on-ramp volume</t>
  </si>
  <si>
    <t>Please select a type of rail or transit project</t>
  </si>
  <si>
    <t>Rail or Transit Cap Expansion</t>
  </si>
  <si>
    <t>Hwy Operational Improvement</t>
  </si>
  <si>
    <t>Check percent traffic in weave in section 1B</t>
  </si>
  <si>
    <t>Enter on-ramp volume &amp; metering strategy</t>
  </si>
  <si>
    <t xml:space="preserve">Check AVOs &amp; trips in sections 1B &amp; 2D </t>
  </si>
  <si>
    <t>Enter transit agency costs in section 1D</t>
  </si>
  <si>
    <t>Check travel time in section 1D</t>
  </si>
  <si>
    <t>Enter model data, if avail, in sections 2A &amp; 2C</t>
  </si>
  <si>
    <t>HwyRail</t>
  </si>
  <si>
    <t>Enter free-flow bus lane speed in section 1B</t>
  </si>
  <si>
    <t>Annualization Factor</t>
  </si>
  <si>
    <t>days/yr</t>
  </si>
  <si>
    <t>Avg. Annual Volume = Avg. Daily Traffic x Number of Days in Model Year</t>
  </si>
  <si>
    <t>Put hwy design in 1B, safety in 1C &amp; crossing in 1D</t>
  </si>
  <si>
    <t>(percent of injuries)</t>
  </si>
  <si>
    <t>Cost per Event</t>
  </si>
  <si>
    <t>Vehicle-Miles Traveled = Affected Length x Avg. Annual Volume</t>
  </si>
  <si>
    <t>Avg. Value of Time (varies by vehicle type)</t>
  </si>
  <si>
    <t>Hwy Safety or Weaving Improvement</t>
  </si>
  <si>
    <t>collision reduction factor (per HSIP Guidelines)</t>
  </si>
  <si>
    <t>HOT</t>
  </si>
  <si>
    <t xml:space="preserve">    HOT Lane Conversion</t>
  </si>
  <si>
    <t>HOTConv</t>
  </si>
  <si>
    <t xml:space="preserve">    HOT Lane Addition</t>
  </si>
  <si>
    <t>Average Hourly HOV/HOT Lane Traffic</t>
  </si>
  <si>
    <t>Number of HOV/HOT Lanes</t>
  </si>
  <si>
    <t>High Occupancy Vehicle  (if HOV/HOT lanes)</t>
  </si>
  <si>
    <t>Percent ADT in Peak Period</t>
  </si>
  <si>
    <t xml:space="preserve">    Queuing</t>
  </si>
  <si>
    <t>Queuing</t>
  </si>
  <si>
    <t>Travel Demand Tables</t>
  </si>
  <si>
    <t>Reduction in Transit Accidents</t>
  </si>
  <si>
    <t>Percent of Induced Trips in HOV (if HOT or 2-to-3 conv.)</t>
  </si>
  <si>
    <t>Average Transit Travel Time</t>
  </si>
  <si>
    <t>mph</t>
  </si>
  <si>
    <t>Idling Speed for Op. Costs and Emissions</t>
  </si>
  <si>
    <t>Note: Five mph is best estimate for idling</t>
  </si>
  <si>
    <t>Source: Combination of above four tables</t>
  </si>
  <si>
    <t>Number of</t>
  </si>
  <si>
    <t>Hours in</t>
  </si>
  <si>
    <t>Rural</t>
  </si>
  <si>
    <t>Urban</t>
  </si>
  <si>
    <t>So. California</t>
  </si>
  <si>
    <t>No. California</t>
  </si>
  <si>
    <t>Fwy/Exp</t>
  </si>
  <si>
    <t>Other</t>
  </si>
  <si>
    <t>DEMAND FOR TRAVEL IN PEAK PERIOD</t>
  </si>
  <si>
    <t>(units in table)</t>
  </si>
  <si>
    <t>Total Events</t>
  </si>
  <si>
    <t>HIGHWAY-RAIL GRADE CROSSING INCIDENTS</t>
  </si>
  <si>
    <t>Incident</t>
  </si>
  <si>
    <t>Avg per Incident</t>
  </si>
  <si>
    <t>Sources: 1) Office of Management and Budget (OMB), 2) Review of OMB and State</t>
  </si>
  <si>
    <t>Annual Person-Trips</t>
  </si>
  <si>
    <t>Travel Time</t>
  </si>
  <si>
    <t>of Time</t>
  </si>
  <si>
    <t>Per-Hrs</t>
  </si>
  <si>
    <t>Person-Hours of Time Saved</t>
  </si>
  <si>
    <t>Should benefit-cost results include:</t>
  </si>
  <si>
    <t>Conventional Highway</t>
  </si>
  <si>
    <t>Alpha</t>
  </si>
  <si>
    <t>Average Vehicle Occupancy (AVO)</t>
  </si>
  <si>
    <t>TMSLookup</t>
  </si>
  <si>
    <t>UserAdjInputs</t>
  </si>
  <si>
    <t xml:space="preserve">    HOV Lane Addition</t>
  </si>
  <si>
    <t>Beta</t>
  </si>
  <si>
    <t>Capacity</t>
  </si>
  <si>
    <t>HOV Lanes</t>
  </si>
  <si>
    <r>
      <t>Roadway Type</t>
    </r>
    <r>
      <rPr>
        <sz val="10"/>
        <color indexed="16"/>
        <rFont val="Arial"/>
        <family val="2"/>
      </rPr>
      <t xml:space="preserve"> (Fwy, Exp, Conv Hwy)</t>
    </r>
  </si>
  <si>
    <t>Expressway</t>
  </si>
  <si>
    <t>Non-HOV Lanes</t>
  </si>
  <si>
    <t>(vphpl)</t>
  </si>
  <si>
    <t>Truck Speed</t>
  </si>
  <si>
    <t>management, traveler information projects, AVL, transit priority, and BRT projects)</t>
  </si>
  <si>
    <t>Percent Trips during Peak Period</t>
  </si>
  <si>
    <t>Final Calculations</t>
  </si>
  <si>
    <t>Parameters</t>
  </si>
  <si>
    <t>Percent New Trips from Parallel Highway</t>
  </si>
  <si>
    <t>Annual Vehicle-Miles</t>
  </si>
  <si>
    <t>Highway Design</t>
  </si>
  <si>
    <t>Type of Project</t>
  </si>
  <si>
    <t>State Sales Tax (gasoline)</t>
  </si>
  <si>
    <t>State Sales Tax (diesel)</t>
  </si>
  <si>
    <t>State Fuel Excise Tax (gasoline)</t>
  </si>
  <si>
    <t>State Fuel Excise Tax (diesel)</t>
  </si>
  <si>
    <t>For questions and comments, please contact:</t>
  </si>
  <si>
    <t xml:space="preserve">District: </t>
  </si>
  <si>
    <t>HQ</t>
  </si>
  <si>
    <t>Enter all project costs (in today's dollars) in columns 1 to 7.  Costs during construction should be entered in the first eight rows.</t>
  </si>
  <si>
    <t>EA:</t>
  </si>
  <si>
    <t>Project costs (including maintenance and operating costs) should be net of costs without project.</t>
  </si>
  <si>
    <t>PROJECT:</t>
  </si>
  <si>
    <t>PPNO:</t>
  </si>
  <si>
    <t>1A</t>
  </si>
  <si>
    <t>PROJECT DATA</t>
  </si>
  <si>
    <t>1C</t>
  </si>
  <si>
    <t>1E</t>
  </si>
  <si>
    <t>Col. no.</t>
  </si>
  <si>
    <t>(1)</t>
  </si>
  <si>
    <t>(2)</t>
  </si>
  <si>
    <t>(3)</t>
  </si>
  <si>
    <t>(4)</t>
  </si>
  <si>
    <t>(5)</t>
  </si>
  <si>
    <t>(6)</t>
  </si>
  <si>
    <t>(7)</t>
  </si>
  <si>
    <t>Highway</t>
  </si>
  <si>
    <t>Count (No.)</t>
  </si>
  <si>
    <t>Rate</t>
  </si>
  <si>
    <t>DIRECT PROJECT COSTS</t>
  </si>
  <si>
    <t>INITIAL COSTS</t>
  </si>
  <si>
    <t>SUBSEQUENT COSTS</t>
  </si>
  <si>
    <t>Year</t>
  </si>
  <si>
    <t>Project</t>
  </si>
  <si>
    <t>Maint./</t>
  </si>
  <si>
    <t xml:space="preserve">Constant </t>
  </si>
  <si>
    <t>Present</t>
  </si>
  <si>
    <t>Bypass</t>
  </si>
  <si>
    <t>Support</t>
  </si>
  <si>
    <t>R / W</t>
  </si>
  <si>
    <t>Construction</t>
  </si>
  <si>
    <t>Op.</t>
  </si>
  <si>
    <t>Rehab.</t>
  </si>
  <si>
    <t>Mitigation</t>
  </si>
  <si>
    <t>Costs</t>
  </si>
  <si>
    <t>Dollars</t>
  </si>
  <si>
    <t>Value</t>
  </si>
  <si>
    <t>Pavement</t>
  </si>
  <si>
    <t>Existing</t>
  </si>
  <si>
    <t>New</t>
  </si>
  <si>
    <t>Transit</t>
  </si>
  <si>
    <t>Passenger Rail</t>
  </si>
  <si>
    <t>Bus</t>
  </si>
  <si>
    <r>
      <t>Project Location</t>
    </r>
    <r>
      <rPr>
        <sz val="9"/>
        <rFont val="Arial"/>
        <family val="2"/>
      </rPr>
      <t xml:space="preserve"> (enter 1 for So. Cal., 2 for No. Cal., or 3 for rural)</t>
    </r>
  </si>
  <si>
    <t>Length of Construction Period</t>
  </si>
  <si>
    <t>years</t>
  </si>
  <si>
    <t>1D</t>
  </si>
  <si>
    <t>hours</t>
  </si>
  <si>
    <t>Base (Year 1)</t>
  </si>
  <si>
    <t>Forecast (Year 20)</t>
  </si>
  <si>
    <t>1B</t>
  </si>
  <si>
    <t>HIGHWAY DESIGN AND TRAFFIC DATA</t>
  </si>
  <si>
    <t>Number of General Traffic Lanes</t>
  </si>
  <si>
    <t>Length (in miles)</t>
  </si>
  <si>
    <t>Rate Group</t>
  </si>
  <si>
    <t>Highway Segment</t>
  </si>
  <si>
    <t>Current</t>
  </si>
  <si>
    <r>
      <t>Percent Trucks</t>
    </r>
    <r>
      <rPr>
        <sz val="10"/>
        <color indexed="8"/>
        <rFont val="Arial"/>
        <family val="2"/>
      </rPr>
      <t xml:space="preserve"> (include RVs, if applicable)</t>
    </r>
  </si>
  <si>
    <t>Non-Peak</t>
  </si>
  <si>
    <t>Total</t>
  </si>
  <si>
    <t>Peak</t>
  </si>
  <si>
    <r>
      <t xml:space="preserve">Pavement Condition </t>
    </r>
    <r>
      <rPr>
        <sz val="10"/>
        <rFont val="Arial"/>
        <family val="2"/>
      </rPr>
      <t>(if pavement project)</t>
    </r>
  </si>
  <si>
    <t>IRI (inches/mile)</t>
  </si>
  <si>
    <r>
      <t xml:space="preserve">Present Value  =  </t>
    </r>
    <r>
      <rPr>
        <u/>
        <sz val="10"/>
        <rFont val="Arial"/>
        <family val="2"/>
      </rPr>
      <t>Future Value  (in Constant Dollars)</t>
    </r>
  </si>
  <si>
    <t xml:space="preserve">  ( 1 + Real Discount Rate) ^ Year</t>
  </si>
  <si>
    <t>General Traffic</t>
  </si>
  <si>
    <t>2A</t>
  </si>
  <si>
    <t xml:space="preserve">TT Savings =  Travel Time Reduction  x  Avg. Value of Time </t>
  </si>
  <si>
    <t>HIGHWAY SPEED AND VOLUME INPUTS</t>
  </si>
  <si>
    <t>2B</t>
  </si>
  <si>
    <t>Calculated by Model</t>
  </si>
  <si>
    <t>Changed 
by User</t>
  </si>
  <si>
    <t>Used for Proj. Eval.</t>
  </si>
  <si>
    <t>Reason for Change</t>
  </si>
  <si>
    <t>Year 1</t>
  </si>
  <si>
    <t>Peak Period</t>
  </si>
  <si>
    <t>HOV Volume</t>
  </si>
  <si>
    <t>Non-HOV Volume</t>
  </si>
  <si>
    <t>Truck Volume</t>
  </si>
  <si>
    <t>HOV Speed</t>
  </si>
  <si>
    <r>
      <t>Adjustment Factor</t>
    </r>
    <r>
      <rPr>
        <sz val="10"/>
        <rFont val="Arial"/>
        <family val="2"/>
      </rPr>
      <t xml:space="preserve"> (Actual/Statewide Avg. Existing)</t>
    </r>
  </si>
  <si>
    <t>Non-HOV Speed</t>
  </si>
  <si>
    <t>Non-Peak Period</t>
  </si>
  <si>
    <t>Year 20</t>
  </si>
  <si>
    <t>INVESTMENT ANALYSIS</t>
  </si>
  <si>
    <t>SUMMARY RESULTS</t>
  </si>
  <si>
    <t xml:space="preserve">Life-Cycle Costs (mil. $) </t>
  </si>
  <si>
    <t>ITEMIZED BENEFITS (mil. $)</t>
  </si>
  <si>
    <t>20 Years</t>
  </si>
  <si>
    <t xml:space="preserve">Life-Cycle Benefits (mil. $) </t>
  </si>
  <si>
    <t xml:space="preserve">     Travel Time Savings</t>
  </si>
  <si>
    <t>Net Present Value (mil. $)</t>
  </si>
  <si>
    <t xml:space="preserve">     Veh. Op. Cost Savings</t>
  </si>
  <si>
    <t>Benefit / Cost Ratio:</t>
  </si>
  <si>
    <t>Rate of Return on Investment:</t>
  </si>
  <si>
    <t>Payback Period:</t>
  </si>
  <si>
    <t>TOTAL BENEFITS</t>
  </si>
  <si>
    <t>1) Induced Travel? (y/n)</t>
  </si>
  <si>
    <t>Y</t>
  </si>
  <si>
    <t>Default = Y</t>
  </si>
  <si>
    <t>N</t>
  </si>
  <si>
    <t>Travel Time Benefits</t>
  </si>
  <si>
    <t>This sheet calculates total travel time benefits on highway and transit.</t>
  </si>
  <si>
    <t>Formulas:</t>
  </si>
  <si>
    <t xml:space="preserve">       $ / year </t>
  </si>
  <si>
    <t xml:space="preserve">$/hour  </t>
  </si>
  <si>
    <t xml:space="preserve">vehicles / yr </t>
  </si>
  <si>
    <t xml:space="preserve">vehicle-hrs / yr </t>
  </si>
  <si>
    <t>vehicles / yr  x  miles</t>
  </si>
  <si>
    <t xml:space="preserve">miles/hour </t>
  </si>
  <si>
    <t>A</t>
  </si>
  <si>
    <t>HIGHWAY BENEFITS</t>
  </si>
  <si>
    <t>B</t>
  </si>
  <si>
    <t>TRANSIT BENEFITS</t>
  </si>
  <si>
    <t>C</t>
  </si>
  <si>
    <t>SUMMARY OF TRAVEL TIME BENEFITS</t>
  </si>
  <si>
    <t>Peak Period HOV</t>
  </si>
  <si>
    <t>AVERAGE VOLUME</t>
  </si>
  <si>
    <t>AVERAGE SPEED</t>
  </si>
  <si>
    <t>AVERAGE TRAVEL TIME</t>
  </si>
  <si>
    <t>TIME BENEFIT</t>
  </si>
  <si>
    <t>ANNUAL PERSON-TRIPS</t>
  </si>
  <si>
    <t>HIGHWAY</t>
  </si>
  <si>
    <t>TRANSIT</t>
  </si>
  <si>
    <t>(vehicles/yr)</t>
  </si>
  <si>
    <t>(mph)</t>
  </si>
  <si>
    <t>(hours)</t>
  </si>
  <si>
    <t>(trips/yr)</t>
  </si>
  <si>
    <t>Value of</t>
  </si>
  <si>
    <t>Constant</t>
  </si>
  <si>
    <t>Mode</t>
  </si>
  <si>
    <t>Users</t>
  </si>
  <si>
    <t>(Induced)</t>
  </si>
  <si>
    <t>Shifts</t>
  </si>
  <si>
    <t>HOV</t>
  </si>
  <si>
    <t>Non-HOV</t>
  </si>
  <si>
    <t>Truck</t>
  </si>
  <si>
    <t>Period</t>
  </si>
  <si>
    <t>Benefits</t>
  </si>
  <si>
    <t>Peak Period Non-HOV</t>
  </si>
  <si>
    <t>Peak Period Truck</t>
  </si>
  <si>
    <t>Non-Peak Period Non-HOV</t>
  </si>
  <si>
    <t>Non-Peak Period Truck</t>
  </si>
  <si>
    <t xml:space="preserve"> ( 1 + Real Discount Rate) ^ Year</t>
  </si>
  <si>
    <t>Vehicle Operating Cost Benefits</t>
  </si>
  <si>
    <t>This sheet calculates changes in highway vehicle operating costs as benefits for highway and transit projects.</t>
  </si>
  <si>
    <t>Net changes in transit operating costs should be included as project costs.</t>
  </si>
  <si>
    <t>Non-Fuel Cost = VMT x Cost Per Mile</t>
  </si>
  <si>
    <t>veh-miles/yr</t>
  </si>
  <si>
    <t>miles</t>
  </si>
  <si>
    <t>vehicles/yr</t>
  </si>
  <si>
    <t>dollars</t>
  </si>
  <si>
    <t>$/miles</t>
  </si>
  <si>
    <t>Fuel Cost = VMT x Fuel Consumption x Fuel Price</t>
  </si>
  <si>
    <t>Benefit = Existing Cost - New Cost</t>
  </si>
  <si>
    <t>gallons/mile</t>
  </si>
  <si>
    <t>$/gallon</t>
  </si>
  <si>
    <t>increase in value per year</t>
  </si>
  <si>
    <t>SUMMARY OF VEHICLE OPERATING COST BENEFITS</t>
  </si>
  <si>
    <t>TOTAL VMT</t>
  </si>
  <si>
    <t>BENEFITS</t>
  </si>
  <si>
    <t>(veh-miles/yr)</t>
  </si>
  <si>
    <t>($/yr)</t>
  </si>
  <si>
    <t>Fuel</t>
  </si>
  <si>
    <t>Non-Fuel</t>
  </si>
  <si>
    <t>Veh Op Cost</t>
  </si>
  <si>
    <t>-</t>
  </si>
  <si>
    <t>Accident Reduction Benefits</t>
  </si>
  <si>
    <t>This sheet calculates accident benefits for highway and transit.</t>
  </si>
  <si>
    <t>Vehicle-Miles Traveled = Affected Length x Avg Volume</t>
  </si>
  <si>
    <t>Transit Acc Cost = Veh-Miles x Acc Cost/Mile</t>
  </si>
  <si>
    <t>Hwy Acc Cost = (VMT x Rate x Cost/Mile) by Acc Type</t>
  </si>
  <si>
    <t>Fuel Cost Per Gallon (Exclude Taxes)</t>
  </si>
  <si>
    <t>Transit Acc Cost/Mile from PARAMETERS</t>
  </si>
  <si>
    <t>SUMMARY OF ACCIDENT REDUCTION BENEFITS</t>
  </si>
  <si>
    <t>All Transit</t>
  </si>
  <si>
    <t>ACCIDENT COSTS</t>
  </si>
  <si>
    <t>VEHICLE MILES</t>
  </si>
  <si>
    <t>(veh-mi/yr)</t>
  </si>
  <si>
    <t>All</t>
  </si>
  <si>
    <t>Accident</t>
  </si>
  <si>
    <t>Periods</t>
  </si>
  <si>
    <t>Emission Reduction Benefits</t>
  </si>
  <si>
    <t>This sheet calculates emissions benefits for highway and transit.</t>
  </si>
  <si>
    <t>Transit Em Cost = (Veh-Miles x Rate x Cost/Mile) by Em Type</t>
  </si>
  <si>
    <t>(events/million veh-mi)</t>
  </si>
  <si>
    <t>All Types</t>
  </si>
  <si>
    <t xml:space="preserve"> Hwy Emissions Cost = (VMT x Rate x Cost/Mile) by Emissions Type</t>
  </si>
  <si>
    <t>SUMMARY OF EMISSION REDUCTION BENEFITS</t>
  </si>
  <si>
    <t>Peak Period Bus</t>
  </si>
  <si>
    <t>EMISSIONS</t>
  </si>
  <si>
    <t>ANNUAL VEH-MILES</t>
  </si>
  <si>
    <t>Passenger</t>
  </si>
  <si>
    <t>Light</t>
  </si>
  <si>
    <t>Emission</t>
  </si>
  <si>
    <t>Rail</t>
  </si>
  <si>
    <t>Non-Peak Period Bus</t>
  </si>
  <si>
    <t>ANNUAL TRAIN-MILES</t>
  </si>
  <si>
    <t>(train-miles/yr)</t>
  </si>
  <si>
    <t>Light Rail</t>
  </si>
  <si>
    <t>This sheet performs the final calculations before presenting the summary results.</t>
  </si>
  <si>
    <t>Both net present value and internal rate of return on investment are calculated.</t>
  </si>
  <si>
    <t>NET PRESENT VALUE CALCULATION</t>
  </si>
  <si>
    <t>PRESENT VALUE OF USER BENEFITS</t>
  </si>
  <si>
    <t>USER BENEFITS IN CONSTANT DOLLARS</t>
  </si>
  <si>
    <t>ANNUAL</t>
  </si>
  <si>
    <t>CUMULATIVE</t>
  </si>
  <si>
    <t>Years</t>
  </si>
  <si>
    <t>Travel</t>
  </si>
  <si>
    <t>Vehicle</t>
  </si>
  <si>
    <t>of Total</t>
  </si>
  <si>
    <t>NET</t>
  </si>
  <si>
    <t>Costs in</t>
  </si>
  <si>
    <t>RETURNS</t>
  </si>
  <si>
    <t>After</t>
  </si>
  <si>
    <t>Time</t>
  </si>
  <si>
    <t>Op. Cost</t>
  </si>
  <si>
    <t>User</t>
  </si>
  <si>
    <t>PRESENT</t>
  </si>
  <si>
    <t>ON</t>
  </si>
  <si>
    <t>AFTER</t>
  </si>
  <si>
    <t>Savings</t>
  </si>
  <si>
    <t>Reductions</t>
  </si>
  <si>
    <t>VALUE</t>
  </si>
  <si>
    <t>INVESTMENT</t>
  </si>
  <si>
    <t>PROJ OPENS</t>
  </si>
  <si>
    <t>Begins</t>
  </si>
  <si>
    <t>Internal Rate</t>
  </si>
  <si>
    <t>The INTERNAL RATE OF RETURN  (IRR)  is the discount rate at which benefits and costs break even (are equal).  For a project</t>
  </si>
  <si>
    <t>of Return</t>
  </si>
  <si>
    <t>HOV Trips</t>
  </si>
  <si>
    <t>Non-HOV Trips</t>
  </si>
  <si>
    <t>Truck Trips</t>
  </si>
  <si>
    <t>2D</t>
  </si>
  <si>
    <t>(for HOV and HOT lane projects that affect average vehicle occupancy)</t>
  </si>
  <si>
    <t>with an IRR greater than the Discount Rate, benefits are greater than costs, and the project has a positive economic value.  The</t>
  </si>
  <si>
    <t>IRR allows projects with different costs, different benefit flows, and different time periods to be compared.</t>
  </si>
  <si>
    <t>Payback</t>
  </si>
  <si>
    <t>The PAYBACK PERIOD is the number of years it takes for the net benefits (benefits minus costs) to equal, or payback, the initial</t>
  </si>
  <si>
    <t>Total Construction Costs</t>
  </si>
  <si>
    <t>construction costs.  For a project with a Payback Period longer than the life-cycle of the project, initial construction costs are not</t>
  </si>
  <si>
    <t>recovered.  The Payback Period varies inversely with the Benefit-Cost Ratio: shorter Payback Period yields higher Benefit-Cost.</t>
  </si>
  <si>
    <t>This page contains all economic values and rate tables.</t>
  </si>
  <si>
    <t>To update economic values automatically, change "Economic Update Factor."</t>
  </si>
  <si>
    <t>Operating Cost Tables</t>
  </si>
  <si>
    <t>Accident Tables</t>
  </si>
  <si>
    <t>Emissions Tables</t>
  </si>
  <si>
    <r>
      <t xml:space="preserve">Pavement Adjustments </t>
    </r>
    <r>
      <rPr>
        <sz val="10"/>
        <color indexed="16"/>
        <rFont val="Arial"/>
        <family val="2"/>
      </rPr>
      <t>(used only for pavement projects)</t>
    </r>
  </si>
  <si>
    <t>General Economic Parameters</t>
  </si>
  <si>
    <t>Year of Current Dollars for Model</t>
  </si>
  <si>
    <t>One- or Two-Way Data</t>
  </si>
  <si>
    <t>FUEL CONSUMPTION RATES</t>
  </si>
  <si>
    <t>HIGHWAY EMISSIONS FACTORS (g/mi)</t>
  </si>
  <si>
    <t>HEALTH COST OF TRANSPORTATION EMISSIONS</t>
  </si>
  <si>
    <t>PAVEMENT DETERIORATION</t>
  </si>
  <si>
    <t>VEHICLE OPERATING SPEED</t>
  </si>
  <si>
    <t>Economic Update Factor (Using GDP Deflator)</t>
  </si>
  <si>
    <t>(gal/veh-mi)</t>
  </si>
  <si>
    <t>($/event)</t>
  </si>
  <si>
    <t>($/ton)</t>
  </si>
  <si>
    <t>(IRI in inches/mile)</t>
  </si>
  <si>
    <t>(percent adjustment)</t>
  </si>
  <si>
    <t>Real Discount Rate</t>
  </si>
  <si>
    <t>Speed</t>
  </si>
  <si>
    <t>Auto</t>
  </si>
  <si>
    <t>Event</t>
  </si>
  <si>
    <t>Pass Train</t>
  </si>
  <si>
    <t>CO</t>
  </si>
  <si>
    <r>
      <t>NO</t>
    </r>
    <r>
      <rPr>
        <b/>
        <vertAlign val="subscript"/>
        <sz val="10"/>
        <rFont val="Arial"/>
        <family val="2"/>
      </rPr>
      <t>X</t>
    </r>
  </si>
  <si>
    <r>
      <t>PM</t>
    </r>
    <r>
      <rPr>
        <b/>
        <vertAlign val="subscript"/>
        <sz val="10"/>
        <rFont val="Arial"/>
        <family val="2"/>
      </rPr>
      <t>10</t>
    </r>
  </si>
  <si>
    <r>
      <t>SO</t>
    </r>
    <r>
      <rPr>
        <b/>
        <vertAlign val="subscript"/>
        <sz val="10"/>
        <rFont val="Arial"/>
        <family val="2"/>
      </rPr>
      <t>X</t>
    </r>
  </si>
  <si>
    <t>VOC</t>
  </si>
  <si>
    <t>Area</t>
  </si>
  <si>
    <t>Total Trips</t>
  </si>
  <si>
    <t>Proj Loc</t>
  </si>
  <si>
    <t>Year 20, By Loading</t>
  </si>
  <si>
    <t>Fatality</t>
  </si>
  <si>
    <t>LA/South Coast</t>
  </si>
  <si>
    <t>Year 0</t>
  </si>
  <si>
    <t>Medium</t>
  </si>
  <si>
    <t>Heavy</t>
  </si>
  <si>
    <t>IRI</t>
  </si>
  <si>
    <t>Injury</t>
  </si>
  <si>
    <t>CA Urban Area</t>
  </si>
  <si>
    <t>Prop Damage</t>
  </si>
  <si>
    <t>CA Rural Area</t>
  </si>
  <si>
    <t>Highway Operations Parameters</t>
  </si>
  <si>
    <t>Units</t>
  </si>
  <si>
    <t>Maximum V/C Ratio</t>
  </si>
  <si>
    <t>Percent ADT in Average Peak Hour</t>
  </si>
  <si>
    <t>%</t>
  </si>
  <si>
    <t>PASSENGER TRAIN EMISSIONS FACTORS</t>
  </si>
  <si>
    <t>Travel Time Parameters</t>
  </si>
  <si>
    <t>(g/train-mile)</t>
  </si>
  <si>
    <t>Average Hourly Wage</t>
  </si>
  <si>
    <t>$/hr</t>
  </si>
  <si>
    <t>Passenger Train</t>
  </si>
  <si>
    <t>Value of Time</t>
  </si>
  <si>
    <t>All Accidents</t>
  </si>
  <si>
    <t>Automobile</t>
  </si>
  <si>
    <t>LIGHT RAIL EMISSIONS FACTORS</t>
  </si>
  <si>
    <t>(g/veh-mile)</t>
  </si>
  <si>
    <t>Source: Paterson, 1987</t>
  </si>
  <si>
    <t>Source: Botterill, 1996 and 1997</t>
  </si>
  <si>
    <t>$/gal</t>
  </si>
  <si>
    <t>Non-Fuel Cost Per Mile</t>
  </si>
  <si>
    <t>($/million veh-mi)</t>
  </si>
  <si>
    <t>FUEL CONSUMPTION</t>
  </si>
  <si>
    <t>NON-FUEL COSTS</t>
  </si>
  <si>
    <t>$/mi</t>
  </si>
  <si>
    <t>Cost</t>
  </si>
  <si>
    <t>Cost of a Fatality</t>
  </si>
  <si>
    <t>$/event</t>
  </si>
  <si>
    <t>Source: Combination of above two tables</t>
  </si>
  <si>
    <t>Cost of an Injury</t>
  </si>
  <si>
    <t>Level A (Severe)</t>
  </si>
  <si>
    <t>Level B (Moderate)</t>
  </si>
  <si>
    <t>Level C (Minor)</t>
  </si>
  <si>
    <t>(rate with passing lane/rate without passing lane)</t>
  </si>
  <si>
    <t>Minimum ADT</t>
  </si>
  <si>
    <t>PDO</t>
  </si>
  <si>
    <t>Source: Taylor and Jain, 1991</t>
  </si>
  <si>
    <t>Source: Texas Transportation Institute, 1994</t>
  </si>
  <si>
    <t>Source: ARRB Research Board TR VOC Model</t>
  </si>
  <si>
    <t xml:space="preserve">    User Modified Inputs</t>
  </si>
  <si>
    <t>Passing</t>
  </si>
  <si>
    <t>Intersect</t>
  </si>
  <si>
    <t>GenHwy</t>
  </si>
  <si>
    <t>PassRail</t>
  </si>
  <si>
    <t>LRT</t>
  </si>
  <si>
    <t>AuxLane</t>
  </si>
  <si>
    <t>FreeConn</t>
  </si>
  <si>
    <t>HOVConn</t>
  </si>
  <si>
    <t>HOVDrop</t>
  </si>
  <si>
    <t>OffRamp</t>
  </si>
  <si>
    <t>OnRamp</t>
  </si>
  <si>
    <t>IM</t>
  </si>
  <si>
    <t>TI</t>
  </si>
  <si>
    <t>ASM</t>
  </si>
  <si>
    <t>AVL</t>
  </si>
  <si>
    <t>BRT</t>
  </si>
  <si>
    <t>SigPriority</t>
  </si>
  <si>
    <t>RM</t>
  </si>
  <si>
    <t>AM</t>
  </si>
  <si>
    <t>Select project type from list</t>
  </si>
  <si>
    <t>Highway Capacity Expansion</t>
  </si>
  <si>
    <t>Transp Mgmt Systems (TMS)</t>
  </si>
  <si>
    <t>Project Types</t>
  </si>
  <si>
    <t xml:space="preserve">    General Highway</t>
  </si>
  <si>
    <t xml:space="preserve">    Passing Lane</t>
  </si>
  <si>
    <t xml:space="preserve">    HOV-2 to HOV-3 Conv</t>
  </si>
  <si>
    <t>HOV2to3</t>
  </si>
  <si>
    <t xml:space="preserve">    Bypass</t>
  </si>
  <si>
    <t>Suburban</t>
  </si>
  <si>
    <t>Severe Injury (A)</t>
  </si>
  <si>
    <t>Other Visible Injury (B)</t>
  </si>
  <si>
    <t xml:space="preserve">Complaint of Pain (C) </t>
  </si>
  <si>
    <t>HIGHWAY INJURY SEVERITY FREQUENCY</t>
  </si>
  <si>
    <t>NUMBER OF FATALITIES</t>
  </si>
  <si>
    <t>NUMBER OF INJURIES</t>
  </si>
  <si>
    <t>NUMBER OF VEHICLES INVOLVED</t>
  </si>
  <si>
    <t xml:space="preserve">    Pavement</t>
  </si>
  <si>
    <t xml:space="preserve">    Passenger Rail</t>
  </si>
  <si>
    <t xml:space="preserve">    Light-Rail (LRT)</t>
  </si>
  <si>
    <t xml:space="preserve">    Bus</t>
  </si>
  <si>
    <t xml:space="preserve">    Auxiliary Lane</t>
  </si>
  <si>
    <t xml:space="preserve">    Freeway Connector</t>
  </si>
  <si>
    <t xml:space="preserve">    HOV Connector</t>
  </si>
  <si>
    <t xml:space="preserve">    HOV Drop Ramp</t>
  </si>
  <si>
    <t xml:space="preserve">    Off-Ramp Widening</t>
  </si>
  <si>
    <t xml:space="preserve">    On-Ramp Widening</t>
  </si>
  <si>
    <t xml:space="preserve">    Ramp Metering</t>
  </si>
  <si>
    <t xml:space="preserve">    Ramp Metering Signal Coord</t>
  </si>
  <si>
    <t xml:space="preserve">    Incident Management</t>
  </si>
  <si>
    <t xml:space="preserve">    Traveler Information</t>
  </si>
  <si>
    <t xml:space="preserve">    Arterial Signal Management</t>
  </si>
  <si>
    <t xml:space="preserve">    Transit Vehicle Signal Priority</t>
  </si>
  <si>
    <t xml:space="preserve">    Bus Rapid Transit (BRT)</t>
  </si>
  <si>
    <t>Weaving Volume</t>
  </si>
  <si>
    <t>Weaving Speed</t>
  </si>
  <si>
    <t>Office of Transportation Economics</t>
  </si>
  <si>
    <t>Division of Transportation Planning</t>
  </si>
  <si>
    <t>Model speed estimates based on Highway Capacity Manual, pavement research, and research on weaving impacts</t>
  </si>
  <si>
    <t>HOV Restriction (2 or 3)</t>
  </si>
  <si>
    <t>Highway Free-Flow Speed</t>
  </si>
  <si>
    <r>
      <t xml:space="preserve">Weaving Adjustments </t>
    </r>
    <r>
      <rPr>
        <sz val="10"/>
        <color indexed="16"/>
        <rFont val="Arial"/>
        <family val="2"/>
      </rPr>
      <t>(used only for freeway</t>
    </r>
  </si>
  <si>
    <t>connector, HOV connector, and HOV drop ramp projects)</t>
  </si>
  <si>
    <t>Percent</t>
  </si>
  <si>
    <t>Weaving</t>
  </si>
  <si>
    <t>Freeway</t>
  </si>
  <si>
    <t>Conn</t>
  </si>
  <si>
    <t>Source: Fitzpatrick, Brewer, and Venglar, 2003</t>
  </si>
  <si>
    <t>Peak Period Weaving</t>
  </si>
  <si>
    <t>Non-Peak Period Weaving</t>
  </si>
  <si>
    <t>In-Vehicle</t>
  </si>
  <si>
    <t>Out-of-Vehicle</t>
  </si>
  <si>
    <t>Peak Period In-Vehicle Transit</t>
  </si>
  <si>
    <t>RUNNING EMISSIONS</t>
  </si>
  <si>
    <t>STARTING EMISSIONS</t>
  </si>
  <si>
    <t>Non-Peak Period In-Vehicle Transit</t>
  </si>
  <si>
    <t>AVERAGE IN-VEH TRAVEL TIME</t>
  </si>
  <si>
    <t>times</t>
  </si>
  <si>
    <t>Out-of-Vehicle Travel</t>
  </si>
  <si>
    <t>Incident-Related Travel</t>
  </si>
  <si>
    <t>Exclusive ROW for Buses (y/n)</t>
  </si>
  <si>
    <t>Peak Period Out-of-Vehicle Transit</t>
  </si>
  <si>
    <t>AVERAGE OUT-VEH TRAVEL TIME</t>
  </si>
  <si>
    <t>Non-Peak Period Out-of-Vehicle Transit</t>
  </si>
  <si>
    <t>Out-of-Veh</t>
  </si>
  <si>
    <t>Avg. Gate Down Time (in min.)</t>
  </si>
  <si>
    <t>Dep. Rate</t>
  </si>
  <si>
    <r>
      <t xml:space="preserve">Transit Agency Costs </t>
    </r>
    <r>
      <rPr>
        <sz val="10"/>
        <color indexed="8"/>
        <rFont val="Arial"/>
        <family val="2"/>
      </rPr>
      <t>(if TMS project)</t>
    </r>
  </si>
  <si>
    <r>
      <t xml:space="preserve">Average Vehicles/Train </t>
    </r>
    <r>
      <rPr>
        <sz val="10"/>
        <rFont val="Arial"/>
        <family val="2"/>
      </rPr>
      <t>(if rail project)</t>
    </r>
  </si>
  <si>
    <t>Arrival Rate (in vehicles per hour)</t>
  </si>
  <si>
    <t>Departure Rate (in vehicles per hour)</t>
  </si>
  <si>
    <t>Highway Grade Crossing</t>
  </si>
  <si>
    <t>Accident Cost Parameters</t>
  </si>
  <si>
    <t>Vehicle Operating Cost Parameters</t>
  </si>
  <si>
    <t>Percent Reduction (if safety project)</t>
  </si>
  <si>
    <t>Agency</t>
  </si>
  <si>
    <t xml:space="preserve">    Transit Vehicle Location (AVL)</t>
  </si>
  <si>
    <t>Annual Capital Expenditure</t>
  </si>
  <si>
    <t>2C</t>
  </si>
  <si>
    <t>(percent of total daily travel)</t>
  </si>
  <si>
    <t>RAMP AND ARTERIAL INPUTS</t>
  </si>
  <si>
    <t>Source/Notes</t>
  </si>
  <si>
    <t>Average Ramp Speed</t>
  </si>
  <si>
    <t>Average Arterial Speed</t>
  </si>
  <si>
    <t>Proj. Eval.</t>
  </si>
  <si>
    <t>Used for</t>
  </si>
  <si>
    <t>by User</t>
  </si>
  <si>
    <t>Entered</t>
  </si>
  <si>
    <t>Aggregate Ramp Volume</t>
  </si>
  <si>
    <t>Aggregate Arterial Volume</t>
  </si>
  <si>
    <t>All Ramps</t>
  </si>
  <si>
    <t>Arterials</t>
  </si>
  <si>
    <r>
      <t>Detailed Information Available?</t>
    </r>
    <r>
      <rPr>
        <sz val="10"/>
        <rFont val="Arial"/>
        <family val="2"/>
      </rPr>
      <t xml:space="preserve"> (y/n)</t>
    </r>
  </si>
  <si>
    <r>
      <t>Aggregate Segment Length</t>
    </r>
    <r>
      <rPr>
        <sz val="10"/>
        <rFont val="Arial"/>
        <family val="2"/>
      </rPr>
      <t xml:space="preserve"> (estimate as VMT/total volume)</t>
    </r>
  </si>
  <si>
    <t>Peak Period Ramp</t>
  </si>
  <si>
    <t>(person-hours/yr)</t>
  </si>
  <si>
    <t>Peak Period Arterial</t>
  </si>
  <si>
    <t>Ramp</t>
  </si>
  <si>
    <t>Cost of Property Damage</t>
  </si>
  <si>
    <t>Arterial</t>
  </si>
  <si>
    <t>Average Cost</t>
  </si>
  <si>
    <t>TMS</t>
  </si>
  <si>
    <t>Strategy</t>
  </si>
  <si>
    <t>Without</t>
  </si>
  <si>
    <t>Volume</t>
  </si>
  <si>
    <t>With</t>
  </si>
  <si>
    <t>TT</t>
  </si>
  <si>
    <t>Non-Highway Benefits</t>
  </si>
  <si>
    <t xml:space="preserve">    TMS Lookup Code</t>
  </si>
  <si>
    <t>Em</t>
  </si>
  <si>
    <t>AMoth</t>
  </si>
  <si>
    <t>IMoth</t>
  </si>
  <si>
    <t>RMoth</t>
  </si>
  <si>
    <t>TIoth</t>
  </si>
  <si>
    <t>AMsev</t>
  </si>
  <si>
    <t>IMsev</t>
  </si>
  <si>
    <t>RMsev</t>
  </si>
  <si>
    <t>TIsev</t>
  </si>
  <si>
    <t>NoAdj</t>
  </si>
  <si>
    <t>Benefit</t>
  </si>
  <si>
    <t>On-Ramp Volume</t>
  </si>
  <si>
    <t>ORsev</t>
  </si>
  <si>
    <t>ORoth</t>
  </si>
  <si>
    <t>Source: California Department of Transportation TMS Master Plan, 2003</t>
  </si>
  <si>
    <t>PEAK PERIOD SPEED, VOLUME, AND NON-HIGHWAY BENEFITS</t>
  </si>
  <si>
    <t>PROJECT COSTS (enter costs in thousands of dollars)</t>
  </si>
  <si>
    <t>TOTAL COSTS (in dollars)</t>
  </si>
  <si>
    <t>(if detailed information is available for a TMS or an arterial signal management project)</t>
  </si>
  <si>
    <t>Saved</t>
  </si>
  <si>
    <t>Model should be run for both roads for intersection or bypass highway projects, and</t>
  </si>
  <si>
    <t>data for second road.  After data are entered, results reflect total project benefits.</t>
  </si>
  <si>
    <t>Travel Time Uprater</t>
  </si>
  <si>
    <t>annual incr</t>
  </si>
  <si>
    <t>may be run twice for connectors.  Press button below to prepare model to enter</t>
  </si>
  <si>
    <t>Average</t>
  </si>
  <si>
    <t>Annual</t>
  </si>
  <si>
    <t>Total Over</t>
  </si>
  <si>
    <t xml:space="preserve">     Accident Cost Savings</t>
  </si>
  <si>
    <t xml:space="preserve">     Emission Cost Savings</t>
  </si>
  <si>
    <t>Ramp Design Speed (if aux. lane/off-ramp proj.)</t>
  </si>
  <si>
    <t>Hourly Ramp Volume (if aux. lane/on-ramp proj.)</t>
  </si>
  <si>
    <t>Metering Strategy (1, 2, 3, or D, if on-ramp proj.)</t>
  </si>
  <si>
    <t>Annual Ops. and Maintenance Expenditure</t>
  </si>
  <si>
    <t>Non-Peak (in minutes)</t>
  </si>
  <si>
    <t>Peak (in minutes)</t>
  </si>
  <si>
    <r>
      <t xml:space="preserve">TMS Adjustments </t>
    </r>
    <r>
      <rPr>
        <sz val="10"/>
        <color indexed="16"/>
        <rFont val="Arial"/>
        <family val="2"/>
      </rPr>
      <t>(used only for ramp metering, ramp metering signal coordination, incident</t>
    </r>
  </si>
  <si>
    <t>Agency Costs</t>
  </si>
  <si>
    <t>Capital</t>
  </si>
  <si>
    <t>O&amp;M</t>
  </si>
  <si>
    <t>Transit Vehicle Location (AVL)</t>
  </si>
  <si>
    <t>Transit Vehicle Signal Priority</t>
  </si>
  <si>
    <t>Bus Rapid Transit (BRT)</t>
  </si>
  <si>
    <t>TMS Strategy</t>
  </si>
  <si>
    <t>Sources: FHWA ITS Deployment Analysis System (IDAS), California PATH</t>
  </si>
  <si>
    <t>(percent savings)</t>
  </si>
  <si>
    <t>TRANSIT TRAVEL TIME AND AGENCY COST SAVINGS</t>
  </si>
  <si>
    <t>SUMMARY OF TRAVEL TIME BENEFITS (continued)</t>
  </si>
  <si>
    <t>SUMMARY OF EMISSION REDUCTION BENEFITS (continued)</t>
  </si>
  <si>
    <t>INTERNAL RATE OF RETURN ON INVESTMENT AND PAYBACK PERIOD</t>
  </si>
  <si>
    <t>Annual Number of Trains</t>
  </si>
  <si>
    <t>Heavy and Light Truck Drivers</t>
  </si>
  <si>
    <t>Non-Freeway</t>
  </si>
  <si>
    <t>Source: California Air Resources Board,</t>
  </si>
  <si>
    <t>Notes: 1) Zero mph corresponds to starts, 2) Other emissions factors include idling emissions and exclude diurnal and evaporative emissions, 3) Five mph is best estimate for idling</t>
  </si>
  <si>
    <t>Induced = Change in Trips x Change in Travel Time * 0.5</t>
  </si>
  <si>
    <t>Travel Time = AVO x Avg. Annual Volume x Affected Length / Speed</t>
  </si>
  <si>
    <t>Percent Traffic in Weave</t>
  </si>
  <si>
    <t>Automobile (regular unleaded)</t>
  </si>
  <si>
    <t>Truck (diesel)</t>
  </si>
  <si>
    <t>Average Fuel Price</t>
  </si>
  <si>
    <t>Sales and Fuel Taxes</t>
  </si>
  <si>
    <t>Average Local Sales Tax</t>
  </si>
  <si>
    <t>Federal Fuel Excise Tax (gasoline)</t>
  </si>
  <si>
    <t>Federal Fuel Excise Tax (diesel)</t>
  </si>
  <si>
    <t>$/hr/veh</t>
  </si>
  <si>
    <t>$/hr/per</t>
  </si>
  <si>
    <t>(road 3)</t>
  </si>
  <si>
    <t>Benefits in</t>
  </si>
  <si>
    <t>Total User</t>
  </si>
  <si>
    <t>per mil veh-mi</t>
  </si>
  <si>
    <t>Add arrival rate &amp; check departure rate in 1B</t>
  </si>
  <si>
    <r>
      <t xml:space="preserve">Queue Formation </t>
    </r>
    <r>
      <rPr>
        <sz val="10"/>
        <rFont val="Arial"/>
        <family val="2"/>
      </rPr>
      <t>(if queuing or grade crossing project)</t>
    </r>
  </si>
  <si>
    <t xml:space="preserve">    Hwy-Rail Grade Crossing</t>
  </si>
  <si>
    <t>Induced</t>
  </si>
  <si>
    <t>Auto*</t>
  </si>
  <si>
    <t>Benefits and Costs</t>
  </si>
  <si>
    <t>Statewide Average Hourly Wage</t>
  </si>
  <si>
    <t>Auto &amp; Truck Composite</t>
  </si>
  <si>
    <r>
      <t>Length of Peak Period(s)</t>
    </r>
    <r>
      <rPr>
        <sz val="12"/>
        <rFont val="Arial"/>
        <family val="2"/>
      </rPr>
      <t xml:space="preserve"> (up to 24 hrs)</t>
    </r>
  </si>
  <si>
    <t xml:space="preserve">    Intersection</t>
  </si>
  <si>
    <t>enter 1 or 2</t>
  </si>
  <si>
    <t>Average Daily Traffic</t>
  </si>
  <si>
    <t>(road 2)</t>
  </si>
  <si>
    <t>Freight</t>
  </si>
  <si>
    <t>Freight Benefits Only</t>
  </si>
  <si>
    <r>
      <t>CO</t>
    </r>
    <r>
      <rPr>
        <vertAlign val="subscript"/>
        <sz val="10"/>
        <rFont val="Arial"/>
        <family val="2"/>
      </rPr>
      <t>2</t>
    </r>
    <r>
      <rPr>
        <sz val="10"/>
        <rFont val="Arial"/>
        <family val="2"/>
      </rPr>
      <t>e Uprater</t>
    </r>
  </si>
  <si>
    <t>Active Transportation Parameters</t>
  </si>
  <si>
    <t>General Travel Activity Characteristics Parameters</t>
  </si>
  <si>
    <t>Cycling Days per Year</t>
  </si>
  <si>
    <t>days</t>
  </si>
  <si>
    <t>Walking Days per Year</t>
  </si>
  <si>
    <t>School Days per Year</t>
  </si>
  <si>
    <t>Vehicle Statistics</t>
  </si>
  <si>
    <t>Average Vehicle Speed</t>
  </si>
  <si>
    <t>Average Vehicle Occupancy</t>
  </si>
  <si>
    <t>persons / veh</t>
  </si>
  <si>
    <t>16, 17</t>
  </si>
  <si>
    <t>Active Transportation User Characteristics</t>
  </si>
  <si>
    <t>Average Cycling Speed</t>
  </si>
  <si>
    <t>Average Walking Speed</t>
  </si>
  <si>
    <t>Diversion of Cyclists from Personal Vehicles</t>
  </si>
  <si>
    <t>assumption</t>
  </si>
  <si>
    <t>Diversion of Pedestrians from Personal Vehicles</t>
  </si>
  <si>
    <t>Value of Travel Time</t>
  </si>
  <si>
    <t>Adults</t>
  </si>
  <si>
    <t>Children</t>
  </si>
  <si>
    <t>Sources: 16) Highway Capacity Manual, 17) NCHRP 387, 18) PeMS data</t>
  </si>
  <si>
    <t>Source: California Department of Transportation, 2010-2012 California Household Travel</t>
  </si>
  <si>
    <t>Class I</t>
  </si>
  <si>
    <t>Survey, Final Report Appendix, June 2013</t>
  </si>
  <si>
    <t>Class II</t>
  </si>
  <si>
    <t>Class III</t>
  </si>
  <si>
    <t>Class IV</t>
  </si>
  <si>
    <t>Note: Class IV assumed to be the same as Class II</t>
  </si>
  <si>
    <t>AGE COHORTS FOR MORTALITY RISK REDUCTION</t>
  </si>
  <si>
    <t>(percent of population)</t>
  </si>
  <si>
    <t xml:space="preserve">Street Lighting </t>
  </si>
  <si>
    <t xml:space="preserve">Curb Level </t>
  </si>
  <si>
    <t xml:space="preserve">Crowding </t>
  </si>
  <si>
    <t>Age Cohort</t>
  </si>
  <si>
    <t>South</t>
  </si>
  <si>
    <t>North</t>
  </si>
  <si>
    <t xml:space="preserve">Pavement Evenness </t>
  </si>
  <si>
    <t>Cycling</t>
  </si>
  <si>
    <t>Age 16-64</t>
  </si>
  <si>
    <t xml:space="preserve">Information Panels </t>
  </si>
  <si>
    <t>Walking</t>
  </si>
  <si>
    <t>Age 16-74</t>
  </si>
  <si>
    <t xml:space="preserve">Benches </t>
  </si>
  <si>
    <t xml:space="preserve">Directional Signage </t>
  </si>
  <si>
    <t>AVERAGE DISTANCE PER ACTIVE TRANSPORTATION TRIP</t>
  </si>
  <si>
    <t>Source: California Department of Transportation,TASAS Unit, 2010 to 2013 average</t>
  </si>
  <si>
    <t>Source: FRA, Office of Safety Analysis, 5.10 - Hwy/Rail Incidents Summary</t>
  </si>
  <si>
    <t>Health (Absenteeism Reduction)</t>
  </si>
  <si>
    <t>(miles/trip)</t>
  </si>
  <si>
    <t>Average Absence of Employees</t>
  </si>
  <si>
    <t>Percentage Covered by Short-Term Sick Leave</t>
  </si>
  <si>
    <t>Percentage of Sick Days Reduced When Active at Least 30 Minutes per Day</t>
  </si>
  <si>
    <t>Health (Mortality Reduction)</t>
  </si>
  <si>
    <t>Children &lt;16</t>
  </si>
  <si>
    <t>Percentage of Cyclists Aged 16-64</t>
  </si>
  <si>
    <t>Percentage of Pedestrians Aged 16-74</t>
  </si>
  <si>
    <t>Percentage Reduction in Mortality per 365 Annual Cycling Miles</t>
  </si>
  <si>
    <t>Percentage Reduction in Mortality per 365 Annual Walking Miles</t>
  </si>
  <si>
    <t>TRIP PURPOSE FOR ACTIVE TRANSPORTATION TRIPS</t>
  </si>
  <si>
    <t>(percent of trips)</t>
  </si>
  <si>
    <t>Morality Rate - All Causes (Aged 20-64)</t>
  </si>
  <si>
    <t>#/100,000 people</t>
  </si>
  <si>
    <t>Morality Rate - All Causes (Aged 20-74)</t>
  </si>
  <si>
    <t>Trip Purpose</t>
  </si>
  <si>
    <t>Commuting</t>
  </si>
  <si>
    <t>Recreation</t>
  </si>
  <si>
    <t>Other Destination</t>
  </si>
  <si>
    <t>Cycling Journey Quality - Facility Preference Factors as Function of Distance by Facility Class</t>
  </si>
  <si>
    <t>Tons</t>
  </si>
  <si>
    <t>Value (mil. $)</t>
  </si>
  <si>
    <t>EMISSIONS REDUCTION</t>
  </si>
  <si>
    <t xml:space="preserve">     CO Emissions Saved</t>
  </si>
  <si>
    <t xml:space="preserve">     VOC Emissions Saved</t>
  </si>
  <si>
    <r>
      <t xml:space="preserve">     CO</t>
    </r>
    <r>
      <rPr>
        <b/>
        <vertAlign val="subscript"/>
        <sz val="14"/>
        <color indexed="25"/>
        <rFont val="Arial"/>
        <family val="2"/>
      </rPr>
      <t>2</t>
    </r>
    <r>
      <rPr>
        <b/>
        <sz val="14"/>
        <color indexed="25"/>
        <rFont val="Arial"/>
        <family val="2"/>
      </rPr>
      <t xml:space="preserve"> Emissions Saved</t>
    </r>
  </si>
  <si>
    <r>
      <t xml:space="preserve">     NO</t>
    </r>
    <r>
      <rPr>
        <b/>
        <vertAlign val="subscript"/>
        <sz val="14"/>
        <color indexed="25"/>
        <rFont val="Arial"/>
        <family val="2"/>
      </rPr>
      <t>X</t>
    </r>
    <r>
      <rPr>
        <b/>
        <sz val="14"/>
        <color indexed="25"/>
        <rFont val="Arial"/>
        <family val="2"/>
      </rPr>
      <t xml:space="preserve"> Emissions Saved</t>
    </r>
  </si>
  <si>
    <r>
      <t xml:space="preserve">     PM</t>
    </r>
    <r>
      <rPr>
        <b/>
        <vertAlign val="subscript"/>
        <sz val="14"/>
        <color indexed="25"/>
        <rFont val="Arial"/>
        <family val="2"/>
      </rPr>
      <t>10</t>
    </r>
    <r>
      <rPr>
        <b/>
        <sz val="14"/>
        <color indexed="25"/>
        <rFont val="Arial"/>
        <family val="2"/>
      </rPr>
      <t xml:space="preserve"> Emissions Saved</t>
    </r>
  </si>
  <si>
    <r>
      <t xml:space="preserve">        PM</t>
    </r>
    <r>
      <rPr>
        <b/>
        <vertAlign val="subscript"/>
        <sz val="14"/>
        <color indexed="25"/>
        <rFont val="Arial"/>
        <family val="2"/>
      </rPr>
      <t>2.5</t>
    </r>
    <r>
      <rPr>
        <b/>
        <sz val="14"/>
        <color indexed="25"/>
        <rFont val="Arial"/>
        <family val="2"/>
      </rPr>
      <t xml:space="preserve"> Emissions Saved</t>
    </r>
  </si>
  <si>
    <r>
      <t xml:space="preserve">     SO</t>
    </r>
    <r>
      <rPr>
        <b/>
        <vertAlign val="subscript"/>
        <sz val="14"/>
        <color indexed="25"/>
        <rFont val="Arial"/>
        <family val="2"/>
      </rPr>
      <t>X</t>
    </r>
    <r>
      <rPr>
        <b/>
        <sz val="14"/>
        <color indexed="25"/>
        <rFont val="Arial"/>
        <family val="2"/>
      </rPr>
      <t xml:space="preserve"> Emissions Saved</t>
    </r>
  </si>
  <si>
    <t>tons</t>
  </si>
  <si>
    <t>$ PV</t>
  </si>
  <si>
    <t>VOC Saved</t>
  </si>
  <si>
    <t>CO Saved</t>
  </si>
  <si>
    <r>
      <t>CO</t>
    </r>
    <r>
      <rPr>
        <vertAlign val="subscript"/>
        <sz val="10"/>
        <rFont val="Arial"/>
        <family val="2"/>
      </rPr>
      <t>2</t>
    </r>
    <r>
      <rPr>
        <sz val="10"/>
        <rFont val="Arial"/>
        <family val="2"/>
      </rPr>
      <t xml:space="preserve"> Saved</t>
    </r>
  </si>
  <si>
    <r>
      <t>NO</t>
    </r>
    <r>
      <rPr>
        <vertAlign val="subscript"/>
        <sz val="10"/>
        <rFont val="Arial"/>
        <family val="2"/>
      </rPr>
      <t>X</t>
    </r>
    <r>
      <rPr>
        <sz val="10"/>
        <rFont val="Arial"/>
        <family val="2"/>
      </rPr>
      <t xml:space="preserve"> Saved</t>
    </r>
  </si>
  <si>
    <r>
      <t>PM</t>
    </r>
    <r>
      <rPr>
        <vertAlign val="subscript"/>
        <sz val="10"/>
        <rFont val="Arial"/>
        <family val="2"/>
      </rPr>
      <t>10</t>
    </r>
    <r>
      <rPr>
        <sz val="10"/>
        <rFont val="Arial"/>
        <family val="2"/>
      </rPr>
      <t xml:space="preserve"> Saved</t>
    </r>
  </si>
  <si>
    <r>
      <t>PM</t>
    </r>
    <r>
      <rPr>
        <vertAlign val="subscript"/>
        <sz val="10"/>
        <rFont val="Arial"/>
        <family val="2"/>
      </rPr>
      <t>2.5</t>
    </r>
    <r>
      <rPr>
        <sz val="10"/>
        <rFont val="Arial"/>
        <family val="2"/>
      </rPr>
      <t xml:space="preserve"> Saved</t>
    </r>
  </si>
  <si>
    <r>
      <t>SO</t>
    </r>
    <r>
      <rPr>
        <vertAlign val="subscript"/>
        <sz val="10"/>
        <rFont val="Arial"/>
        <family val="2"/>
      </rPr>
      <t>X</t>
    </r>
    <r>
      <rPr>
        <sz val="10"/>
        <rFont val="Arial"/>
        <family val="2"/>
      </rPr>
      <t xml:space="preserve"> Saved</t>
    </r>
  </si>
  <si>
    <t>TONS EMISSIONS SAVED</t>
  </si>
  <si>
    <r>
      <t>CO</t>
    </r>
    <r>
      <rPr>
        <b/>
        <vertAlign val="subscript"/>
        <sz val="11"/>
        <color indexed="16"/>
        <rFont val="Arial"/>
        <family val="2"/>
      </rPr>
      <t>2</t>
    </r>
  </si>
  <si>
    <r>
      <t>NO</t>
    </r>
    <r>
      <rPr>
        <b/>
        <vertAlign val="subscript"/>
        <sz val="11"/>
        <color indexed="16"/>
        <rFont val="Arial"/>
        <family val="2"/>
      </rPr>
      <t>X</t>
    </r>
  </si>
  <si>
    <r>
      <t>PM</t>
    </r>
    <r>
      <rPr>
        <b/>
        <vertAlign val="subscript"/>
        <sz val="11"/>
        <color indexed="16"/>
        <rFont val="Arial"/>
        <family val="2"/>
      </rPr>
      <t>10</t>
    </r>
  </si>
  <si>
    <r>
      <t>PM</t>
    </r>
    <r>
      <rPr>
        <b/>
        <vertAlign val="subscript"/>
        <sz val="11"/>
        <color indexed="16"/>
        <rFont val="Arial"/>
        <family val="2"/>
      </rPr>
      <t>2.5</t>
    </r>
  </si>
  <si>
    <r>
      <t>SO</t>
    </r>
    <r>
      <rPr>
        <b/>
        <vertAlign val="subscript"/>
        <sz val="11"/>
        <color indexed="16"/>
        <rFont val="Arial"/>
        <family val="2"/>
      </rPr>
      <t>X</t>
    </r>
  </si>
  <si>
    <t>DOLLARS EMISSIONS SAVED</t>
  </si>
  <si>
    <r>
      <t>PM</t>
    </r>
    <r>
      <rPr>
        <b/>
        <vertAlign val="subscript"/>
        <sz val="10"/>
        <rFont val="Arial"/>
        <family val="2"/>
      </rPr>
      <t>2.5</t>
    </r>
  </si>
  <si>
    <t>(tons/yr)</t>
  </si>
  <si>
    <t>(PV $/yr)</t>
  </si>
  <si>
    <t xml:space="preserve">    Truck Only Lane</t>
  </si>
  <si>
    <t>TruckLane</t>
  </si>
  <si>
    <t>Remember to run macro for truck lane</t>
  </si>
  <si>
    <t>FREIGHT LOCOMOTIVE EMISSIONS FACTORS</t>
  </si>
  <si>
    <t>(g/gal)</t>
  </si>
  <si>
    <t>Freight Rail</t>
  </si>
  <si>
    <t>Freight Rail Fuel Efficiency</t>
  </si>
  <si>
    <t>ton-miles/gal</t>
  </si>
  <si>
    <t>RATES FOR NON-HIGHWAY ACCIDENT EVENTS</t>
  </si>
  <si>
    <t>COST OF NON-HIGHWAY ACCIDENT EVENTS</t>
  </si>
  <si>
    <t>COSTS OF NON-HIGHWAY ACCIDENTS</t>
  </si>
  <si>
    <t>Fuel Burned at Idle</t>
  </si>
  <si>
    <t>gal/hr</t>
  </si>
  <si>
    <t>Number of Unlinked Cycling Trips per Day</t>
  </si>
  <si>
    <t>Number of Unlinked Pedestrian Trips per Day</t>
  </si>
  <si>
    <t>trips</t>
  </si>
  <si>
    <t>Sources: FTA, Transit Safety &amp; Security Statistics, 2002 to 2011 average</t>
  </si>
  <si>
    <t xml:space="preserve">California Environmental Protection Agency / Air Resources Board, Technology Assessment: </t>
  </si>
  <si>
    <t>Freight Locomotives, November 2016</t>
  </si>
  <si>
    <t>CO2</t>
  </si>
  <si>
    <t>NOX</t>
  </si>
  <si>
    <t>PM10</t>
  </si>
  <si>
    <t>SOX</t>
  </si>
  <si>
    <t>PM2.5</t>
  </si>
  <si>
    <t>C11 RELIABILITY PARAMETERS</t>
  </si>
  <si>
    <t>(coefficients for standard deviation calculations)</t>
  </si>
  <si>
    <t>AlphaTTI</t>
  </si>
  <si>
    <t>BetaTTI</t>
  </si>
  <si>
    <t>AlphaSTD</t>
  </si>
  <si>
    <t>BetaSTD</t>
  </si>
  <si>
    <t>Travel Time Reliability Benefits</t>
  </si>
  <si>
    <t>This sheet calculates total travel time reliability benefits on highway.</t>
  </si>
  <si>
    <t>Std. Dev. Of TTI = (0.71 x (TTI Mean - 1) ^ 0.56) x Impacted Length / FF Speed</t>
  </si>
  <si>
    <t>Recurring Delay Rate = 1 / Est. Act. Speed - 1 / FF Speed</t>
  </si>
  <si>
    <t>hours/vehicle                                                                                                              mi                             mph</t>
  </si>
  <si>
    <t>hours/mi                                                            mph                                 mph</t>
  </si>
  <si>
    <t>Reliability Savings = Change in Std. Dev. Of TTI x Avg. Value of Reliability</t>
  </si>
  <si>
    <t>Recurring TTI Mean = 1 + Recurring Delay Rate x FF Speed</t>
  </si>
  <si>
    <t>$/yr                                                                              hrs/yr                                                                $/hr</t>
  </si>
  <si>
    <t xml:space="preserve">                                                                                   hours/mi                                mph</t>
  </si>
  <si>
    <t>Avg. Value of Reliability = Avg. Value of Time x Reliability Ratio</t>
  </si>
  <si>
    <t>TTI Mean = 1.0274 x Recurring TTI Mean ^ 1.2204</t>
  </si>
  <si>
    <t xml:space="preserve">$/hr                                                                                    $/hr                                        </t>
  </si>
  <si>
    <t>Induced = Change in Trips x Change in Std. Dev. of TTI x 0.5</t>
  </si>
  <si>
    <t>2E</t>
  </si>
  <si>
    <t>TRAVEL TIME RELIABILITY</t>
  </si>
  <si>
    <t>(for adjustments to Reliability Calculations, standard deviation of travel time in seconds/vehicle)</t>
  </si>
  <si>
    <t>Calculated by</t>
  </si>
  <si>
    <t>Changed</t>
  </si>
  <si>
    <t>Used for Proj.</t>
  </si>
  <si>
    <t>Model</t>
  </si>
  <si>
    <t>Eval.</t>
  </si>
  <si>
    <t>Adjustment Factor</t>
  </si>
  <si>
    <t>2) Travel Time Reliablity? (y/n)</t>
  </si>
  <si>
    <t>3) Vehicle Operating Costs? (y/n)</t>
  </si>
  <si>
    <t>4) Accident Costs? (y/n)</t>
  </si>
  <si>
    <t>5) Vehicle Emissions? (y/n)</t>
  </si>
  <si>
    <t>SUMMARY OF TRAVEL TIME RELIABILITY BENEFITS</t>
  </si>
  <si>
    <t>RECURRING DELAY RATE</t>
  </si>
  <si>
    <t>STANDARD DEVIATION</t>
  </si>
  <si>
    <t>RELIABILITY BENEFIT</t>
  </si>
  <si>
    <t>RELIABILITY COST</t>
  </si>
  <si>
    <t>(vehicles/day)</t>
  </si>
  <si>
    <t>(hrs/mi)</t>
  </si>
  <si>
    <t>OF TRAVEL TIME INDEX</t>
  </si>
  <si>
    <t>(hours/trip)</t>
  </si>
  <si>
    <t>(hours/vehicle)</t>
  </si>
  <si>
    <t>Reliability</t>
  </si>
  <si>
    <t>(hrs/veh)</t>
  </si>
  <si>
    <t>RELIABILITY RATIO</t>
  </si>
  <si>
    <t>(value of reliability relative to value of time)</t>
  </si>
  <si>
    <t xml:space="preserve"> </t>
  </si>
  <si>
    <t>Walking Journey Quality Values per Mile by Amenity</t>
  </si>
  <si>
    <t>Hypothetical Project</t>
  </si>
  <si>
    <r>
      <t xml:space="preserve">Reliability Tables </t>
    </r>
    <r>
      <rPr>
        <sz val="10"/>
        <color indexed="16"/>
        <rFont val="Arial"/>
        <family val="2"/>
      </rPr>
      <t xml:space="preserve">(used for calculating travel time reliability </t>
    </r>
  </si>
  <si>
    <t>impacts if included)</t>
  </si>
  <si>
    <t xml:space="preserve"> Tool: User's Guide, January 2013.</t>
  </si>
  <si>
    <t>Source: SHRP2 Project C11: Reliability Analysis</t>
  </si>
  <si>
    <t>Source: Pricing and Travel Time Reliability Enhancements in the</t>
  </si>
  <si>
    <t>SANDAG Activity-Based Travel Model: Final Report, 2016.</t>
  </si>
  <si>
    <t>Treasurer's Office data, 3) Bureau of Labor Statistics (BLS) OES 2020, 4) BLS Employment</t>
  </si>
  <si>
    <t>Cost Index, 5) USDOT Department Guidance 2021, 6) California Department of Transportation</t>
  </si>
  <si>
    <t>Board of Equalization, 10) Caltrans Transportation Funding in California 2020, 11) AAA Your</t>
  </si>
  <si>
    <t>TSI and Traffic Operations, 7) IDAS model, 8) AAA Daily Fuel Gauge Report 2021, 9) California</t>
  </si>
  <si>
    <t xml:space="preserve">Driving Costs 2021, 12) American Transportation Research Institute 2021, 13) USDOT VSL, </t>
  </si>
  <si>
    <t>14) NHTSA 2010, 15) Crash Data on California State Highways 2018</t>
  </si>
  <si>
    <t xml:space="preserve">Sources: 19) 2017 National Household Travel Survey, 20) 2017 WHO HEAT Model Documentation, 21) Hood et al., 2011, 22) Heuman et al., 2005, </t>
  </si>
  <si>
    <t>23) Maestas et al., 2018, 24) World Health Organization, 2003, 25) California Health and Human Services Agency, 2019 Final Deaths</t>
  </si>
  <si>
    <t>Source: 2017 National Household Travel Survey, California Sample</t>
  </si>
  <si>
    <t>Source: 2017 SWITRS Annual Report, Table 8C</t>
  </si>
  <si>
    <t>26) Crash Data on California State Highways 2018</t>
  </si>
  <si>
    <t>Sources: USDOT,Transportation Statistics Annual Report, Table 2-33, 2010 to 2019 average</t>
  </si>
  <si>
    <t>FRA, Office of Safety Analysis, Table 1.13, 2011 to 2020 CY average</t>
  </si>
  <si>
    <t>FRA, Office of Safety Analysis, Table 3.16, 2018 to 2020 average</t>
  </si>
  <si>
    <t>Table, California, Motor Vehicles, Public Crossings, Jan 2011 to Dec 2020</t>
  </si>
  <si>
    <t>Model Year 2024</t>
  </si>
  <si>
    <t>Model Year 2044</t>
  </si>
  <si>
    <t>Source: California Air Resources Board, EMFAC 2021</t>
  </si>
  <si>
    <t>Interagency Working Group on Social Cost of Carbon, United States Government, 2021 for CO2e</t>
  </si>
  <si>
    <t>Association of American Railroads, Freight Rail &amp; Preserving the Environment, April 2021</t>
  </si>
  <si>
    <t>Energy Information Administration, Electricty Retail Sales, 2019</t>
  </si>
  <si>
    <t>FTA, National Transit Database, Fuel and Energy, 2019</t>
  </si>
  <si>
    <t>Sources: Argonne National Laboratory, Energy Systems, GREET Model, 2021</t>
  </si>
  <si>
    <t>27) Chaudhary and Messer, 2000</t>
  </si>
  <si>
    <t>* Includes motorcycles &amp; medium duty vehicles</t>
  </si>
  <si>
    <t>EMFAC2021, 2024 &amp; 2044 average</t>
  </si>
  <si>
    <r>
      <t xml:space="preserve">California Life-Cycle
Benefit/Cost Analysis Model
</t>
    </r>
    <r>
      <rPr>
        <b/>
        <sz val="24"/>
        <color indexed="18"/>
        <rFont val="Arial"/>
        <family val="2"/>
      </rPr>
      <t xml:space="preserve">(Cal-B/C Sketch) </t>
    </r>
    <r>
      <rPr>
        <b/>
        <sz val="16"/>
        <color indexed="18"/>
        <rFont val="Arial"/>
        <family val="2"/>
      </rPr>
      <t>Version 8.1</t>
    </r>
  </si>
  <si>
    <t>The column titles for this worksheet are in row 2. They span cells C2. The data spans cells A3 through C29. There is information in every cell for column A through C inclusive.  If you are not using a screen reader, you can press Alt + R, T for the Review Ribbon, Edit Comment to move to and open a Comment once you are on a cell with a Comment. When you are finished reading the Comment, press Escape to close the comment and return to the worksheet. If you are using the JAWS screen reader, press Ctrl + Shift + Apostrophe to get a list of Comments and their cell coordinates in the worksheet. Press Enter on the Comment you want to go to or Escape once you’ve read the Comment for a cell. You are returned to the workbook. Note that there is no keyboard command with JAWS to reread Comments or read Comments once you are on them in a cell. You must use the ability to list Comments in order to read them if you are using the JAWS screen reader.</t>
  </si>
  <si>
    <t>Statewide Basic Average Crash Rate</t>
  </si>
  <si>
    <t>Crash Rate (per million vehicle-miles)</t>
  </si>
  <si>
    <t>Percent Fatal Crashes (Pct Fat)</t>
  </si>
  <si>
    <t>Percent Injury Crashes (Pct Inj)</t>
  </si>
  <si>
    <t>HIGHWAY CRASH RATES</t>
  </si>
  <si>
    <t>Fatal Crashes</t>
  </si>
  <si>
    <t>Injury Crashes</t>
  </si>
  <si>
    <t>PDO Crashes</t>
  </si>
  <si>
    <t>Total Crashes</t>
  </si>
  <si>
    <t>CRASH COSTS</t>
  </si>
  <si>
    <t>Mode Types</t>
  </si>
  <si>
    <t>Cost of Highway Crash</t>
  </si>
  <si>
    <t>Fatal Crash</t>
  </si>
  <si>
    <t>Injury Crash</t>
  </si>
  <si>
    <t>PDO Crash</t>
  </si>
  <si>
    <t>Statewide Highway Crash Rates</t>
  </si>
  <si>
    <t>$/crash</t>
  </si>
  <si>
    <t>(events/crash)</t>
  </si>
  <si>
    <t>Crash Type</t>
  </si>
  <si>
    <t>(percent of crashes)</t>
  </si>
  <si>
    <t>COST OF HIGHWAY CRASHES</t>
  </si>
  <si>
    <t>($/crash)</t>
  </si>
  <si>
    <t>PASSING LANE CRASH REDUCTION FACTORS</t>
  </si>
  <si>
    <t>DISTRIBUTION OF CRASH TYPES</t>
  </si>
  <si>
    <t>eab@dot.ca.gov</t>
  </si>
  <si>
    <t>Transportation Economics Branch</t>
  </si>
  <si>
    <t>March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</si>
</sst>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5" formatCode="&quot;$&quot;#,##0_);\(&quot;$&quot;#,##0\)"/>
    <numFmt numFmtId="7" formatCode="&quot;$&quot;#,##0.00_);\(&quot;$&quot;#,##0.00\)"/>
    <numFmt numFmtId="44" formatCode="_(&quot;$&quot;* #,##0.00_);_(&quot;$&quot;* \(#,##0.00\);_(&quot;$&quot;* &quot;-&quot;??_);_(@_)"/>
    <numFmt numFmtId="43" formatCode="_(* #,##0.00_);_(* \(#,##0.00\);_(* &quot;-&quot;??_);_(@_)"/>
    <numFmt numFmtId="164" formatCode="0.00000"/>
    <numFmt numFmtId="165" formatCode="0.0_)"/>
    <numFmt numFmtId="166" formatCode="0_)"/>
    <numFmt numFmtId="167" formatCode="0.0"/>
    <numFmt numFmtId="168" formatCode="?0_)"/>
    <numFmt numFmtId="169" formatCode="&quot;$&quot;#,##0.0;\-&quot;$&quot;#,##0.0"/>
    <numFmt numFmtId="170" formatCode="0.0%"/>
    <numFmt numFmtId="171" formatCode=";;"/>
    <numFmt numFmtId="172" formatCode="#,##0_);\(#,##0_)"/>
    <numFmt numFmtId="173" formatCode="0.0000"/>
    <numFmt numFmtId="174" formatCode="#,##0.0_);\(#,##0.0\)"/>
    <numFmt numFmtId="175" formatCode="#,##0.0_);[Red]\(#,##0.0\)"/>
    <numFmt numFmtId="176" formatCode="&quot;$&quot;#,##0"/>
    <numFmt numFmtId="177" formatCode="?0.00_)"/>
    <numFmt numFmtId="178" formatCode="0.000"/>
    <numFmt numFmtId="179" formatCode="_(&quot;$&quot;* #,##0.000_);_(&quot;$&quot;* \(#,##0.000\);_(&quot;$&quot;* &quot;-&quot;??_);_(@_)"/>
    <numFmt numFmtId="180" formatCode="#,##0.0000000000000_);[Red]\(#,##0.0000000000000\)"/>
    <numFmt numFmtId="181" formatCode="_(&quot;$&quot;* #,##0_);_(&quot;$&quot;* \(#,##0\);_(&quot;$&quot;* &quot;-&quot;??_);_(@_)"/>
    <numFmt numFmtId="182" formatCode="?0.00"/>
    <numFmt numFmtId="183" formatCode="??,??0"/>
    <numFmt numFmtId="184" formatCode="#"/>
    <numFmt numFmtId="185" formatCode="_(* #,##0_);_(* \(#,##0\);_(* &quot;-&quot;??_);_(@_)"/>
    <numFmt numFmtId="186" formatCode="0_);\(0\)"/>
    <numFmt numFmtId="187" formatCode="_(* #,##0.000_);_(* \(#,##0.000\);_(* &quot;-&quot;??_);_(@_)"/>
    <numFmt numFmtId="188" formatCode="#,##0.0"/>
    <numFmt numFmtId="189" formatCode="?0.0000"/>
    <numFmt numFmtId="190" formatCode="#,##0.000_);\(#,##0.000\)"/>
    <numFmt numFmtId="191" formatCode="#,##0.0000_);\(#,##0.0000\)"/>
    <numFmt numFmtId="192" formatCode="?0.000_)"/>
    <numFmt numFmtId="193" formatCode="#,##0.000"/>
    <numFmt numFmtId="194" formatCode="#,##0.0000"/>
    <numFmt numFmtId="195" formatCode="[&lt;=1]0&quot; year&quot;;[&gt;20]&quot;20+ years&quot;;0&quot; years&quot;"/>
    <numFmt numFmtId="196" formatCode="&quot;$&quot;#,##0.000"/>
    <numFmt numFmtId="197" formatCode="[$£-809]#,##0.000"/>
    <numFmt numFmtId="198" formatCode="[$$-409]#,##0"/>
    <numFmt numFmtId="199" formatCode="#,##0\ "/>
    <numFmt numFmtId="200" formatCode="_(* #,##0.0_);_(* \(#,##0.0\);_(* &quot;-&quot;??_);_(@_)"/>
    <numFmt numFmtId="201" formatCode="###0.00_)"/>
    <numFmt numFmtId="202" formatCode="#,##0_)"/>
    <numFmt numFmtId="203" formatCode="0.0_W"/>
    <numFmt numFmtId="204" formatCode="0.00_)"/>
    <numFmt numFmtId="205" formatCode="#,##0.000_);[Red]\(#,##0.000\)"/>
    <numFmt numFmtId="206" formatCode="0.000_)"/>
  </numFmts>
  <fonts count="143" x14ac:knownFonts="1">
    <font>
      <sz val="10"/>
      <name val="Arial"/>
    </font>
    <font>
      <sz val="10"/>
      <name val="Arial"/>
      <family val="2"/>
    </font>
    <font>
      <sz val="10"/>
      <name val="Arial"/>
      <family val="2"/>
    </font>
    <font>
      <b/>
      <sz val="14"/>
      <color indexed="32"/>
      <name val="Arial"/>
      <family val="2"/>
    </font>
    <font>
      <sz val="8"/>
      <name val="Arial"/>
      <family val="2"/>
    </font>
    <font>
      <b/>
      <i/>
      <sz val="12"/>
      <color indexed="8"/>
      <name val="Arial"/>
      <family val="2"/>
    </font>
    <font>
      <b/>
      <i/>
      <sz val="10"/>
      <name val="Arial"/>
      <family val="2"/>
    </font>
    <font>
      <sz val="12"/>
      <name val="Arial"/>
      <family val="2"/>
    </font>
    <font>
      <sz val="11"/>
      <name val="Arial"/>
      <family val="2"/>
    </font>
    <font>
      <sz val="12"/>
      <color indexed="16"/>
      <name val="Arial"/>
      <family val="2"/>
    </font>
    <font>
      <sz val="9"/>
      <color indexed="10"/>
      <name val="Arial"/>
      <family val="2"/>
    </font>
    <font>
      <sz val="11"/>
      <color indexed="16"/>
      <name val="Arial"/>
      <family val="2"/>
    </font>
    <font>
      <b/>
      <i/>
      <sz val="12"/>
      <name val="Arial"/>
      <family val="2"/>
    </font>
    <font>
      <sz val="10"/>
      <color indexed="61"/>
      <name val="Arial"/>
      <family val="2"/>
    </font>
    <font>
      <b/>
      <sz val="10"/>
      <name val="Arial"/>
      <family val="2"/>
    </font>
    <font>
      <b/>
      <sz val="12"/>
      <name val="Arial"/>
      <family val="2"/>
    </font>
    <font>
      <b/>
      <sz val="8"/>
      <name val="Arial"/>
      <family val="2"/>
    </font>
    <font>
      <sz val="10"/>
      <color indexed="16"/>
      <name val="Arial"/>
      <family val="2"/>
    </font>
    <font>
      <b/>
      <sz val="8"/>
      <color indexed="16"/>
      <name val="Arial"/>
      <family val="2"/>
    </font>
    <font>
      <b/>
      <sz val="12"/>
      <color indexed="25"/>
      <name val="Arial"/>
      <family val="2"/>
    </font>
    <font>
      <sz val="8"/>
      <color indexed="16"/>
      <name val="Arial"/>
      <family val="2"/>
    </font>
    <font>
      <sz val="14"/>
      <color indexed="8"/>
      <name val="Arial"/>
      <family val="2"/>
    </font>
    <font>
      <sz val="14"/>
      <color indexed="32"/>
      <name val="Arial"/>
      <family val="2"/>
    </font>
    <font>
      <b/>
      <sz val="10"/>
      <color indexed="16"/>
      <name val="Arial"/>
      <family val="2"/>
    </font>
    <font>
      <b/>
      <sz val="12"/>
      <color indexed="10"/>
      <name val="Arial"/>
      <family val="2"/>
    </font>
    <font>
      <b/>
      <sz val="12"/>
      <color indexed="16"/>
      <name val="Arial"/>
      <family val="2"/>
    </font>
    <font>
      <sz val="10"/>
      <color indexed="10"/>
      <name val="Arial"/>
      <family val="2"/>
    </font>
    <font>
      <i/>
      <sz val="10"/>
      <color indexed="10"/>
      <name val="Arial"/>
      <family val="2"/>
    </font>
    <font>
      <b/>
      <sz val="11"/>
      <name val="Arial"/>
      <family val="2"/>
    </font>
    <font>
      <b/>
      <sz val="11"/>
      <color indexed="16"/>
      <name val="Arial"/>
      <family val="2"/>
    </font>
    <font>
      <b/>
      <i/>
      <sz val="8"/>
      <name val="Arial"/>
      <family val="2"/>
    </font>
    <font>
      <sz val="10"/>
      <color indexed="8"/>
      <name val="Arial"/>
      <family val="2"/>
    </font>
    <font>
      <u/>
      <sz val="10"/>
      <name val="Arial"/>
      <family val="2"/>
    </font>
    <font>
      <i/>
      <sz val="12"/>
      <color indexed="56"/>
      <name val="Arial"/>
      <family val="2"/>
    </font>
    <font>
      <sz val="10"/>
      <color indexed="25"/>
      <name val="Arial"/>
      <family val="2"/>
    </font>
    <font>
      <b/>
      <sz val="14"/>
      <color indexed="18"/>
      <name val="Arial"/>
      <family val="2"/>
    </font>
    <font>
      <sz val="12"/>
      <color indexed="26"/>
      <name val="Arial"/>
      <family val="2"/>
    </font>
    <font>
      <b/>
      <i/>
      <sz val="9"/>
      <name val="Arial"/>
      <family val="2"/>
    </font>
    <font>
      <sz val="8.5"/>
      <name val="Arial"/>
      <family val="2"/>
    </font>
    <font>
      <sz val="11"/>
      <color indexed="25"/>
      <name val="Arial"/>
      <family val="2"/>
    </font>
    <font>
      <i/>
      <sz val="14"/>
      <color indexed="56"/>
      <name val="Arial"/>
      <family val="2"/>
    </font>
    <font>
      <i/>
      <sz val="10"/>
      <color indexed="56"/>
      <name val="Arial"/>
      <family val="2"/>
    </font>
    <font>
      <b/>
      <i/>
      <sz val="14"/>
      <color indexed="56"/>
      <name val="Arial"/>
      <family val="2"/>
    </font>
    <font>
      <b/>
      <i/>
      <sz val="16"/>
      <name val="Arial"/>
      <family val="2"/>
    </font>
    <font>
      <sz val="16"/>
      <color indexed="62"/>
      <name val="Arial"/>
      <family val="2"/>
    </font>
    <font>
      <b/>
      <sz val="14"/>
      <color indexed="62"/>
      <name val="Arial"/>
      <family val="2"/>
    </font>
    <font>
      <b/>
      <sz val="10"/>
      <color indexed="25"/>
      <name val="Arial"/>
      <family val="2"/>
    </font>
    <font>
      <sz val="14"/>
      <name val="Arial"/>
      <family val="2"/>
    </font>
    <font>
      <sz val="11"/>
      <color indexed="10"/>
      <name val="Arial"/>
      <family val="2"/>
    </font>
    <font>
      <b/>
      <sz val="14"/>
      <color indexed="25"/>
      <name val="Arial"/>
      <family val="2"/>
    </font>
    <font>
      <b/>
      <i/>
      <sz val="10"/>
      <color indexed="56"/>
      <name val="Arial"/>
      <family val="2"/>
    </font>
    <font>
      <b/>
      <sz val="10"/>
      <color indexed="18"/>
      <name val="Arial"/>
      <family val="2"/>
    </font>
    <font>
      <i/>
      <sz val="10"/>
      <name val="Arial"/>
      <family val="2"/>
    </font>
    <font>
      <sz val="9"/>
      <name val="Arial"/>
      <family val="2"/>
    </font>
    <font>
      <b/>
      <vertAlign val="subscript"/>
      <sz val="10"/>
      <name val="Arial"/>
      <family val="2"/>
    </font>
    <font>
      <sz val="12"/>
      <color indexed="8"/>
      <name val="Arial"/>
      <family val="2"/>
    </font>
    <font>
      <b/>
      <i/>
      <sz val="14"/>
      <color indexed="16"/>
      <name val="Arial"/>
      <family val="2"/>
    </font>
    <font>
      <sz val="10"/>
      <name val="Helv"/>
      <family val="2"/>
    </font>
    <font>
      <sz val="10"/>
      <name val="MS Sans Serif"/>
      <family val="2"/>
    </font>
    <font>
      <sz val="8.5"/>
      <color indexed="16"/>
      <name val="Arial"/>
      <family val="2"/>
    </font>
    <font>
      <sz val="12"/>
      <color indexed="10"/>
      <name val="Arial"/>
      <family val="2"/>
    </font>
    <font>
      <sz val="11"/>
      <color indexed="18"/>
      <name val="Arial"/>
      <family val="2"/>
    </font>
    <font>
      <b/>
      <sz val="18"/>
      <color indexed="18"/>
      <name val="Arial"/>
      <family val="2"/>
    </font>
    <font>
      <b/>
      <i/>
      <sz val="16"/>
      <color indexed="25"/>
      <name val="Arial"/>
      <family val="2"/>
    </font>
    <font>
      <sz val="10"/>
      <color indexed="32"/>
      <name val="Arial"/>
      <family val="2"/>
    </font>
    <font>
      <b/>
      <sz val="24"/>
      <color indexed="18"/>
      <name val="Arial"/>
      <family val="2"/>
    </font>
    <font>
      <b/>
      <sz val="24"/>
      <color indexed="16"/>
      <name val="Arial"/>
      <family val="2"/>
    </font>
    <font>
      <b/>
      <sz val="10"/>
      <color indexed="56"/>
      <name val="Arial"/>
      <family val="2"/>
    </font>
    <font>
      <b/>
      <sz val="14"/>
      <color indexed="16"/>
      <name val="Arial"/>
      <family val="2"/>
    </font>
    <font>
      <sz val="12"/>
      <color indexed="18"/>
      <name val="Arial"/>
      <family val="2"/>
    </font>
    <font>
      <b/>
      <sz val="16"/>
      <color indexed="18"/>
      <name val="Arial"/>
      <family val="2"/>
    </font>
    <font>
      <b/>
      <sz val="12"/>
      <color indexed="18"/>
      <name val="Arial"/>
      <family val="2"/>
    </font>
    <font>
      <vertAlign val="subscript"/>
      <sz val="10"/>
      <name val="Arial"/>
      <family val="2"/>
    </font>
    <font>
      <vertAlign val="subscript"/>
      <sz val="12"/>
      <color indexed="18"/>
      <name val="Arial"/>
      <family val="2"/>
    </font>
    <font>
      <b/>
      <vertAlign val="subscript"/>
      <sz val="14"/>
      <color indexed="25"/>
      <name val="Arial"/>
      <family val="2"/>
    </font>
    <font>
      <sz val="10"/>
      <name val="Arial"/>
      <family val="2"/>
    </font>
    <font>
      <sz val="11"/>
      <name val="Calibri"/>
      <family val="2"/>
    </font>
    <font>
      <sz val="9"/>
      <color indexed="8"/>
      <name val="Calibri"/>
      <family val="2"/>
    </font>
    <font>
      <sz val="12"/>
      <name val="Helv"/>
    </font>
    <font>
      <sz val="10"/>
      <name val="Tahoma"/>
      <family val="2"/>
    </font>
    <font>
      <b/>
      <sz val="12"/>
      <name val="Helv"/>
    </font>
    <font>
      <sz val="10"/>
      <name val="Helv"/>
    </font>
    <font>
      <sz val="9"/>
      <name val="Helv"/>
    </font>
    <font>
      <vertAlign val="superscript"/>
      <sz val="12"/>
      <name val="Helv"/>
    </font>
    <font>
      <b/>
      <sz val="10"/>
      <name val="Helv"/>
    </font>
    <font>
      <b/>
      <sz val="9"/>
      <name val="Helv"/>
    </font>
    <font>
      <sz val="8.5"/>
      <name val="Helv"/>
    </font>
    <font>
      <b/>
      <i/>
      <sz val="16"/>
      <name val="Helv"/>
    </font>
    <font>
      <sz val="8"/>
      <name val="Helv"/>
    </font>
    <font>
      <b/>
      <sz val="14"/>
      <name val="Helv"/>
    </font>
    <font>
      <b/>
      <sz val="11"/>
      <name val="Times New Roman"/>
      <family val="1"/>
    </font>
    <font>
      <sz val="11"/>
      <color theme="1"/>
      <name val="Calibri"/>
      <family val="2"/>
      <scheme val="minor"/>
    </font>
    <font>
      <sz val="11"/>
      <color theme="0"/>
      <name val="Calibri"/>
      <family val="2"/>
      <scheme val="minor"/>
    </font>
    <font>
      <sz val="10"/>
      <color theme="0"/>
      <name val="Arial"/>
      <family val="2"/>
    </font>
    <font>
      <sz val="12"/>
      <color theme="0"/>
      <name val="Arial"/>
      <family val="2"/>
    </font>
    <font>
      <sz val="12"/>
      <color theme="0"/>
      <name val="Arial Narrow"/>
      <family val="2"/>
    </font>
    <font>
      <sz val="11"/>
      <color theme="0"/>
      <name val="Times New Roman"/>
      <family val="2"/>
    </font>
    <font>
      <sz val="11"/>
      <color rgb="FF9C0006"/>
      <name val="Calibri"/>
      <family val="2"/>
      <scheme val="minor"/>
    </font>
    <font>
      <sz val="11"/>
      <color rgb="FF9C0006"/>
      <name val="Times New Roman"/>
      <family val="2"/>
    </font>
    <font>
      <b/>
      <sz val="11"/>
      <color rgb="FFFA7D00"/>
      <name val="Calibri"/>
      <family val="2"/>
      <scheme val="minor"/>
    </font>
    <font>
      <b/>
      <sz val="12"/>
      <color rgb="FFFA7D00"/>
      <name val="Arial"/>
      <family val="2"/>
    </font>
    <font>
      <b/>
      <sz val="12"/>
      <color rgb="FFFA7D00"/>
      <name val="Arial Narrow"/>
      <family val="2"/>
    </font>
    <font>
      <b/>
      <sz val="11"/>
      <color theme="0"/>
      <name val="Calibri"/>
      <family val="2"/>
      <scheme val="minor"/>
    </font>
    <font>
      <sz val="10"/>
      <color theme="1"/>
      <name val="Tahoma"/>
      <family val="2"/>
    </font>
    <font>
      <sz val="12"/>
      <color theme="1"/>
      <name val="Arial Narrow"/>
      <family val="2"/>
    </font>
    <font>
      <sz val="12"/>
      <color theme="1"/>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3"/>
      <color theme="3"/>
      <name val="Arial"/>
      <family val="2"/>
    </font>
    <font>
      <b/>
      <sz val="13"/>
      <color theme="3"/>
      <name val="Arial Narrow"/>
      <family val="2"/>
    </font>
    <font>
      <b/>
      <sz val="11"/>
      <color theme="3"/>
      <name val="Calibri"/>
      <family val="2"/>
      <scheme val="minor"/>
    </font>
    <font>
      <u/>
      <sz val="11"/>
      <color theme="10"/>
      <name val="Calibri"/>
      <family val="2"/>
    </font>
    <font>
      <u/>
      <sz val="11"/>
      <color theme="10"/>
      <name val="Calibri"/>
      <family val="2"/>
      <scheme val="minor"/>
    </font>
    <font>
      <sz val="11"/>
      <color rgb="FF3F3F76"/>
      <name val="Calibri"/>
      <family val="2"/>
      <scheme val="minor"/>
    </font>
    <font>
      <sz val="12"/>
      <color rgb="FF3F3F76"/>
      <name val="Arial"/>
      <family val="2"/>
    </font>
    <font>
      <sz val="12"/>
      <color rgb="FF3F3F76"/>
      <name val="Arial Narrow"/>
      <family val="2"/>
    </font>
    <font>
      <sz val="10"/>
      <color theme="4"/>
      <name val="Arial"/>
      <family val="2"/>
    </font>
    <font>
      <sz val="11"/>
      <color rgb="FFFA7D00"/>
      <name val="Calibri"/>
      <family val="2"/>
      <scheme val="minor"/>
    </font>
    <font>
      <sz val="11"/>
      <color rgb="FF9C6500"/>
      <name val="Calibri"/>
      <family val="2"/>
      <scheme val="minor"/>
    </font>
    <font>
      <sz val="11"/>
      <color rgb="FF000000"/>
      <name val="Calibri"/>
      <family val="2"/>
      <scheme val="minor"/>
    </font>
    <font>
      <sz val="12"/>
      <color theme="1"/>
      <name val="Arial"/>
      <family val="2"/>
    </font>
    <font>
      <sz val="12"/>
      <color theme="1"/>
      <name val="Times New Roman"/>
      <family val="2"/>
    </font>
    <font>
      <sz val="11"/>
      <color indexed="8"/>
      <name val="Calibri"/>
      <family val="2"/>
      <scheme val="minor"/>
    </font>
    <font>
      <sz val="10"/>
      <color theme="1"/>
      <name val="Arial"/>
      <family val="2"/>
    </font>
    <font>
      <sz val="10"/>
      <color theme="1"/>
      <name val="Arial Narrow"/>
      <family val="2"/>
    </font>
    <font>
      <b/>
      <sz val="11"/>
      <color rgb="FF3F3F3F"/>
      <name val="Calibri"/>
      <family val="2"/>
      <scheme val="minor"/>
    </font>
    <font>
      <b/>
      <sz val="12"/>
      <color theme="5"/>
      <name val="Tahoma"/>
      <family val="2"/>
    </font>
    <font>
      <b/>
      <sz val="11"/>
      <color theme="1"/>
      <name val="Calibri"/>
      <family val="2"/>
      <scheme val="minor"/>
    </font>
    <font>
      <b/>
      <sz val="11"/>
      <color theme="1"/>
      <name val="Times New Roman"/>
      <family val="2"/>
    </font>
    <font>
      <sz val="11"/>
      <color rgb="FFFF0000"/>
      <name val="Calibri"/>
      <family val="2"/>
      <scheme val="minor"/>
    </font>
    <font>
      <sz val="11"/>
      <color rgb="FF800000"/>
      <name val="Arial"/>
      <family val="2"/>
    </font>
    <font>
      <sz val="11"/>
      <color rgb="FFFF0000"/>
      <name val="Arial"/>
      <family val="2"/>
    </font>
    <font>
      <sz val="10"/>
      <color rgb="FFFF0000"/>
      <name val="Arial"/>
      <family val="2"/>
    </font>
    <font>
      <sz val="11"/>
      <color rgb="FF000000"/>
      <name val="Calibri"/>
      <family val="2"/>
    </font>
    <font>
      <b/>
      <sz val="11"/>
      <color rgb="FF000000"/>
      <name val="Calibri"/>
      <family val="2"/>
    </font>
    <font>
      <sz val="10"/>
      <color rgb="FF000000"/>
      <name val="Arial"/>
      <family val="2"/>
    </font>
    <font>
      <u/>
      <sz val="12"/>
      <color indexed="10"/>
      <name val="Arial"/>
      <family val="2"/>
    </font>
    <font>
      <b/>
      <vertAlign val="subscript"/>
      <sz val="11"/>
      <color indexed="16"/>
      <name val="Arial"/>
      <family val="2"/>
    </font>
    <font>
      <sz val="11"/>
      <color theme="0"/>
      <name val="Calibri"/>
      <family val="2"/>
    </font>
    <font>
      <i/>
      <sz val="10"/>
      <color indexed="16"/>
      <name val="Arial"/>
      <family val="2"/>
    </font>
    <font>
      <u/>
      <sz val="10"/>
      <color theme="10"/>
      <name val="Arial"/>
      <family val="2"/>
    </font>
  </fonts>
  <fills count="68">
    <fill>
      <patternFill patternType="none"/>
    </fill>
    <fill>
      <patternFill patternType="gray125"/>
    </fill>
    <fill>
      <patternFill patternType="solid">
        <fgColor indexed="29"/>
        <bgColor indexed="64"/>
      </patternFill>
    </fill>
    <fill>
      <patternFill patternType="solid">
        <fgColor indexed="22"/>
        <bgColor indexed="64"/>
      </patternFill>
    </fill>
    <fill>
      <patternFill patternType="solid">
        <fgColor indexed="22"/>
        <bgColor indexed="9"/>
      </patternFill>
    </fill>
    <fill>
      <patternFill patternType="solid">
        <fgColor indexed="26"/>
        <bgColor indexed="64"/>
      </patternFill>
    </fill>
    <fill>
      <patternFill patternType="solid">
        <fgColor indexed="22"/>
        <bgColor indexed="55"/>
      </patternFill>
    </fill>
    <fill>
      <patternFill patternType="solid">
        <fgColor indexed="26"/>
        <bgColor indexed="22"/>
      </patternFill>
    </fill>
    <fill>
      <patternFill patternType="solid">
        <fgColor indexed="42"/>
        <bgColor indexed="64"/>
      </patternFill>
    </fill>
    <fill>
      <patternFill patternType="solid">
        <fgColor indexed="44"/>
        <bgColor indexed="64"/>
      </patternFill>
    </fill>
    <fill>
      <patternFill patternType="gray125">
        <fgColor indexed="26"/>
        <bgColor indexed="26"/>
      </patternFill>
    </fill>
    <fill>
      <patternFill patternType="solid">
        <fgColor indexed="13"/>
        <bgColor indexed="64"/>
      </patternFill>
    </fill>
    <fill>
      <patternFill patternType="mediumGray">
        <fgColor indexed="41"/>
        <bgColor indexed="44"/>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01FF00"/>
        <bgColor indexed="64"/>
      </patternFill>
    </fill>
    <fill>
      <patternFill patternType="solid">
        <fgColor rgb="FFFF3333"/>
        <bgColor indexed="64"/>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FFCCCC"/>
        <bgColor indexed="64"/>
      </patternFill>
    </fill>
    <fill>
      <patternFill patternType="solid">
        <fgColor rgb="FFFF9999"/>
        <bgColor indexed="64"/>
      </patternFill>
    </fill>
    <fill>
      <patternFill patternType="solid">
        <fgColor rgb="FFFF6666"/>
        <bgColor indexed="64"/>
      </patternFill>
    </fill>
    <fill>
      <patternFill patternType="solid">
        <fgColor rgb="FFCC6666"/>
        <bgColor indexed="64"/>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CCFFFF"/>
        <bgColor indexed="64"/>
      </patternFill>
    </fill>
    <fill>
      <patternFill patternType="solid">
        <fgColor rgb="FF01FFFF"/>
        <bgColor indexed="64"/>
      </patternFill>
    </fill>
    <fill>
      <patternFill patternType="solid">
        <fgColor rgb="FF99CCCC"/>
        <bgColor indexed="64"/>
      </patternFill>
    </fill>
    <fill>
      <patternFill patternType="solid">
        <fgColor rgb="FF00CCCC"/>
        <bgColor indexed="64"/>
      </patternFill>
    </fill>
    <fill>
      <patternFill patternType="solid">
        <fgColor rgb="FF669999"/>
        <bgColor indexed="64"/>
      </patternFill>
    </fill>
    <fill>
      <patternFill patternType="solid">
        <fgColor rgb="FF009999"/>
        <bgColor indexed="64"/>
      </patternFill>
    </fill>
    <fill>
      <patternFill patternType="solid">
        <fgColor rgb="FFFFCCFF"/>
        <bgColor indexed="64"/>
      </patternFill>
    </fill>
    <fill>
      <patternFill patternType="solid">
        <fgColor rgb="FFFF99FF"/>
        <bgColor indexed="64"/>
      </patternFill>
    </fill>
    <fill>
      <patternFill patternType="solid">
        <fgColor rgb="FFFF33FF"/>
        <bgColor indexed="64"/>
      </patternFill>
    </fill>
    <fill>
      <patternFill patternType="solid">
        <fgColor rgb="FFCC99CC"/>
        <bgColor indexed="64"/>
      </patternFill>
    </fill>
    <fill>
      <patternFill patternType="solid">
        <fgColor rgb="FFCC66CC"/>
        <bgColor indexed="64"/>
      </patternFill>
    </fill>
    <fill>
      <patternFill patternType="solid">
        <fgColor rgb="FFCCFFCC"/>
        <bgColor indexed="64"/>
      </patternFill>
    </fill>
    <fill>
      <patternFill patternType="solid">
        <fgColor rgb="FFFFFFCC"/>
        <bgColor indexed="64"/>
      </patternFill>
    </fill>
    <fill>
      <patternFill patternType="solid">
        <fgColor theme="0"/>
        <bgColor indexed="64"/>
      </patternFill>
    </fill>
    <fill>
      <patternFill patternType="solid">
        <fgColor rgb="FFFFFFCC"/>
        <bgColor rgb="FF92D050"/>
      </patternFill>
    </fill>
    <fill>
      <patternFill patternType="solid">
        <fgColor rgb="FFFFFFCC"/>
        <bgColor rgb="FFFBD4B4"/>
      </patternFill>
    </fill>
    <fill>
      <patternFill patternType="solid">
        <fgColor rgb="FF99CCFF"/>
        <bgColor indexed="64"/>
      </patternFill>
    </fill>
  </fills>
  <borders count="102">
    <border>
      <left/>
      <right/>
      <top/>
      <bottom/>
      <diagonal/>
    </border>
    <border>
      <left/>
      <right/>
      <top/>
      <bottom style="thin">
        <color indexed="22"/>
      </bottom>
      <diagonal/>
    </border>
    <border>
      <left/>
      <right/>
      <top/>
      <bottom style="hair">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bottom style="hair">
        <color indexed="8"/>
      </bottom>
      <diagonal/>
    </border>
    <border>
      <left/>
      <right/>
      <top style="double">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right style="thin">
        <color indexed="64"/>
      </right>
      <top/>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right/>
      <top style="thin">
        <color indexed="64"/>
      </top>
      <bottom style="hair">
        <color indexed="64"/>
      </bottom>
      <diagonal/>
    </border>
    <border>
      <left style="hair">
        <color indexed="64"/>
      </left>
      <right style="thin">
        <color indexed="64"/>
      </right>
      <top style="thin">
        <color indexed="64"/>
      </top>
      <bottom style="thin">
        <color indexed="64"/>
      </bottom>
      <diagonal/>
    </border>
    <border>
      <left/>
      <right/>
      <top style="hair">
        <color indexed="64"/>
      </top>
      <bottom style="hair">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bottom style="hair">
        <color indexed="64"/>
      </bottom>
      <diagonal/>
    </border>
    <border>
      <left style="hair">
        <color indexed="64"/>
      </left>
      <right style="thin">
        <color indexed="64"/>
      </right>
      <top/>
      <bottom/>
      <diagonal/>
    </border>
    <border>
      <left style="thin">
        <color indexed="64"/>
      </left>
      <right/>
      <top style="hair">
        <color indexed="64"/>
      </top>
      <bottom style="hair">
        <color indexed="64"/>
      </bottom>
      <diagonal/>
    </border>
    <border>
      <left/>
      <right style="thin">
        <color indexed="64"/>
      </right>
      <top style="thin">
        <color indexed="64"/>
      </top>
      <bottom style="hair">
        <color indexed="64"/>
      </bottom>
      <diagonal/>
    </border>
    <border>
      <left/>
      <right style="hair">
        <color indexed="64"/>
      </right>
      <top style="thin">
        <color indexed="64"/>
      </top>
      <bottom/>
      <diagonal/>
    </border>
    <border>
      <left/>
      <right style="thin">
        <color indexed="64"/>
      </right>
      <top/>
      <bottom style="hair">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right style="hair">
        <color indexed="64"/>
      </right>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bottom style="thin">
        <color indexed="64"/>
      </bottom>
      <diagonal/>
    </border>
    <border>
      <left/>
      <right/>
      <top style="hair">
        <color indexed="64"/>
      </top>
      <bottom/>
      <diagonal/>
    </border>
    <border>
      <left/>
      <right style="hair">
        <color indexed="64"/>
      </right>
      <top style="hair">
        <color indexed="64"/>
      </top>
      <bottom/>
      <diagonal/>
    </border>
    <border>
      <left/>
      <right style="thin">
        <color indexed="64"/>
      </right>
      <top style="hair">
        <color indexed="64"/>
      </top>
      <bottom/>
      <diagonal/>
    </border>
    <border>
      <left/>
      <right style="hair">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right style="hair">
        <color indexed="64"/>
      </right>
      <top/>
      <bottom style="hair">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hair">
        <color indexed="64"/>
      </top>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bottom style="hair">
        <color indexed="64"/>
      </bottom>
      <diagonal/>
    </border>
    <border>
      <left style="hair">
        <color indexed="64"/>
      </left>
      <right/>
      <top style="hair">
        <color indexed="64"/>
      </top>
      <bottom style="hair">
        <color indexed="64"/>
      </bottom>
      <diagonal/>
    </border>
    <border>
      <left style="thin">
        <color indexed="64"/>
      </left>
      <right/>
      <top style="hair">
        <color indexed="64"/>
      </top>
      <bottom/>
      <diagonal/>
    </border>
    <border>
      <left style="thin">
        <color indexed="64"/>
      </left>
      <right/>
      <top/>
      <bottom style="hair">
        <color indexed="64"/>
      </bottom>
      <diagonal/>
    </border>
    <border>
      <left style="thin">
        <color indexed="64"/>
      </left>
      <right style="hair">
        <color indexed="64"/>
      </right>
      <top style="hair">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style="hair">
        <color indexed="64"/>
      </bottom>
      <diagonal/>
    </border>
    <border>
      <left style="hair">
        <color indexed="64"/>
      </left>
      <right/>
      <top/>
      <bottom/>
      <diagonal/>
    </border>
    <border>
      <left style="hair">
        <color indexed="64"/>
      </left>
      <right style="hair">
        <color indexed="64"/>
      </right>
      <top style="hair">
        <color indexed="64"/>
      </top>
      <bottom/>
      <diagonal/>
    </border>
    <border>
      <left style="hair">
        <color indexed="64"/>
      </left>
      <right/>
      <top style="thin">
        <color indexed="64"/>
      </top>
      <bottom/>
      <diagonal/>
    </border>
    <border>
      <left style="hair">
        <color indexed="64"/>
      </left>
      <right style="hair">
        <color indexed="64"/>
      </right>
      <top style="thin">
        <color indexed="64"/>
      </top>
      <bottom/>
      <diagonal/>
    </border>
    <border>
      <left style="thin">
        <color indexed="64"/>
      </left>
      <right/>
      <top style="thin">
        <color indexed="64"/>
      </top>
      <bottom style="hair">
        <color indexed="64"/>
      </bottom>
      <diagonal/>
    </border>
    <border>
      <left/>
      <right style="thin">
        <color indexed="64"/>
      </right>
      <top style="hair">
        <color indexed="64"/>
      </top>
      <bottom style="thin">
        <color indexed="64"/>
      </bottom>
      <diagonal/>
    </border>
    <border>
      <left/>
      <right/>
      <top style="thin">
        <color indexed="64"/>
      </top>
      <bottom style="double">
        <color indexed="64"/>
      </bottom>
      <diagonal/>
    </border>
    <border>
      <left/>
      <right/>
      <top/>
      <bottom style="dashed">
        <color rgb="FFBFBFBF"/>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hair">
        <color indexed="64"/>
      </left>
      <right/>
      <top/>
      <bottom style="thin">
        <color indexed="64"/>
      </bottom>
      <diagonal/>
    </border>
    <border>
      <left style="hair">
        <color indexed="64"/>
      </left>
      <right/>
      <top style="thin">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style="thin">
        <color indexed="64"/>
      </bottom>
      <diagonal/>
    </border>
    <border>
      <left style="thin">
        <color indexed="64"/>
      </left>
      <right style="hair">
        <color indexed="64"/>
      </right>
      <top/>
      <bottom style="hair">
        <color indexed="64"/>
      </bottom>
      <diagonal/>
    </border>
  </borders>
  <cellStyleXfs count="283">
    <xf numFmtId="0" fontId="0" fillId="0" borderId="0"/>
    <xf numFmtId="0" fontId="91" fillId="14" borderId="0" applyNumberFormat="0" applyBorder="0" applyAlignment="0" applyProtection="0"/>
    <xf numFmtId="0" fontId="91" fillId="15" borderId="0" applyNumberFormat="0" applyBorder="0" applyAlignment="0" applyProtection="0"/>
    <xf numFmtId="0" fontId="91" fillId="16" borderId="0" applyNumberFormat="0" applyBorder="0" applyAlignment="0" applyProtection="0"/>
    <xf numFmtId="0" fontId="91" fillId="17" borderId="0" applyNumberFormat="0" applyBorder="0" applyAlignment="0" applyProtection="0"/>
    <xf numFmtId="0" fontId="91" fillId="18" borderId="0" applyNumberFormat="0" applyBorder="0" applyAlignment="0" applyProtection="0"/>
    <xf numFmtId="197" fontId="91" fillId="19" borderId="0" applyNumberFormat="0" applyBorder="0" applyAlignment="0" applyProtection="0"/>
    <xf numFmtId="0" fontId="91" fillId="19" borderId="0" applyNumberFormat="0" applyBorder="0" applyAlignment="0" applyProtection="0"/>
    <xf numFmtId="0" fontId="91" fillId="20" borderId="0" applyNumberFormat="0" applyBorder="0" applyAlignment="0" applyProtection="0"/>
    <xf numFmtId="0" fontId="91" fillId="21" borderId="0" applyNumberFormat="0" applyBorder="0" applyAlignment="0" applyProtection="0"/>
    <xf numFmtId="0" fontId="91" fillId="21" borderId="0" applyNumberFormat="0" applyBorder="0" applyAlignment="0" applyProtection="0"/>
    <xf numFmtId="0" fontId="91" fillId="21" borderId="0" applyNumberFormat="0" applyBorder="0" applyAlignment="0" applyProtection="0"/>
    <xf numFmtId="0" fontId="91" fillId="21" borderId="0" applyNumberFormat="0" applyBorder="0" applyAlignment="0" applyProtection="0"/>
    <xf numFmtId="0" fontId="91" fillId="22" borderId="0" applyNumberFormat="0" applyBorder="0" applyAlignment="0" applyProtection="0"/>
    <xf numFmtId="0" fontId="91" fillId="23" borderId="0" applyNumberFormat="0" applyBorder="0" applyAlignment="0" applyProtection="0"/>
    <xf numFmtId="0" fontId="91" fillId="24" borderId="0" applyNumberFormat="0" applyBorder="0" applyAlignment="0" applyProtection="0"/>
    <xf numFmtId="0" fontId="91" fillId="25" borderId="0" applyNumberFormat="0" applyBorder="0" applyAlignment="0" applyProtection="0"/>
    <xf numFmtId="0" fontId="91" fillId="26" borderId="0"/>
    <xf numFmtId="0" fontId="91" fillId="27" borderId="0"/>
    <xf numFmtId="0" fontId="92" fillId="28" borderId="0" applyNumberFormat="0" applyBorder="0" applyAlignment="0" applyProtection="0"/>
    <xf numFmtId="0" fontId="92" fillId="29" borderId="0" applyNumberFormat="0" applyBorder="0" applyAlignment="0" applyProtection="0"/>
    <xf numFmtId="0" fontId="92" fillId="30" borderId="0" applyNumberFormat="0" applyBorder="0" applyAlignment="0" applyProtection="0"/>
    <xf numFmtId="0" fontId="92" fillId="31" borderId="0" applyNumberFormat="0" applyBorder="0" applyAlignment="0" applyProtection="0"/>
    <xf numFmtId="0" fontId="92" fillId="32" borderId="0" applyNumberFormat="0" applyBorder="0" applyAlignment="0" applyProtection="0"/>
    <xf numFmtId="0" fontId="92" fillId="33" borderId="0" applyNumberFormat="0" applyBorder="0" applyAlignment="0" applyProtection="0"/>
    <xf numFmtId="0" fontId="92" fillId="34" borderId="0" applyNumberFormat="0" applyBorder="0" applyAlignment="0" applyProtection="0"/>
    <xf numFmtId="0" fontId="92" fillId="34" borderId="0" applyNumberFormat="0" applyBorder="0" applyAlignment="0" applyProtection="0"/>
    <xf numFmtId="0" fontId="92" fillId="34" borderId="0" applyNumberFormat="0" applyBorder="0" applyAlignment="0" applyProtection="0"/>
    <xf numFmtId="0" fontId="92" fillId="34" borderId="0" applyNumberFormat="0" applyBorder="0" applyAlignment="0" applyProtection="0"/>
    <xf numFmtId="0" fontId="93" fillId="34" borderId="0" applyNumberFormat="0" applyBorder="0" applyAlignment="0" applyProtection="0"/>
    <xf numFmtId="0" fontId="93" fillId="34" borderId="0" applyNumberFormat="0" applyBorder="0" applyAlignment="0" applyProtection="0"/>
    <xf numFmtId="0" fontId="94" fillId="34" borderId="0" applyNumberFormat="0" applyBorder="0" applyAlignment="0" applyProtection="0"/>
    <xf numFmtId="0" fontId="95" fillId="34" borderId="0" applyNumberFormat="0" applyBorder="0" applyAlignment="0" applyProtection="0"/>
    <xf numFmtId="0" fontId="92" fillId="35" borderId="0" applyNumberFormat="0" applyBorder="0" applyAlignment="0" applyProtection="0"/>
    <xf numFmtId="0" fontId="92" fillId="35" borderId="0" applyNumberFormat="0" applyBorder="0" applyAlignment="0" applyProtection="0"/>
    <xf numFmtId="0" fontId="92" fillId="35" borderId="0" applyNumberFormat="0" applyBorder="0" applyAlignment="0" applyProtection="0"/>
    <xf numFmtId="0" fontId="92" fillId="35" borderId="0" applyNumberFormat="0" applyBorder="0" applyAlignment="0" applyProtection="0"/>
    <xf numFmtId="0" fontId="93" fillId="35" borderId="0" applyNumberFormat="0" applyBorder="0" applyAlignment="0" applyProtection="0"/>
    <xf numFmtId="198" fontId="96" fillId="35" borderId="0" applyNumberFormat="0" applyBorder="0" applyAlignment="0" applyProtection="0"/>
    <xf numFmtId="0" fontId="94" fillId="35" borderId="0" applyNumberFormat="0" applyBorder="0" applyAlignment="0" applyProtection="0"/>
    <xf numFmtId="0" fontId="95" fillId="35" borderId="0" applyNumberFormat="0" applyBorder="0" applyAlignment="0" applyProtection="0"/>
    <xf numFmtId="0" fontId="92" fillId="36" borderId="0" applyNumberFormat="0" applyBorder="0" applyAlignment="0" applyProtection="0"/>
    <xf numFmtId="0" fontId="92" fillId="36" borderId="0" applyNumberFormat="0" applyBorder="0" applyAlignment="0" applyProtection="0"/>
    <xf numFmtId="0" fontId="92" fillId="36" borderId="0" applyNumberFormat="0" applyBorder="0" applyAlignment="0" applyProtection="0"/>
    <xf numFmtId="0" fontId="92" fillId="36" borderId="0" applyNumberFormat="0" applyBorder="0" applyAlignment="0" applyProtection="0"/>
    <xf numFmtId="0" fontId="94" fillId="36" borderId="0" applyNumberFormat="0" applyBorder="0" applyAlignment="0" applyProtection="0"/>
    <xf numFmtId="0" fontId="95" fillId="36" borderId="0" applyNumberFormat="0" applyBorder="0" applyAlignment="0" applyProtection="0"/>
    <xf numFmtId="0" fontId="92" fillId="37" borderId="0" applyNumberFormat="0" applyBorder="0" applyAlignment="0" applyProtection="0"/>
    <xf numFmtId="0" fontId="92" fillId="37" borderId="0" applyNumberFormat="0" applyBorder="0" applyAlignment="0" applyProtection="0"/>
    <xf numFmtId="0" fontId="92" fillId="37" borderId="0" applyNumberFormat="0" applyBorder="0" applyAlignment="0" applyProtection="0"/>
    <xf numFmtId="0" fontId="92" fillId="37" borderId="0" applyNumberFormat="0" applyBorder="0" applyAlignment="0" applyProtection="0"/>
    <xf numFmtId="0" fontId="92" fillId="38" borderId="0" applyNumberFormat="0" applyBorder="0" applyAlignment="0" applyProtection="0"/>
    <xf numFmtId="0" fontId="92" fillId="39" borderId="0" applyNumberFormat="0" applyBorder="0" applyAlignment="0" applyProtection="0"/>
    <xf numFmtId="199" fontId="8" fillId="0" borderId="0">
      <alignment vertical="center"/>
    </xf>
    <xf numFmtId="0" fontId="97" fillId="40" borderId="0" applyNumberFormat="0" applyBorder="0" applyAlignment="0" applyProtection="0"/>
    <xf numFmtId="198" fontId="98" fillId="40" borderId="0" applyNumberFormat="0" applyBorder="0" applyAlignment="0" applyProtection="0"/>
    <xf numFmtId="0" fontId="77" fillId="0" borderId="87" applyNumberFormat="0" applyFont="0" applyProtection="0">
      <alignment wrapText="1"/>
    </xf>
    <xf numFmtId="0" fontId="99" fillId="41" borderId="88" applyNumberFormat="0" applyAlignment="0" applyProtection="0"/>
    <xf numFmtId="0" fontId="99" fillId="41" borderId="88" applyNumberFormat="0" applyAlignment="0" applyProtection="0"/>
    <xf numFmtId="0" fontId="100" fillId="41" borderId="88" applyNumberFormat="0" applyAlignment="0" applyProtection="0"/>
    <xf numFmtId="0" fontId="101" fillId="41" borderId="88" applyNumberFormat="0" applyAlignment="0" applyProtection="0"/>
    <xf numFmtId="0" fontId="102" fillId="42" borderId="89" applyNumberFormat="0" applyAlignment="0" applyProtection="0"/>
    <xf numFmtId="0" fontId="91" fillId="43" borderId="0"/>
    <xf numFmtId="0" fontId="91" fillId="44" borderId="0"/>
    <xf numFmtId="0" fontId="91" fillId="45" borderId="0"/>
    <xf numFmtId="0" fontId="91" fillId="46" borderId="0"/>
    <xf numFmtId="0" fontId="78" fillId="0" borderId="0">
      <alignment horizontal="center" vertical="center" wrapText="1"/>
    </xf>
    <xf numFmtId="43" fontId="1" fillId="0" borderId="0" applyFont="0" applyFill="0" applyBorder="0" applyAlignment="0" applyProtection="0"/>
    <xf numFmtId="43" fontId="2" fillId="0" borderId="0" applyFont="0" applyFill="0" applyBorder="0" applyAlignment="0" applyProtection="0"/>
    <xf numFmtId="43" fontId="31" fillId="0" borderId="0" applyFont="0" applyFill="0" applyBorder="0" applyAlignment="0" applyProtection="0">
      <alignment vertical="top"/>
    </xf>
    <xf numFmtId="43" fontId="79"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4" fillId="0" borderId="0" applyFont="0" applyFill="0" applyBorder="0" applyAlignment="0" applyProtection="0"/>
    <xf numFmtId="43" fontId="104" fillId="0" borderId="0" applyFont="0" applyFill="0" applyBorder="0" applyAlignment="0" applyProtection="0"/>
    <xf numFmtId="43" fontId="91" fillId="0" borderId="0" applyFont="0" applyFill="0" applyBorder="0" applyAlignment="0" applyProtection="0"/>
    <xf numFmtId="43" fontId="105" fillId="0" borderId="0" applyFont="0" applyFill="0" applyBorder="0" applyAlignment="0" applyProtection="0"/>
    <xf numFmtId="43" fontId="91" fillId="0" borderId="0" applyFont="0" applyFill="0" applyBorder="0" applyAlignment="0" applyProtection="0"/>
    <xf numFmtId="3" fontId="2" fillId="0" borderId="0" applyFont="0" applyFill="0" applyBorder="0" applyAlignment="0" applyProtection="0"/>
    <xf numFmtId="0" fontId="80" fillId="0" borderId="0">
      <alignment horizontal="left" vertical="center" wrapText="1"/>
    </xf>
    <xf numFmtId="44" fontId="1" fillId="0" borderId="0" applyFont="0" applyFill="0" applyBorder="0" applyAlignment="0" applyProtection="0"/>
    <xf numFmtId="44" fontId="2" fillId="0" borderId="0" applyFont="0" applyFill="0" applyBorder="0" applyAlignment="0" applyProtection="0"/>
    <xf numFmtId="44" fontId="31" fillId="0" borderId="0" applyFont="0" applyFill="0" applyBorder="0" applyAlignment="0" applyProtection="0">
      <alignment vertical="top"/>
    </xf>
    <xf numFmtId="44" fontId="31" fillId="0" borderId="0" applyFont="0" applyFill="0" applyBorder="0" applyAlignment="0" applyProtection="0">
      <alignment vertical="top"/>
    </xf>
    <xf numFmtId="44" fontId="79" fillId="0" borderId="0" applyFont="0" applyFill="0" applyBorder="0" applyAlignment="0" applyProtection="0"/>
    <xf numFmtId="44" fontId="2" fillId="0" borderId="0" applyFont="0" applyFill="0" applyBorder="0" applyAlignment="0" applyProtection="0"/>
    <xf numFmtId="44" fontId="91" fillId="0" borderId="0" applyFont="0" applyFill="0" applyBorder="0" applyAlignment="0" applyProtection="0"/>
    <xf numFmtId="44" fontId="104" fillId="0" borderId="0" applyFont="0" applyFill="0" applyBorder="0" applyAlignment="0" applyProtection="0"/>
    <xf numFmtId="44" fontId="91" fillId="0" borderId="0" applyFont="0" applyFill="0" applyBorder="0" applyAlignment="0" applyProtection="0"/>
    <xf numFmtId="44" fontId="105" fillId="0" borderId="0" applyFont="0" applyFill="0" applyBorder="0" applyAlignment="0" applyProtection="0"/>
    <xf numFmtId="200" fontId="2" fillId="0" borderId="0" applyFont="0" applyFill="0" applyBorder="0" applyAlignment="0" applyProtection="0"/>
    <xf numFmtId="201" fontId="81" fillId="0" borderId="1" applyNumberFormat="0" applyFill="0">
      <alignment horizontal="right"/>
    </xf>
    <xf numFmtId="201" fontId="81" fillId="0" borderId="1" applyNumberFormat="0" applyFill="0">
      <alignment horizontal="right"/>
    </xf>
    <xf numFmtId="202" fontId="82" fillId="0" borderId="1">
      <alignment horizontal="right" vertical="center"/>
    </xf>
    <xf numFmtId="49" fontId="83" fillId="0" borderId="1">
      <alignment horizontal="left" vertical="center"/>
    </xf>
    <xf numFmtId="201" fontId="81" fillId="0" borderId="1" applyNumberFormat="0" applyFill="0">
      <alignment horizontal="right"/>
    </xf>
    <xf numFmtId="203" fontId="81" fillId="0" borderId="1">
      <alignment horizontal="right"/>
    </xf>
    <xf numFmtId="0" fontId="2" fillId="0" borderId="0" applyFont="0" applyFill="0" applyBorder="0" applyAlignment="0" applyProtection="0"/>
    <xf numFmtId="0" fontId="106" fillId="0" borderId="0" applyNumberFormat="0" applyFill="0" applyBorder="0" applyAlignment="0" applyProtection="0"/>
    <xf numFmtId="2" fontId="2" fillId="0" borderId="0" applyFont="0" applyFill="0" applyBorder="0" applyAlignment="0" applyProtection="0"/>
    <xf numFmtId="0" fontId="107" fillId="47" borderId="0" applyNumberFormat="0" applyBorder="0" applyAlignment="0" applyProtection="0"/>
    <xf numFmtId="38" fontId="4" fillId="3" borderId="0" applyNumberFormat="0" applyBorder="0" applyAlignment="0" applyProtection="0"/>
    <xf numFmtId="0" fontId="108" fillId="0" borderId="90" applyNumberFormat="0" applyFill="0" applyAlignment="0" applyProtection="0"/>
    <xf numFmtId="0" fontId="109" fillId="0" borderId="91" applyNumberFormat="0" applyFill="0" applyAlignment="0" applyProtection="0"/>
    <xf numFmtId="0" fontId="109" fillId="0" borderId="91" applyNumberFormat="0" applyFill="0" applyAlignment="0" applyProtection="0"/>
    <xf numFmtId="0" fontId="110" fillId="0" borderId="91" applyNumberFormat="0" applyFill="0" applyAlignment="0" applyProtection="0"/>
    <xf numFmtId="0" fontId="111" fillId="0" borderId="91" applyNumberFormat="0" applyFill="0" applyAlignment="0" applyProtection="0"/>
    <xf numFmtId="0" fontId="112" fillId="0" borderId="92" applyNumberFormat="0" applyFill="0" applyAlignment="0" applyProtection="0"/>
    <xf numFmtId="0" fontId="112" fillId="0" borderId="0" applyNumberFormat="0" applyFill="0" applyBorder="0" applyAlignment="0" applyProtection="0"/>
    <xf numFmtId="198" fontId="84" fillId="0" borderId="1">
      <alignment horizontal="left"/>
    </xf>
    <xf numFmtId="198" fontId="84" fillId="0" borderId="1">
      <alignment horizontal="left"/>
    </xf>
    <xf numFmtId="0" fontId="85" fillId="0" borderId="2">
      <alignment horizontal="right" vertical="center"/>
    </xf>
    <xf numFmtId="0" fontId="86" fillId="0" borderId="1">
      <alignment horizontal="left" vertical="center"/>
    </xf>
    <xf numFmtId="0" fontId="81" fillId="0" borderId="1">
      <alignment horizontal="left" vertical="center"/>
    </xf>
    <xf numFmtId="0" fontId="84" fillId="0" borderId="1">
      <alignment horizontal="left"/>
    </xf>
    <xf numFmtId="198" fontId="84" fillId="4" borderId="0">
      <alignment horizontal="centerContinuous" wrapText="1"/>
    </xf>
    <xf numFmtId="49" fontId="84" fillId="4" borderId="3">
      <alignment horizontal="left" vertical="center"/>
    </xf>
    <xf numFmtId="198" fontId="84" fillId="4" borderId="0">
      <alignment horizontal="centerContinuous" wrapText="1"/>
    </xf>
    <xf numFmtId="0" fontId="84" fillId="4" borderId="0">
      <alignment horizontal="centerContinuous" vertical="center" wrapText="1"/>
    </xf>
    <xf numFmtId="0" fontId="113" fillId="0" borderId="0" applyNumberFormat="0" applyFill="0" applyBorder="0" applyAlignment="0" applyProtection="0">
      <alignment vertical="top"/>
      <protection locked="0"/>
    </xf>
    <xf numFmtId="0" fontId="113" fillId="0" borderId="0" applyNumberFormat="0" applyFill="0" applyBorder="0" applyAlignment="0" applyProtection="0">
      <alignment vertical="top"/>
      <protection locked="0"/>
    </xf>
    <xf numFmtId="0" fontId="113" fillId="0" borderId="0" applyNumberFormat="0" applyFill="0" applyBorder="0" applyAlignment="0" applyProtection="0">
      <alignment vertical="top"/>
      <protection locked="0"/>
    </xf>
    <xf numFmtId="0" fontId="114" fillId="0" borderId="0" applyNumberFormat="0" applyFill="0" applyBorder="0" applyAlignment="0" applyProtection="0"/>
    <xf numFmtId="10" fontId="4" fillId="5" borderId="4" applyNumberFormat="0" applyBorder="0" applyAlignment="0" applyProtection="0"/>
    <xf numFmtId="0" fontId="116" fillId="48" borderId="88" applyNumberFormat="0" applyAlignment="0" applyProtection="0"/>
    <xf numFmtId="0" fontId="116" fillId="48" borderId="88" applyNumberFormat="0" applyAlignment="0" applyProtection="0"/>
    <xf numFmtId="0" fontId="116" fillId="48" borderId="88" applyNumberFormat="0" applyAlignment="0" applyProtection="0"/>
    <xf numFmtId="0" fontId="116" fillId="48" borderId="88" applyNumberFormat="0" applyAlignment="0" applyProtection="0"/>
    <xf numFmtId="0" fontId="116" fillId="48" borderId="88" applyNumberFormat="0" applyAlignment="0" applyProtection="0"/>
    <xf numFmtId="0" fontId="117" fillId="48" borderId="88" applyNumberFormat="0" applyAlignment="0" applyProtection="0"/>
    <xf numFmtId="0" fontId="115" fillId="48" borderId="88" applyNumberFormat="0" applyAlignment="0" applyProtection="0"/>
    <xf numFmtId="0" fontId="115" fillId="48" borderId="88" applyNumberFormat="0" applyAlignment="0" applyProtection="0"/>
    <xf numFmtId="0" fontId="115" fillId="48" borderId="88" applyNumberFormat="0" applyAlignment="0" applyProtection="0"/>
    <xf numFmtId="0" fontId="115" fillId="48" borderId="88" applyNumberFormat="0" applyAlignment="0" applyProtection="0"/>
    <xf numFmtId="0" fontId="118" fillId="0" borderId="88" applyNumberFormat="0" applyAlignment="0" applyProtection="0"/>
    <xf numFmtId="0" fontId="118" fillId="0" borderId="88" applyNumberFormat="0" applyAlignment="0" applyProtection="0"/>
    <xf numFmtId="0" fontId="118" fillId="0" borderId="88" applyNumberFormat="0" applyAlignment="0" applyProtection="0"/>
    <xf numFmtId="0" fontId="118" fillId="0" borderId="88" applyNumberFormat="0" applyAlignment="0" applyProtection="0"/>
    <xf numFmtId="0" fontId="115" fillId="48" borderId="88" applyNumberFormat="0" applyAlignment="0" applyProtection="0"/>
    <xf numFmtId="0" fontId="115" fillId="48" borderId="88" applyNumberFormat="0" applyAlignment="0" applyProtection="0"/>
    <xf numFmtId="0" fontId="116" fillId="48" borderId="88" applyNumberFormat="0" applyAlignment="0" applyProtection="0"/>
    <xf numFmtId="0" fontId="116" fillId="48" borderId="88" applyNumberFormat="0" applyAlignment="0" applyProtection="0"/>
    <xf numFmtId="0" fontId="116" fillId="48" borderId="88" applyNumberFormat="0" applyAlignment="0" applyProtection="0"/>
    <xf numFmtId="0" fontId="119" fillId="0" borderId="93" applyNumberFormat="0" applyFill="0" applyAlignment="0" applyProtection="0"/>
    <xf numFmtId="0" fontId="120" fillId="49" borderId="0" applyNumberFormat="0" applyBorder="0" applyAlignment="0" applyProtection="0"/>
    <xf numFmtId="204" fontId="87"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2" fillId="0" borderId="0"/>
    <xf numFmtId="0" fontId="121" fillId="0" borderId="0"/>
    <xf numFmtId="0" fontId="2" fillId="0" borderId="0"/>
    <xf numFmtId="0" fontId="2" fillId="0" borderId="0"/>
    <xf numFmtId="0" fontId="2" fillId="0" borderId="0"/>
    <xf numFmtId="0" fontId="31" fillId="0" borderId="0">
      <alignment vertical="top"/>
    </xf>
    <xf numFmtId="198" fontId="79" fillId="0" borderId="0"/>
    <xf numFmtId="0" fontId="122" fillId="0" borderId="0"/>
    <xf numFmtId="0" fontId="91" fillId="0" borderId="0"/>
    <xf numFmtId="0" fontId="31" fillId="0" borderId="0">
      <alignment vertical="top"/>
    </xf>
    <xf numFmtId="0" fontId="91" fillId="0" borderId="0"/>
    <xf numFmtId="0" fontId="91" fillId="0" borderId="0"/>
    <xf numFmtId="0" fontId="91" fillId="0" borderId="0"/>
    <xf numFmtId="0" fontId="91" fillId="0" borderId="0"/>
    <xf numFmtId="0" fontId="123" fillId="0" borderId="0"/>
    <xf numFmtId="0" fontId="91" fillId="0" borderId="0"/>
    <xf numFmtId="0" fontId="105" fillId="0" borderId="0"/>
    <xf numFmtId="0" fontId="91" fillId="0" borderId="0"/>
    <xf numFmtId="0" fontId="91" fillId="0" borderId="0"/>
    <xf numFmtId="0" fontId="91" fillId="0" borderId="0"/>
    <xf numFmtId="197" fontId="91" fillId="0" borderId="0"/>
    <xf numFmtId="197" fontId="91" fillId="0" borderId="0"/>
    <xf numFmtId="0" fontId="91" fillId="0" borderId="0"/>
    <xf numFmtId="198" fontId="2" fillId="0" borderId="0"/>
    <xf numFmtId="0" fontId="2" fillId="0" borderId="0"/>
    <xf numFmtId="0" fontId="124" fillId="0" borderId="0"/>
    <xf numFmtId="0" fontId="2" fillId="0" borderId="0"/>
    <xf numFmtId="0" fontId="2" fillId="0" borderId="0"/>
    <xf numFmtId="0" fontId="2" fillId="0" borderId="0"/>
    <xf numFmtId="0" fontId="2" fillId="0" borderId="0"/>
    <xf numFmtId="0" fontId="2" fillId="0" borderId="0"/>
    <xf numFmtId="0" fontId="91" fillId="0" borderId="0"/>
    <xf numFmtId="197" fontId="91" fillId="0" borderId="0"/>
    <xf numFmtId="198" fontId="2" fillId="0" borderId="0"/>
    <xf numFmtId="197" fontId="91" fillId="0" borderId="0"/>
    <xf numFmtId="198" fontId="58" fillId="0" borderId="0"/>
    <xf numFmtId="198" fontId="58" fillId="0" borderId="0"/>
    <xf numFmtId="0" fontId="123" fillId="0" borderId="0"/>
    <xf numFmtId="0" fontId="125" fillId="0" borderId="0"/>
    <xf numFmtId="0" fontId="125" fillId="0" borderId="0"/>
    <xf numFmtId="197" fontId="91" fillId="0" borderId="0"/>
    <xf numFmtId="198" fontId="79" fillId="0" borderId="0"/>
    <xf numFmtId="0" fontId="91" fillId="0" borderId="0"/>
    <xf numFmtId="0" fontId="91" fillId="0" borderId="0"/>
    <xf numFmtId="0" fontId="91" fillId="0" borderId="0"/>
    <xf numFmtId="0" fontId="91" fillId="0" borderId="0"/>
    <xf numFmtId="0" fontId="126" fillId="0" borderId="0"/>
    <xf numFmtId="0" fontId="58" fillId="0" borderId="0"/>
    <xf numFmtId="0" fontId="91" fillId="50" borderId="94" applyNumberFormat="0" applyFont="0" applyAlignment="0" applyProtection="0"/>
    <xf numFmtId="0" fontId="122" fillId="50" borderId="94" applyNumberFormat="0" applyFont="0" applyAlignment="0" applyProtection="0"/>
    <xf numFmtId="0" fontId="127" fillId="41" borderId="95" applyNumberFormat="0" applyAlignment="0" applyProtection="0"/>
    <xf numFmtId="9" fontId="1" fillId="0" borderId="0" applyFont="0" applyFill="0" applyBorder="0" applyAlignment="0" applyProtection="0"/>
    <xf numFmtId="10" fontId="2" fillId="0" borderId="0" applyFont="0" applyFill="0" applyBorder="0" applyAlignment="0" applyProtection="0"/>
    <xf numFmtId="9" fontId="91" fillId="0" borderId="0" applyFont="0" applyFill="0" applyBorder="0" applyAlignment="0" applyProtection="0"/>
    <xf numFmtId="9" fontId="123" fillId="0" borderId="0" applyFont="0" applyFill="0" applyBorder="0" applyAlignment="0" applyProtection="0"/>
    <xf numFmtId="9" fontId="105" fillId="0" borderId="0" applyFont="0" applyFill="0" applyBorder="0" applyAlignment="0" applyProtection="0"/>
    <xf numFmtId="9" fontId="91" fillId="0" borderId="0" applyFont="0" applyFill="0" applyBorder="0" applyAlignment="0" applyProtection="0"/>
    <xf numFmtId="9" fontId="7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31" fillId="0" borderId="0" applyFont="0" applyFill="0" applyBorder="0" applyAlignment="0" applyProtection="0">
      <alignment vertical="top"/>
    </xf>
    <xf numFmtId="9" fontId="79" fillId="0" borderId="0" applyFont="0" applyFill="0" applyBorder="0" applyAlignment="0" applyProtection="0"/>
    <xf numFmtId="9" fontId="12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26" fillId="0" borderId="0" applyFont="0" applyFill="0" applyBorder="0" applyAlignment="0" applyProtection="0"/>
    <xf numFmtId="9" fontId="58" fillId="0" borderId="0" applyFont="0" applyFill="0" applyBorder="0" applyAlignment="0" applyProtection="0"/>
    <xf numFmtId="9" fontId="91" fillId="0" borderId="0" applyFont="0" applyFill="0" applyBorder="0" applyAlignment="0" applyProtection="0"/>
    <xf numFmtId="9" fontId="91" fillId="0" borderId="0" applyFont="0" applyFill="0" applyBorder="0" applyAlignment="0" applyProtection="0"/>
    <xf numFmtId="9" fontId="91"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4" fillId="0" borderId="0" applyFont="0" applyFill="0" applyBorder="0" applyAlignment="0" applyProtection="0"/>
    <xf numFmtId="9" fontId="91" fillId="0" borderId="0" applyFont="0" applyFill="0" applyBorder="0" applyAlignment="0" applyProtection="0"/>
    <xf numFmtId="0" fontId="2" fillId="0" borderId="0"/>
    <xf numFmtId="3" fontId="82" fillId="0" borderId="0">
      <alignment horizontal="left" vertical="center"/>
    </xf>
    <xf numFmtId="0" fontId="91" fillId="51" borderId="0"/>
    <xf numFmtId="0" fontId="91" fillId="52" borderId="0"/>
    <xf numFmtId="0" fontId="91" fillId="53" borderId="0"/>
    <xf numFmtId="0" fontId="91" fillId="54" borderId="0"/>
    <xf numFmtId="0" fontId="91" fillId="55" borderId="0"/>
    <xf numFmtId="0" fontId="91" fillId="56" borderId="0"/>
    <xf numFmtId="0" fontId="91" fillId="57" borderId="0"/>
    <xf numFmtId="0" fontId="91" fillId="58" borderId="0"/>
    <xf numFmtId="0" fontId="91" fillId="59" borderId="0"/>
    <xf numFmtId="0" fontId="91" fillId="60" borderId="0"/>
    <xf numFmtId="0" fontId="91" fillId="61" borderId="0"/>
    <xf numFmtId="0" fontId="78" fillId="0" borderId="0">
      <alignment horizontal="left" vertical="center"/>
    </xf>
    <xf numFmtId="0" fontId="88" fillId="0" borderId="0">
      <alignment horizontal="right"/>
    </xf>
    <xf numFmtId="49" fontId="88" fillId="0" borderId="0">
      <alignment horizontal="center"/>
    </xf>
    <xf numFmtId="198" fontId="83" fillId="0" borderId="0">
      <alignment horizontal="right"/>
    </xf>
    <xf numFmtId="198" fontId="83" fillId="0" borderId="0">
      <alignment horizontal="right"/>
    </xf>
    <xf numFmtId="198" fontId="88" fillId="0" borderId="0">
      <alignment horizontal="left"/>
    </xf>
    <xf numFmtId="198" fontId="88" fillId="0" borderId="0">
      <alignment horizontal="left"/>
    </xf>
    <xf numFmtId="0" fontId="88" fillId="0" borderId="0">
      <alignment horizontal="left"/>
    </xf>
    <xf numFmtId="49" fontId="82" fillId="0" borderId="0">
      <alignment horizontal="left" vertical="center"/>
    </xf>
    <xf numFmtId="0" fontId="128" fillId="0" borderId="0"/>
    <xf numFmtId="49" fontId="83" fillId="0" borderId="1">
      <alignment horizontal="left" vertical="center"/>
    </xf>
    <xf numFmtId="49" fontId="78" fillId="0" borderId="1" applyFill="0">
      <alignment horizontal="left" vertical="center"/>
    </xf>
    <xf numFmtId="49" fontId="83" fillId="0" borderId="1">
      <alignment horizontal="left"/>
    </xf>
    <xf numFmtId="201" fontId="82" fillId="0" borderId="0" applyNumberFormat="0">
      <alignment horizontal="right"/>
    </xf>
    <xf numFmtId="0" fontId="85" fillId="6" borderId="0">
      <alignment horizontal="centerContinuous" vertical="center" wrapText="1"/>
    </xf>
    <xf numFmtId="0" fontId="85" fillId="0" borderId="5">
      <alignment horizontal="left" vertical="center"/>
    </xf>
    <xf numFmtId="0" fontId="89" fillId="0" borderId="0">
      <alignment horizontal="left" vertical="top"/>
    </xf>
    <xf numFmtId="40" fontId="90" fillId="0" borderId="0"/>
    <xf numFmtId="0" fontId="84" fillId="0" borderId="0">
      <alignment horizontal="left"/>
    </xf>
    <xf numFmtId="0" fontId="80" fillId="0" borderId="0">
      <alignment horizontal="left"/>
    </xf>
    <xf numFmtId="0" fontId="81" fillId="0" borderId="0">
      <alignment horizontal="left"/>
    </xf>
    <xf numFmtId="198" fontId="89" fillId="0" borderId="0">
      <alignment horizontal="left" vertical="top"/>
    </xf>
    <xf numFmtId="198" fontId="89" fillId="0" borderId="0">
      <alignment horizontal="left" vertical="top"/>
    </xf>
    <xf numFmtId="0" fontId="89" fillId="0" borderId="0">
      <alignment horizontal="left" vertical="top"/>
    </xf>
    <xf numFmtId="198" fontId="80" fillId="0" borderId="0">
      <alignment horizontal="left"/>
    </xf>
    <xf numFmtId="198" fontId="80" fillId="0" borderId="0">
      <alignment horizontal="left"/>
    </xf>
    <xf numFmtId="0" fontId="81" fillId="0" borderId="0">
      <alignment horizontal="left"/>
    </xf>
    <xf numFmtId="0" fontId="129" fillId="0" borderId="96" applyNumberFormat="0" applyFill="0" applyAlignment="0" applyProtection="0"/>
    <xf numFmtId="198" fontId="130" fillId="0" borderId="96" applyNumberFormat="0" applyFill="0" applyAlignment="0" applyProtection="0"/>
    <xf numFmtId="0" fontId="131" fillId="0" borderId="0" applyNumberFormat="0" applyFill="0" applyBorder="0" applyAlignment="0" applyProtection="0"/>
    <xf numFmtId="0" fontId="131" fillId="0" borderId="0" applyNumberFormat="0" applyFill="0" applyBorder="0" applyAlignment="0" applyProtection="0"/>
    <xf numFmtId="0" fontId="131" fillId="0" borderId="0" applyNumberFormat="0" applyFill="0" applyBorder="0" applyAlignment="0" applyProtection="0"/>
    <xf numFmtId="0" fontId="131" fillId="0" borderId="0" applyNumberFormat="0" applyFill="0" applyBorder="0" applyAlignment="0" applyProtection="0"/>
    <xf numFmtId="49" fontId="82" fillId="0" borderId="1">
      <alignment horizontal="left"/>
    </xf>
    <xf numFmtId="0" fontId="85" fillId="0" borderId="2">
      <alignment horizontal="left"/>
    </xf>
    <xf numFmtId="0" fontId="84" fillId="0" borderId="0">
      <alignment horizontal="left" vertical="center"/>
    </xf>
    <xf numFmtId="49" fontId="88" fillId="0" borderId="1">
      <alignment horizontal="left"/>
    </xf>
    <xf numFmtId="0" fontId="1" fillId="0" borderId="0"/>
    <xf numFmtId="0" fontId="142" fillId="0" borderId="0" applyNumberFormat="0" applyFill="0" applyBorder="0" applyAlignment="0" applyProtection="0"/>
  </cellStyleXfs>
  <cellXfs count="1646">
    <xf numFmtId="0" fontId="0" fillId="0" borderId="0" xfId="0"/>
    <xf numFmtId="0" fontId="2" fillId="0" borderId="0" xfId="0" applyFont="1"/>
    <xf numFmtId="0" fontId="2" fillId="0" borderId="6" xfId="0" applyFont="1" applyBorder="1" applyAlignment="1">
      <alignment vertical="center"/>
    </xf>
    <xf numFmtId="0" fontId="2" fillId="0" borderId="0" xfId="0" applyFont="1" applyFill="1" applyBorder="1" applyAlignment="1">
      <alignment horizontal="centerContinuous" vertical="center"/>
    </xf>
    <xf numFmtId="164" fontId="5" fillId="5" borderId="7" xfId="0" applyNumberFormat="1" applyFont="1" applyFill="1" applyBorder="1" applyAlignment="1">
      <alignment vertical="center"/>
    </xf>
    <xf numFmtId="0" fontId="6" fillId="5" borderId="8" xfId="0" applyFont="1" applyFill="1" applyBorder="1" applyAlignment="1">
      <alignment vertical="center"/>
    </xf>
    <xf numFmtId="0" fontId="4" fillId="7" borderId="8" xfId="0" applyFont="1" applyFill="1" applyBorder="1" applyAlignment="1">
      <alignment vertical="center"/>
    </xf>
    <xf numFmtId="0" fontId="4" fillId="7" borderId="9" xfId="0" applyFont="1" applyFill="1" applyBorder="1" applyAlignment="1">
      <alignment vertical="center"/>
    </xf>
    <xf numFmtId="164" fontId="2" fillId="5" borderId="10" xfId="0" applyNumberFormat="1" applyFont="1" applyFill="1" applyBorder="1" applyAlignment="1">
      <alignment vertical="center"/>
    </xf>
    <xf numFmtId="0" fontId="7" fillId="5" borderId="0" xfId="0" quotePrefix="1" applyFont="1" applyFill="1" applyBorder="1" applyAlignment="1">
      <alignment horizontal="left" vertical="center"/>
    </xf>
    <xf numFmtId="3" fontId="9" fillId="8" borderId="11" xfId="0" applyNumberFormat="1" applyFont="1" applyFill="1" applyBorder="1" applyAlignment="1">
      <alignment horizontal="center" vertical="center"/>
    </xf>
    <xf numFmtId="0" fontId="2" fillId="5" borderId="10" xfId="0" applyFont="1" applyFill="1" applyBorder="1" applyAlignment="1">
      <alignment vertical="center"/>
    </xf>
    <xf numFmtId="0" fontId="10" fillId="5" borderId="0" xfId="0" applyFont="1" applyFill="1" applyBorder="1" applyAlignment="1">
      <alignment horizontal="center" vertical="center"/>
    </xf>
    <xf numFmtId="0" fontId="10" fillId="5" borderId="12" xfId="0" applyFont="1" applyFill="1" applyBorder="1" applyAlignment="1">
      <alignment horizontal="center" vertical="center"/>
    </xf>
    <xf numFmtId="0" fontId="7" fillId="5" borderId="3" xfId="0" quotePrefix="1" applyFont="1" applyFill="1" applyBorder="1" applyAlignment="1">
      <alignment horizontal="left" vertical="center"/>
    </xf>
    <xf numFmtId="0" fontId="10" fillId="5" borderId="8" xfId="0" applyFont="1" applyFill="1" applyBorder="1" applyAlignment="1">
      <alignment horizontal="center" vertical="center"/>
    </xf>
    <xf numFmtId="0" fontId="10" fillId="5" borderId="9" xfId="0" applyFont="1" applyFill="1" applyBorder="1" applyAlignment="1">
      <alignment horizontal="center" vertical="center"/>
    </xf>
    <xf numFmtId="0" fontId="8" fillId="5" borderId="0" xfId="0" applyFont="1" applyFill="1" applyBorder="1" applyAlignment="1">
      <alignment vertical="center"/>
    </xf>
    <xf numFmtId="0" fontId="7" fillId="5" borderId="0" xfId="0" applyFont="1" applyFill="1" applyBorder="1" applyAlignment="1">
      <alignment vertical="center"/>
    </xf>
    <xf numFmtId="0" fontId="2" fillId="0" borderId="0" xfId="0" applyFont="1" applyFill="1" applyBorder="1" applyAlignment="1">
      <alignment horizontal="center" vertical="center"/>
    </xf>
    <xf numFmtId="0" fontId="8" fillId="5" borderId="0" xfId="0" applyFont="1" applyFill="1" applyBorder="1" applyAlignment="1">
      <alignment horizontal="left" vertical="center"/>
    </xf>
    <xf numFmtId="0" fontId="3" fillId="0" borderId="0" xfId="0" applyFont="1" applyFill="1" applyBorder="1" applyAlignment="1">
      <alignment horizontal="centerContinuous" vertical="center"/>
    </xf>
    <xf numFmtId="0" fontId="8" fillId="5" borderId="3" xfId="0" applyFont="1" applyFill="1" applyBorder="1" applyAlignment="1">
      <alignment horizontal="left" vertical="center"/>
    </xf>
    <xf numFmtId="166" fontId="9" fillId="8" borderId="11" xfId="0" applyNumberFormat="1" applyFont="1" applyFill="1" applyBorder="1" applyAlignment="1" applyProtection="1">
      <alignment horizontal="center" vertical="center"/>
    </xf>
    <xf numFmtId="167" fontId="9" fillId="8" borderId="11" xfId="0" applyNumberFormat="1" applyFont="1" applyFill="1" applyBorder="1" applyAlignment="1" applyProtection="1">
      <alignment horizontal="center" vertical="center"/>
    </xf>
    <xf numFmtId="167" fontId="9" fillId="0" borderId="0" xfId="0" applyNumberFormat="1" applyFont="1" applyFill="1" applyBorder="1" applyAlignment="1" applyProtection="1">
      <alignment horizontal="center" vertical="center"/>
    </xf>
    <xf numFmtId="0" fontId="2" fillId="0" borderId="0" xfId="0" applyFont="1" applyBorder="1"/>
    <xf numFmtId="0" fontId="8" fillId="5" borderId="2" xfId="0" applyFont="1" applyFill="1" applyBorder="1"/>
    <xf numFmtId="0" fontId="2" fillId="5" borderId="2" xfId="0" applyFont="1" applyFill="1" applyBorder="1"/>
    <xf numFmtId="164" fontId="5" fillId="5" borderId="13" xfId="0" applyNumberFormat="1" applyFont="1" applyFill="1" applyBorder="1" applyAlignment="1">
      <alignment vertical="center"/>
    </xf>
    <xf numFmtId="9" fontId="9" fillId="2" borderId="14" xfId="207" applyFont="1" applyFill="1" applyBorder="1" applyAlignment="1">
      <alignment horizontal="center" vertical="center"/>
    </xf>
    <xf numFmtId="0" fontId="4" fillId="7" borderId="15" xfId="0" applyFont="1" applyFill="1" applyBorder="1" applyAlignment="1">
      <alignment vertical="center"/>
    </xf>
    <xf numFmtId="0" fontId="8" fillId="5" borderId="0" xfId="0" applyFont="1" applyFill="1" applyBorder="1"/>
    <xf numFmtId="0" fontId="2" fillId="5" borderId="0" xfId="0" applyFont="1" applyFill="1" applyBorder="1"/>
    <xf numFmtId="0" fontId="2" fillId="0" borderId="0" xfId="0" applyFont="1" applyFill="1"/>
    <xf numFmtId="0" fontId="8" fillId="0" borderId="0" xfId="0" applyFont="1" applyFill="1" applyBorder="1"/>
    <xf numFmtId="0" fontId="2" fillId="0" borderId="0" xfId="0" applyFont="1" applyFill="1" applyBorder="1"/>
    <xf numFmtId="167" fontId="9" fillId="0" borderId="0" xfId="0" applyNumberFormat="1" applyFont="1" applyFill="1" applyBorder="1" applyAlignment="1">
      <alignment horizontal="center" vertical="center"/>
    </xf>
    <xf numFmtId="9" fontId="9" fillId="9" borderId="16" xfId="207" applyFont="1" applyFill="1" applyBorder="1" applyAlignment="1">
      <alignment horizontal="center" vertical="center"/>
    </xf>
    <xf numFmtId="0" fontId="8" fillId="5" borderId="17" xfId="0" applyFont="1" applyFill="1" applyBorder="1"/>
    <xf numFmtId="0" fontId="2" fillId="5" borderId="17" xfId="0" applyFont="1" applyFill="1" applyBorder="1"/>
    <xf numFmtId="2" fontId="9" fillId="2" borderId="11" xfId="0" applyNumberFormat="1" applyFont="1" applyFill="1" applyBorder="1" applyAlignment="1" applyProtection="1">
      <alignment horizontal="center" vertical="center"/>
    </xf>
    <xf numFmtId="168" fontId="9" fillId="8" borderId="11" xfId="0" applyNumberFormat="1" applyFont="1" applyFill="1" applyBorder="1" applyAlignment="1" applyProtection="1">
      <alignment horizontal="center" vertical="center"/>
    </xf>
    <xf numFmtId="0" fontId="10" fillId="5" borderId="0" xfId="0" applyFont="1" applyFill="1" applyBorder="1" applyAlignment="1">
      <alignment horizontal="center"/>
    </xf>
    <xf numFmtId="0" fontId="2" fillId="0" borderId="18" xfId="0" applyFont="1" applyBorder="1"/>
    <xf numFmtId="0" fontId="2" fillId="0" borderId="19" xfId="0" applyFont="1" applyBorder="1"/>
    <xf numFmtId="0" fontId="2" fillId="0" borderId="20" xfId="0" applyFont="1" applyBorder="1"/>
    <xf numFmtId="0" fontId="2" fillId="0" borderId="0" xfId="0" applyFont="1" applyBorder="1" applyAlignment="1">
      <alignment horizontal="centerContinuous" vertical="center"/>
    </xf>
    <xf numFmtId="0" fontId="2" fillId="0" borderId="21" xfId="0" applyFont="1" applyBorder="1"/>
    <xf numFmtId="0" fontId="11" fillId="5" borderId="0" xfId="0" applyFont="1" applyFill="1" applyBorder="1"/>
    <xf numFmtId="0" fontId="2" fillId="0" borderId="22" xfId="0" applyFont="1" applyBorder="1"/>
    <xf numFmtId="0" fontId="2" fillId="0" borderId="23" xfId="0" applyFont="1" applyBorder="1"/>
    <xf numFmtId="0" fontId="2" fillId="0" borderId="24" xfId="0" applyFont="1" applyBorder="1"/>
    <xf numFmtId="0" fontId="2" fillId="0" borderId="6" xfId="0" applyFont="1" applyBorder="1"/>
    <xf numFmtId="0" fontId="12" fillId="5" borderId="7" xfId="0" applyFont="1" applyFill="1" applyBorder="1"/>
    <xf numFmtId="0" fontId="2" fillId="5" borderId="8" xfId="0" applyFont="1" applyFill="1" applyBorder="1"/>
    <xf numFmtId="0" fontId="2" fillId="5" borderId="9" xfId="0" applyFont="1" applyFill="1" applyBorder="1"/>
    <xf numFmtId="0" fontId="2" fillId="5" borderId="10" xfId="0" applyFont="1" applyFill="1" applyBorder="1"/>
    <xf numFmtId="0" fontId="2" fillId="5" borderId="12" xfId="0" applyFont="1" applyFill="1" applyBorder="1"/>
    <xf numFmtId="0" fontId="2" fillId="5" borderId="25" xfId="0" applyFont="1" applyFill="1" applyBorder="1"/>
    <xf numFmtId="0" fontId="11" fillId="5" borderId="3" xfId="0" applyFont="1" applyFill="1" applyBorder="1"/>
    <xf numFmtId="0" fontId="2" fillId="5" borderId="3" xfId="0" applyFont="1" applyFill="1" applyBorder="1"/>
    <xf numFmtId="0" fontId="2" fillId="5" borderId="26" xfId="0" applyFont="1" applyFill="1" applyBorder="1"/>
    <xf numFmtId="0" fontId="2" fillId="5" borderId="0" xfId="0" applyFont="1" applyFill="1" applyBorder="1" applyAlignment="1">
      <alignment horizontal="center"/>
    </xf>
    <xf numFmtId="0" fontId="2" fillId="0" borderId="20" xfId="0" applyFont="1" applyFill="1" applyBorder="1"/>
    <xf numFmtId="0" fontId="2" fillId="0" borderId="21" xfId="0" applyFont="1" applyFill="1" applyBorder="1"/>
    <xf numFmtId="0" fontId="2" fillId="0" borderId="22" xfId="0" applyFont="1" applyFill="1" applyBorder="1"/>
    <xf numFmtId="0" fontId="2" fillId="0" borderId="23" xfId="0" applyFont="1" applyFill="1" applyBorder="1"/>
    <xf numFmtId="0" fontId="8" fillId="0" borderId="23" xfId="0" applyFont="1" applyFill="1" applyBorder="1"/>
    <xf numFmtId="167" fontId="9" fillId="0" borderId="23" xfId="0" applyNumberFormat="1" applyFont="1" applyFill="1" applyBorder="1" applyAlignment="1" applyProtection="1">
      <alignment horizontal="center" vertical="center"/>
    </xf>
    <xf numFmtId="167" fontId="9" fillId="0" borderId="23" xfId="0" applyNumberFormat="1" applyFont="1" applyFill="1" applyBorder="1" applyAlignment="1">
      <alignment horizontal="center" vertical="center"/>
    </xf>
    <xf numFmtId="0" fontId="2" fillId="0" borderId="24" xfId="0" applyFont="1" applyFill="1" applyBorder="1"/>
    <xf numFmtId="166" fontId="9" fillId="9" borderId="27" xfId="0" applyNumberFormat="1" applyFont="1" applyFill="1" applyBorder="1" applyAlignment="1">
      <alignment horizontal="center" vertical="center"/>
    </xf>
    <xf numFmtId="167" fontId="9" fillId="9" borderId="27" xfId="0" applyNumberFormat="1" applyFont="1" applyFill="1" applyBorder="1" applyAlignment="1">
      <alignment horizontal="center" vertical="center"/>
    </xf>
    <xf numFmtId="0" fontId="8" fillId="5" borderId="3" xfId="0" applyFont="1" applyFill="1" applyBorder="1"/>
    <xf numFmtId="167" fontId="9" fillId="9" borderId="28" xfId="0" applyNumberFormat="1" applyFont="1" applyFill="1" applyBorder="1" applyAlignment="1">
      <alignment horizontal="center" vertical="center"/>
    </xf>
    <xf numFmtId="0" fontId="8" fillId="5" borderId="8" xfId="0" applyFont="1" applyFill="1" applyBorder="1"/>
    <xf numFmtId="2" fontId="9" fillId="9" borderId="27" xfId="0" applyNumberFormat="1" applyFont="1" applyFill="1" applyBorder="1" applyAlignment="1">
      <alignment horizontal="center" vertical="center"/>
    </xf>
    <xf numFmtId="0" fontId="13" fillId="5" borderId="3" xfId="0" applyFont="1" applyFill="1" applyBorder="1"/>
    <xf numFmtId="0" fontId="12" fillId="5" borderId="10" xfId="0" applyFont="1" applyFill="1" applyBorder="1"/>
    <xf numFmtId="0" fontId="12" fillId="5" borderId="25" xfId="0" applyFont="1" applyFill="1" applyBorder="1"/>
    <xf numFmtId="2" fontId="9" fillId="2" borderId="29" xfId="0" applyNumberFormat="1" applyFont="1" applyFill="1" applyBorder="1" applyAlignment="1" applyProtection="1">
      <alignment horizontal="center" vertical="center"/>
    </xf>
    <xf numFmtId="2" fontId="9" fillId="9" borderId="30" xfId="0" applyNumberFormat="1" applyFont="1" applyFill="1" applyBorder="1" applyAlignment="1">
      <alignment horizontal="center" vertical="center"/>
    </xf>
    <xf numFmtId="164" fontId="12" fillId="5" borderId="25" xfId="0" applyNumberFormat="1" applyFont="1" applyFill="1" applyBorder="1" applyAlignment="1">
      <alignment vertical="center"/>
    </xf>
    <xf numFmtId="164" fontId="15" fillId="0" borderId="0" xfId="0" applyNumberFormat="1" applyFont="1" applyBorder="1" applyAlignment="1">
      <alignment vertical="center"/>
    </xf>
    <xf numFmtId="0" fontId="15" fillId="0" borderId="0" xfId="0" applyFont="1" applyBorder="1" applyAlignment="1">
      <alignment vertical="center"/>
    </xf>
    <xf numFmtId="0" fontId="15" fillId="0" borderId="0" xfId="0" quotePrefix="1" applyFont="1" applyBorder="1" applyAlignment="1">
      <alignment horizontal="left" vertical="center"/>
    </xf>
    <xf numFmtId="0" fontId="4" fillId="0" borderId="0" xfId="0" applyFont="1" applyBorder="1" applyAlignment="1">
      <alignment vertical="center"/>
    </xf>
    <xf numFmtId="0" fontId="2" fillId="0" borderId="0" xfId="0" applyFont="1" applyAlignment="1">
      <alignment vertical="center"/>
    </xf>
    <xf numFmtId="164" fontId="2" fillId="0" borderId="0" xfId="0" applyNumberFormat="1" applyFont="1" applyBorder="1" applyAlignment="1">
      <alignment vertical="center"/>
    </xf>
    <xf numFmtId="0" fontId="14" fillId="0" borderId="0" xfId="0" applyFont="1" applyAlignment="1">
      <alignment vertical="center"/>
    </xf>
    <xf numFmtId="0" fontId="15" fillId="0" borderId="0" xfId="0" applyFont="1" applyAlignment="1">
      <alignment vertical="center"/>
    </xf>
    <xf numFmtId="0" fontId="14" fillId="0" borderId="0" xfId="0" applyFont="1" applyFill="1" applyAlignment="1">
      <alignment vertical="center"/>
    </xf>
    <xf numFmtId="0" fontId="24" fillId="0" borderId="0" xfId="0" quotePrefix="1" applyFont="1" applyFill="1" applyBorder="1" applyAlignment="1">
      <alignment horizontal="left" vertical="center"/>
    </xf>
    <xf numFmtId="0" fontId="4" fillId="0" borderId="0" xfId="0" applyFont="1" applyFill="1" applyBorder="1" applyAlignment="1">
      <alignment vertical="center"/>
    </xf>
    <xf numFmtId="0" fontId="11" fillId="0" borderId="0" xfId="0" applyFont="1" applyBorder="1" applyAlignment="1">
      <alignment horizontal="left" vertical="center"/>
    </xf>
    <xf numFmtId="0" fontId="25" fillId="8" borderId="11" xfId="0" applyFont="1" applyFill="1" applyBorder="1" applyAlignment="1">
      <alignment vertical="center"/>
    </xf>
    <xf numFmtId="0" fontId="14" fillId="0" borderId="0" xfId="0" applyFont="1" applyBorder="1" applyAlignment="1">
      <alignment horizontal="left" vertical="center"/>
    </xf>
    <xf numFmtId="0" fontId="14" fillId="0" borderId="0" xfId="0" applyFont="1" applyFill="1" applyBorder="1" applyAlignment="1">
      <alignment horizontal="left" vertical="center"/>
    </xf>
    <xf numFmtId="164" fontId="2" fillId="0" borderId="0" xfId="0" applyNumberFormat="1" applyFont="1" applyBorder="1" applyAlignment="1">
      <alignment horizontal="center" vertical="center"/>
    </xf>
    <xf numFmtId="0" fontId="26" fillId="0" borderId="0" xfId="0" applyFont="1" applyFill="1" applyBorder="1" applyAlignment="1">
      <alignment vertical="center"/>
    </xf>
    <xf numFmtId="172" fontId="27" fillId="0" borderId="0" xfId="0" applyNumberFormat="1" applyFont="1" applyFill="1" applyBorder="1" applyAlignment="1">
      <alignment vertical="center"/>
    </xf>
    <xf numFmtId="164" fontId="4" fillId="0" borderId="0" xfId="0" applyNumberFormat="1" applyFont="1" applyBorder="1" applyAlignment="1">
      <alignment horizontal="center" vertical="center"/>
    </xf>
    <xf numFmtId="172" fontId="14" fillId="5" borderId="31" xfId="0" applyNumberFormat="1" applyFont="1" applyFill="1" applyBorder="1" applyAlignment="1">
      <alignment horizontal="center" vertical="center"/>
    </xf>
    <xf numFmtId="172" fontId="14" fillId="5" borderId="12" xfId="0" applyNumberFormat="1" applyFont="1" applyFill="1" applyBorder="1" applyAlignment="1">
      <alignment horizontal="center" vertical="center"/>
    </xf>
    <xf numFmtId="172" fontId="2" fillId="8" borderId="32" xfId="0" applyNumberFormat="1" applyFont="1" applyFill="1" applyBorder="1" applyAlignment="1" applyProtection="1">
      <alignment vertical="center"/>
    </xf>
    <xf numFmtId="172" fontId="2" fillId="8" borderId="33" xfId="0" applyNumberFormat="1" applyFont="1" applyFill="1" applyBorder="1" applyAlignment="1" applyProtection="1">
      <alignment vertical="center"/>
    </xf>
    <xf numFmtId="0" fontId="2" fillId="0" borderId="0" xfId="0" applyFont="1" applyBorder="1" applyAlignment="1">
      <alignment horizontal="center" vertical="center"/>
    </xf>
    <xf numFmtId="172" fontId="2" fillId="0" borderId="0" xfId="0" applyNumberFormat="1" applyFont="1" applyBorder="1" applyAlignment="1">
      <alignment vertical="center"/>
    </xf>
    <xf numFmtId="0" fontId="2" fillId="5" borderId="34" xfId="0" applyFont="1" applyFill="1" applyBorder="1" applyAlignment="1">
      <alignment vertical="center"/>
    </xf>
    <xf numFmtId="164" fontId="2" fillId="0" borderId="0" xfId="0" applyNumberFormat="1" applyFont="1" applyBorder="1" applyAlignment="1">
      <alignment horizontal="center"/>
    </xf>
    <xf numFmtId="172" fontId="2" fillId="0" borderId="0" xfId="0" applyNumberFormat="1" applyFont="1" applyBorder="1"/>
    <xf numFmtId="49" fontId="4" fillId="0" borderId="0" xfId="0" applyNumberFormat="1" applyFont="1" applyBorder="1" applyAlignment="1">
      <alignment horizontal="center" vertical="center"/>
    </xf>
    <xf numFmtId="172" fontId="14" fillId="5" borderId="35" xfId="0" applyNumberFormat="1" applyFont="1" applyFill="1" applyBorder="1" applyAlignment="1">
      <alignment horizontal="center" vertical="center"/>
    </xf>
    <xf numFmtId="0" fontId="25" fillId="5" borderId="31" xfId="0" applyFont="1" applyFill="1" applyBorder="1" applyAlignment="1">
      <alignment horizontal="center" vertical="center"/>
    </xf>
    <xf numFmtId="0" fontId="25" fillId="5" borderId="12" xfId="0" applyFont="1" applyFill="1" applyBorder="1" applyAlignment="1">
      <alignment horizontal="center" vertical="center"/>
    </xf>
    <xf numFmtId="0" fontId="25" fillId="5" borderId="0" xfId="0" applyFont="1" applyFill="1" applyBorder="1" applyAlignment="1">
      <alignment horizontal="center" vertical="center"/>
    </xf>
    <xf numFmtId="172" fontId="28" fillId="5" borderId="36" xfId="0" applyNumberFormat="1" applyFont="1" applyFill="1" applyBorder="1" applyAlignment="1">
      <alignment horizontal="centerContinuous" vertical="center"/>
    </xf>
    <xf numFmtId="172" fontId="33" fillId="0" borderId="0" xfId="0" applyNumberFormat="1" applyFont="1" applyFill="1" applyBorder="1" applyAlignment="1">
      <alignment horizontal="left" vertical="center"/>
    </xf>
    <xf numFmtId="0" fontId="28" fillId="5" borderId="33" xfId="0" applyFont="1" applyFill="1" applyBorder="1" applyAlignment="1">
      <alignment horizontal="centerContinuous" vertical="center"/>
    </xf>
    <xf numFmtId="0" fontId="28" fillId="5" borderId="17" xfId="0" applyFont="1" applyFill="1" applyBorder="1" applyAlignment="1">
      <alignment horizontal="centerContinuous" vertical="center"/>
    </xf>
    <xf numFmtId="172" fontId="2" fillId="5" borderId="2" xfId="0" applyNumberFormat="1" applyFont="1" applyFill="1" applyBorder="1" applyAlignment="1">
      <alignment horizontal="left" vertical="center"/>
    </xf>
    <xf numFmtId="0" fontId="25" fillId="5" borderId="2" xfId="0" applyFont="1" applyFill="1" applyBorder="1" applyAlignment="1">
      <alignment horizontal="centerContinuous" vertical="center"/>
    </xf>
    <xf numFmtId="172" fontId="25" fillId="5" borderId="7" xfId="0" applyNumberFormat="1" applyFont="1" applyFill="1" applyBorder="1" applyAlignment="1">
      <alignment horizontal="centerContinuous" vertical="center"/>
    </xf>
    <xf numFmtId="172" fontId="7" fillId="5" borderId="8" xfId="0" applyNumberFormat="1" applyFont="1" applyFill="1" applyBorder="1" applyAlignment="1">
      <alignment horizontal="centerContinuous" vertical="center"/>
    </xf>
    <xf numFmtId="172" fontId="7" fillId="5" borderId="8" xfId="0" applyNumberFormat="1" applyFont="1" applyFill="1" applyBorder="1" applyAlignment="1">
      <alignment horizontal="centerContinuous"/>
    </xf>
    <xf numFmtId="172" fontId="7" fillId="5" borderId="37" xfId="0" applyNumberFormat="1" applyFont="1" applyFill="1" applyBorder="1" applyAlignment="1">
      <alignment horizontal="centerContinuous" vertical="center"/>
    </xf>
    <xf numFmtId="0" fontId="2" fillId="5" borderId="38" xfId="0" applyFont="1" applyFill="1" applyBorder="1" applyAlignment="1">
      <alignment vertical="center"/>
    </xf>
    <xf numFmtId="0" fontId="2" fillId="5" borderId="8" xfId="0" applyFont="1" applyFill="1" applyBorder="1" applyAlignment="1">
      <alignment vertical="center"/>
    </xf>
    <xf numFmtId="0" fontId="2" fillId="5" borderId="9" xfId="0" applyFont="1" applyFill="1" applyBorder="1" applyAlignment="1">
      <alignment vertical="center"/>
    </xf>
    <xf numFmtId="0" fontId="28" fillId="5" borderId="36" xfId="0" applyFont="1" applyFill="1" applyBorder="1" applyAlignment="1">
      <alignment horizontal="centerContinuous" vertical="center"/>
    </xf>
    <xf numFmtId="0" fontId="17" fillId="5" borderId="39" xfId="0" applyFont="1" applyFill="1" applyBorder="1" applyAlignment="1">
      <alignment horizontal="centerContinuous" vertical="center"/>
    </xf>
    <xf numFmtId="172" fontId="14" fillId="5" borderId="40" xfId="0" applyNumberFormat="1" applyFont="1" applyFill="1" applyBorder="1" applyAlignment="1">
      <alignment horizontal="center" vertical="center"/>
    </xf>
    <xf numFmtId="0" fontId="29" fillId="5" borderId="12" xfId="0" applyFont="1" applyFill="1" applyBorder="1" applyAlignment="1">
      <alignment horizontal="center" vertical="center"/>
    </xf>
    <xf numFmtId="172" fontId="14" fillId="5" borderId="41" xfId="0" applyNumberFormat="1" applyFont="1" applyFill="1" applyBorder="1" applyAlignment="1">
      <alignment horizontal="center" vertical="center"/>
    </xf>
    <xf numFmtId="172" fontId="14" fillId="5" borderId="42" xfId="0" applyNumberFormat="1" applyFont="1" applyFill="1" applyBorder="1" applyAlignment="1">
      <alignment horizontal="center" vertical="center"/>
    </xf>
    <xf numFmtId="172" fontId="14" fillId="5" borderId="30" xfId="0" applyNumberFormat="1" applyFont="1" applyFill="1" applyBorder="1" applyAlignment="1">
      <alignment horizontal="center" vertical="center"/>
    </xf>
    <xf numFmtId="172" fontId="28" fillId="5" borderId="42" xfId="0" applyNumberFormat="1" applyFont="1" applyFill="1" applyBorder="1" applyAlignment="1">
      <alignment horizontal="center" vertical="center"/>
    </xf>
    <xf numFmtId="172" fontId="28" fillId="5" borderId="26" xfId="0" applyNumberFormat="1" applyFont="1" applyFill="1" applyBorder="1" applyAlignment="1">
      <alignment horizontal="center" vertical="center"/>
    </xf>
    <xf numFmtId="0" fontId="25" fillId="5" borderId="42" xfId="0" applyFont="1" applyFill="1" applyBorder="1" applyAlignment="1">
      <alignment horizontal="center" vertical="center"/>
    </xf>
    <xf numFmtId="0" fontId="29" fillId="5" borderId="26" xfId="0" applyFont="1" applyFill="1" applyBorder="1" applyAlignment="1">
      <alignment horizontal="center" vertical="center"/>
    </xf>
    <xf numFmtId="0" fontId="25" fillId="5" borderId="3" xfId="0" applyFont="1" applyFill="1" applyBorder="1" applyAlignment="1">
      <alignment horizontal="center" vertical="center"/>
    </xf>
    <xf numFmtId="0" fontId="29" fillId="5" borderId="43" xfId="0" applyFont="1" applyFill="1" applyBorder="1" applyAlignment="1">
      <alignment horizontal="center" vertical="center"/>
    </xf>
    <xf numFmtId="0" fontId="29" fillId="5" borderId="44" xfId="0" applyFont="1" applyFill="1" applyBorder="1" applyAlignment="1">
      <alignment horizontal="center" vertical="center"/>
    </xf>
    <xf numFmtId="172" fontId="2" fillId="8" borderId="45" xfId="0" applyNumberFormat="1" applyFont="1" applyFill="1" applyBorder="1" applyAlignment="1" applyProtection="1">
      <alignment vertical="center"/>
    </xf>
    <xf numFmtId="172" fontId="2" fillId="8" borderId="46" xfId="0" applyNumberFormat="1" applyFont="1" applyFill="1" applyBorder="1" applyAlignment="1" applyProtection="1">
      <alignment vertical="center"/>
    </xf>
    <xf numFmtId="172" fontId="2" fillId="8" borderId="47" xfId="0" applyNumberFormat="1" applyFont="1" applyFill="1" applyBorder="1" applyAlignment="1" applyProtection="1">
      <alignment vertical="center"/>
    </xf>
    <xf numFmtId="5" fontId="2" fillId="3" borderId="48" xfId="0" applyNumberFormat="1" applyFont="1" applyFill="1" applyBorder="1" applyAlignment="1" applyProtection="1">
      <alignment vertical="center"/>
    </xf>
    <xf numFmtId="5" fontId="2" fillId="3" borderId="16" xfId="0" applyNumberFormat="1" applyFont="1" applyFill="1" applyBorder="1" applyAlignment="1" applyProtection="1">
      <alignment vertical="center"/>
    </xf>
    <xf numFmtId="5" fontId="31" fillId="3" borderId="4" xfId="0" applyNumberFormat="1" applyFont="1" applyFill="1" applyBorder="1" applyAlignment="1" applyProtection="1">
      <alignment vertical="center"/>
    </xf>
    <xf numFmtId="5" fontId="31" fillId="3" borderId="49" xfId="0" applyNumberFormat="1" applyFont="1" applyFill="1" applyBorder="1" applyAlignment="1" applyProtection="1">
      <alignment vertical="center"/>
    </xf>
    <xf numFmtId="0" fontId="2" fillId="0" borderId="50" xfId="0" applyFont="1" applyBorder="1" applyAlignment="1">
      <alignment horizontal="center" vertical="center"/>
    </xf>
    <xf numFmtId="166" fontId="2" fillId="0" borderId="50" xfId="0" applyNumberFormat="1" applyFont="1" applyBorder="1" applyAlignment="1" applyProtection="1">
      <alignment horizontal="center" vertical="center"/>
    </xf>
    <xf numFmtId="166" fontId="2" fillId="0" borderId="51" xfId="0" applyNumberFormat="1" applyFont="1" applyBorder="1" applyAlignment="1" applyProtection="1">
      <alignment horizontal="center" vertical="center"/>
    </xf>
    <xf numFmtId="0" fontId="2" fillId="0" borderId="52" xfId="0" applyFont="1" applyBorder="1" applyAlignment="1">
      <alignment horizontal="center" vertical="center"/>
    </xf>
    <xf numFmtId="5" fontId="2" fillId="8" borderId="53" xfId="0" applyNumberFormat="1" applyFont="1" applyFill="1" applyBorder="1" applyAlignment="1" applyProtection="1">
      <alignment vertical="center"/>
    </xf>
    <xf numFmtId="5" fontId="31" fillId="8" borderId="53" xfId="0" applyNumberFormat="1" applyFont="1" applyFill="1" applyBorder="1" applyAlignment="1" applyProtection="1">
      <alignment vertical="center"/>
    </xf>
    <xf numFmtId="164" fontId="14" fillId="3" borderId="13" xfId="0" applyNumberFormat="1" applyFont="1" applyFill="1" applyBorder="1" applyAlignment="1"/>
    <xf numFmtId="164" fontId="2" fillId="3" borderId="54" xfId="0" applyNumberFormat="1" applyFont="1" applyFill="1" applyBorder="1" applyAlignment="1">
      <alignment horizontal="center"/>
    </xf>
    <xf numFmtId="172" fontId="2" fillId="3" borderId="54" xfId="0" applyNumberFormat="1" applyFont="1" applyFill="1" applyBorder="1"/>
    <xf numFmtId="172" fontId="2" fillId="3" borderId="49" xfId="0" applyNumberFormat="1" applyFont="1" applyFill="1" applyBorder="1"/>
    <xf numFmtId="0" fontId="2" fillId="0" borderId="43" xfId="0" applyFont="1" applyBorder="1" applyAlignment="1">
      <alignment horizontal="center" vertical="center"/>
    </xf>
    <xf numFmtId="166" fontId="2" fillId="0" borderId="52" xfId="0" applyNumberFormat="1" applyFont="1" applyBorder="1" applyAlignment="1" applyProtection="1">
      <alignment horizontal="center" vertical="center"/>
    </xf>
    <xf numFmtId="172" fontId="2" fillId="8" borderId="0" xfId="0" applyNumberFormat="1" applyFont="1" applyFill="1" applyBorder="1" applyAlignment="1" applyProtection="1">
      <alignment vertical="center"/>
    </xf>
    <xf numFmtId="164" fontId="14" fillId="3" borderId="4" xfId="0" applyNumberFormat="1" applyFont="1" applyFill="1" applyBorder="1" applyAlignment="1"/>
    <xf numFmtId="164" fontId="2" fillId="0" borderId="6" xfId="0" applyNumberFormat="1" applyFont="1" applyBorder="1" applyAlignment="1">
      <alignment horizontal="center"/>
    </xf>
    <xf numFmtId="172" fontId="2" fillId="0" borderId="6" xfId="0" applyNumberFormat="1" applyFont="1" applyBorder="1"/>
    <xf numFmtId="0" fontId="2" fillId="5" borderId="55" xfId="0" applyFont="1" applyFill="1" applyBorder="1" applyAlignment="1">
      <alignment horizontal="center" vertical="center"/>
    </xf>
    <xf numFmtId="0" fontId="2" fillId="5" borderId="56" xfId="0" applyFont="1" applyFill="1" applyBorder="1" applyAlignment="1">
      <alignment horizontal="center" vertical="center"/>
    </xf>
    <xf numFmtId="0" fontId="14" fillId="5" borderId="56" xfId="0" applyFont="1" applyFill="1" applyBorder="1" applyAlignment="1">
      <alignment horizontal="center" vertical="center"/>
    </xf>
    <xf numFmtId="0" fontId="30" fillId="5" borderId="44" xfId="0" applyFont="1" applyFill="1" applyBorder="1" applyAlignment="1">
      <alignment horizontal="center" vertical="center"/>
    </xf>
    <xf numFmtId="5" fontId="31" fillId="8" borderId="57" xfId="0" applyNumberFormat="1" applyFont="1" applyFill="1" applyBorder="1" applyAlignment="1" applyProtection="1">
      <alignment vertical="center"/>
    </xf>
    <xf numFmtId="172" fontId="2" fillId="0" borderId="7" xfId="0" applyNumberFormat="1" applyFont="1" applyFill="1" applyBorder="1" applyAlignment="1" applyProtection="1">
      <alignment vertical="center"/>
    </xf>
    <xf numFmtId="172" fontId="2" fillId="0" borderId="8" xfId="0" applyNumberFormat="1" applyFont="1" applyFill="1" applyBorder="1" applyAlignment="1" applyProtection="1">
      <alignment vertical="center"/>
    </xf>
    <xf numFmtId="172" fontId="2" fillId="0" borderId="9" xfId="0" applyNumberFormat="1" applyFont="1" applyFill="1" applyBorder="1" applyAlignment="1" applyProtection="1">
      <alignment vertical="center"/>
    </xf>
    <xf numFmtId="172" fontId="2" fillId="0" borderId="10" xfId="0" applyNumberFormat="1" applyFont="1" applyFill="1" applyBorder="1" applyAlignment="1" applyProtection="1">
      <alignment vertical="center"/>
    </xf>
    <xf numFmtId="172" fontId="2" fillId="0" borderId="0" xfId="0" applyNumberFormat="1" applyFont="1" applyFill="1" applyBorder="1" applyAlignment="1" applyProtection="1">
      <alignment vertical="center"/>
    </xf>
    <xf numFmtId="172" fontId="2" fillId="0" borderId="12" xfId="0" applyNumberFormat="1" applyFont="1" applyFill="1" applyBorder="1" applyAlignment="1" applyProtection="1">
      <alignment vertical="center"/>
    </xf>
    <xf numFmtId="172" fontId="2" fillId="0" borderId="25" xfId="0" applyNumberFormat="1" applyFont="1" applyFill="1" applyBorder="1" applyAlignment="1" applyProtection="1">
      <alignment vertical="center"/>
    </xf>
    <xf numFmtId="172" fontId="2" fillId="0" borderId="3" xfId="0" applyNumberFormat="1" applyFont="1" applyFill="1" applyBorder="1" applyAlignment="1" applyProtection="1">
      <alignment vertical="center"/>
    </xf>
    <xf numFmtId="172" fontId="2" fillId="0" borderId="26" xfId="0" applyNumberFormat="1" applyFont="1" applyFill="1" applyBorder="1" applyAlignment="1" applyProtection="1">
      <alignment vertical="center"/>
    </xf>
    <xf numFmtId="172" fontId="2" fillId="8" borderId="58" xfId="0" applyNumberFormat="1" applyFont="1" applyFill="1" applyBorder="1" applyAlignment="1" applyProtection="1">
      <alignment vertical="center"/>
    </xf>
    <xf numFmtId="172" fontId="2" fillId="8" borderId="59" xfId="0" applyNumberFormat="1" applyFont="1" applyFill="1" applyBorder="1" applyAlignment="1" applyProtection="1">
      <alignment vertical="center"/>
    </xf>
    <xf numFmtId="172" fontId="2" fillId="8" borderId="60" xfId="0" applyNumberFormat="1" applyFont="1" applyFill="1" applyBorder="1" applyAlignment="1" applyProtection="1">
      <alignment vertical="center"/>
    </xf>
    <xf numFmtId="0" fontId="8" fillId="0" borderId="0" xfId="0" applyFont="1" applyBorder="1" applyAlignment="1">
      <alignment vertical="center"/>
    </xf>
    <xf numFmtId="37" fontId="2" fillId="8" borderId="32" xfId="0" applyNumberFormat="1" applyFont="1" applyFill="1" applyBorder="1" applyAlignment="1" applyProtection="1">
      <alignment vertical="center"/>
    </xf>
    <xf numFmtId="37" fontId="31" fillId="8" borderId="32" xfId="0" applyNumberFormat="1" applyFont="1" applyFill="1" applyBorder="1" applyAlignment="1" applyProtection="1">
      <alignment vertical="center"/>
    </xf>
    <xf numFmtId="37" fontId="31" fillId="8" borderId="27" xfId="0" applyNumberFormat="1" applyFont="1" applyFill="1" applyBorder="1" applyAlignment="1" applyProtection="1">
      <alignment vertical="center"/>
    </xf>
    <xf numFmtId="37" fontId="2" fillId="8" borderId="46" xfId="0" applyNumberFormat="1" applyFont="1" applyFill="1" applyBorder="1" applyAlignment="1" applyProtection="1">
      <alignment vertical="center"/>
    </xf>
    <xf numFmtId="37" fontId="31" fillId="8" borderId="46" xfId="0" applyNumberFormat="1" applyFont="1" applyFill="1" applyBorder="1" applyAlignment="1" applyProtection="1">
      <alignment vertical="center"/>
    </xf>
    <xf numFmtId="37" fontId="31" fillId="8" borderId="28" xfId="0" applyNumberFormat="1" applyFont="1" applyFill="1" applyBorder="1" applyAlignment="1" applyProtection="1">
      <alignment vertical="center"/>
    </xf>
    <xf numFmtId="5" fontId="26" fillId="0" borderId="0" xfId="0" applyNumberFormat="1" applyFont="1" applyFill="1" applyBorder="1" applyAlignment="1" applyProtection="1">
      <alignment horizontal="centerContinuous" vertical="center"/>
    </xf>
    <xf numFmtId="5" fontId="2" fillId="0" borderId="0" xfId="0" applyNumberFormat="1" applyFont="1" applyFill="1" applyBorder="1" applyAlignment="1" applyProtection="1">
      <alignment horizontal="centerContinuous" vertical="center"/>
    </xf>
    <xf numFmtId="0" fontId="2" fillId="5" borderId="45" xfId="0" applyFont="1" applyFill="1" applyBorder="1" applyAlignment="1">
      <alignment horizontal="centerContinuous" vertical="center"/>
    </xf>
    <xf numFmtId="172" fontId="32" fillId="5" borderId="45" xfId="0" applyNumberFormat="1" applyFont="1" applyFill="1" applyBorder="1" applyAlignment="1">
      <alignment horizontal="centerContinuous" vertical="center"/>
    </xf>
    <xf numFmtId="172" fontId="2" fillId="5" borderId="61" xfId="0" applyNumberFormat="1" applyFont="1" applyFill="1" applyBorder="1" applyAlignment="1">
      <alignment horizontal="centerContinuous" vertical="center"/>
    </xf>
    <xf numFmtId="172" fontId="2" fillId="5" borderId="46" xfId="0" applyNumberFormat="1" applyFont="1" applyFill="1" applyBorder="1" applyAlignment="1">
      <alignment horizontal="centerContinuous" vertical="center"/>
    </xf>
    <xf numFmtId="172" fontId="2" fillId="5" borderId="53" xfId="0" applyNumberFormat="1" applyFont="1" applyFill="1" applyBorder="1" applyAlignment="1">
      <alignment horizontal="right" vertical="center"/>
    </xf>
    <xf numFmtId="0" fontId="2" fillId="0" borderId="0" xfId="0" applyFont="1" applyBorder="1" applyAlignment="1">
      <alignment horizontal="centerContinuous"/>
    </xf>
    <xf numFmtId="0" fontId="0" fillId="0" borderId="0" xfId="0" applyBorder="1"/>
    <xf numFmtId="0" fontId="14" fillId="5" borderId="7" xfId="0" applyFont="1" applyFill="1" applyBorder="1"/>
    <xf numFmtId="0" fontId="0" fillId="5" borderId="8" xfId="0" applyFill="1" applyBorder="1"/>
    <xf numFmtId="0" fontId="0" fillId="5" borderId="9" xfId="0" applyFill="1" applyBorder="1"/>
    <xf numFmtId="0" fontId="0" fillId="5" borderId="10" xfId="0" applyFill="1" applyBorder="1"/>
    <xf numFmtId="0" fontId="6" fillId="5" borderId="0" xfId="0" applyFont="1" applyFill="1" applyBorder="1"/>
    <xf numFmtId="0" fontId="0" fillId="5" borderId="0" xfId="0" applyFill="1" applyBorder="1"/>
    <xf numFmtId="0" fontId="0" fillId="5" borderId="12" xfId="0" applyFill="1" applyBorder="1"/>
    <xf numFmtId="0" fontId="32" fillId="5" borderId="0" xfId="0" applyFont="1" applyFill="1" applyBorder="1"/>
    <xf numFmtId="0" fontId="17" fillId="5" borderId="0" xfId="0" applyFont="1" applyFill="1" applyBorder="1"/>
    <xf numFmtId="0" fontId="0" fillId="5" borderId="25" xfId="0" applyFill="1" applyBorder="1"/>
    <xf numFmtId="0" fontId="0" fillId="5" borderId="3" xfId="0" applyFill="1" applyBorder="1"/>
    <xf numFmtId="0" fontId="0" fillId="5" borderId="26" xfId="0" applyFill="1" applyBorder="1"/>
    <xf numFmtId="0" fontId="34" fillId="5" borderId="3" xfId="0" applyFont="1" applyFill="1" applyBorder="1"/>
    <xf numFmtId="0" fontId="17" fillId="5" borderId="3" xfId="0" applyFont="1" applyFill="1" applyBorder="1"/>
    <xf numFmtId="0" fontId="17" fillId="0" borderId="57" xfId="0" applyFont="1" applyFill="1" applyBorder="1"/>
    <xf numFmtId="0" fontId="17" fillId="0" borderId="27" xfId="0" applyFont="1" applyFill="1" applyBorder="1"/>
    <xf numFmtId="0" fontId="17" fillId="0" borderId="28" xfId="0" applyFont="1" applyFill="1" applyBorder="1"/>
    <xf numFmtId="37" fontId="0" fillId="9" borderId="58" xfId="0" applyNumberFormat="1" applyFill="1" applyBorder="1"/>
    <xf numFmtId="37" fontId="0" fillId="8" borderId="62" xfId="0" applyNumberFormat="1" applyFill="1" applyBorder="1"/>
    <xf numFmtId="37" fontId="0" fillId="3" borderId="62" xfId="0" applyNumberFormat="1" applyFill="1" applyBorder="1"/>
    <xf numFmtId="37" fontId="0" fillId="9" borderId="59" xfId="0" applyNumberFormat="1" applyFill="1" applyBorder="1"/>
    <xf numFmtId="37" fontId="0" fillId="8" borderId="11" xfId="0" applyNumberFormat="1" applyFill="1" applyBorder="1"/>
    <xf numFmtId="37" fontId="0" fillId="3" borderId="11" xfId="0" applyNumberFormat="1" applyFill="1" applyBorder="1"/>
    <xf numFmtId="174" fontId="0" fillId="9" borderId="59" xfId="0" applyNumberFormat="1" applyFill="1" applyBorder="1"/>
    <xf numFmtId="174" fontId="0" fillId="8" borderId="11" xfId="0" applyNumberFormat="1" applyFill="1" applyBorder="1"/>
    <xf numFmtId="174" fontId="0" fillId="3" borderId="11" xfId="0" applyNumberFormat="1" applyFill="1" applyBorder="1"/>
    <xf numFmtId="174" fontId="0" fillId="9" borderId="60" xfId="0" applyNumberFormat="1" applyFill="1" applyBorder="1"/>
    <xf numFmtId="174" fontId="0" fillId="8" borderId="14" xfId="0" applyNumberFormat="1" applyFill="1" applyBorder="1"/>
    <xf numFmtId="174" fontId="0" fillId="3" borderId="14" xfId="0" applyNumberFormat="1" applyFill="1" applyBorder="1"/>
    <xf numFmtId="0" fontId="0" fillId="0" borderId="18" xfId="0" applyBorder="1"/>
    <xf numFmtId="0" fontId="0" fillId="0" borderId="6" xfId="0" applyBorder="1"/>
    <xf numFmtId="0" fontId="0" fillId="0" borderId="19" xfId="0" applyBorder="1"/>
    <xf numFmtId="0" fontId="0" fillId="0" borderId="20" xfId="0" applyBorder="1"/>
    <xf numFmtId="0" fontId="0" fillId="0" borderId="21" xfId="0" applyBorder="1"/>
    <xf numFmtId="0" fontId="23" fillId="0" borderId="0" xfId="0" applyFont="1" applyBorder="1"/>
    <xf numFmtId="0" fontId="23" fillId="0" borderId="0" xfId="0" applyFont="1" applyBorder="1" applyAlignment="1">
      <alignment horizontal="center" wrapText="1"/>
    </xf>
    <xf numFmtId="0" fontId="0" fillId="0" borderId="22" xfId="0" applyBorder="1"/>
    <xf numFmtId="0" fontId="0" fillId="0" borderId="23" xfId="0" applyBorder="1"/>
    <xf numFmtId="0" fontId="0" fillId="0" borderId="24" xfId="0" applyBorder="1"/>
    <xf numFmtId="0" fontId="16" fillId="0" borderId="18" xfId="0" applyFont="1" applyFill="1" applyBorder="1" applyAlignment="1">
      <alignment horizontal="left" vertical="center"/>
    </xf>
    <xf numFmtId="0" fontId="16" fillId="0" borderId="6" xfId="0" applyFont="1" applyFill="1" applyBorder="1" applyAlignment="1">
      <alignment horizontal="left" vertical="center"/>
    </xf>
    <xf numFmtId="0" fontId="4" fillId="0" borderId="6" xfId="0" applyFont="1" applyFill="1" applyBorder="1" applyAlignment="1">
      <alignment vertical="center"/>
    </xf>
    <xf numFmtId="0" fontId="2" fillId="0" borderId="20" xfId="0" applyFont="1" applyFill="1" applyBorder="1" applyAlignment="1">
      <alignment horizontal="center" vertical="center"/>
    </xf>
    <xf numFmtId="0" fontId="17" fillId="0" borderId="0" xfId="0" applyFont="1" applyFill="1" applyBorder="1" applyAlignment="1">
      <alignment horizontal="centerContinuous" vertical="center"/>
    </xf>
    <xf numFmtId="0" fontId="2" fillId="0" borderId="21" xfId="0" applyFont="1" applyFill="1" applyBorder="1" applyAlignment="1">
      <alignment vertical="center"/>
    </xf>
    <xf numFmtId="0" fontId="18" fillId="0" borderId="20" xfId="0" applyFont="1" applyFill="1" applyBorder="1" applyAlignment="1">
      <alignment horizontal="centerContinuous" vertical="center"/>
    </xf>
    <xf numFmtId="0" fontId="19" fillId="0" borderId="0" xfId="0" quotePrefix="1" applyFont="1" applyFill="1" applyBorder="1" applyAlignment="1">
      <alignment horizontal="centerContinuous" vertical="center"/>
    </xf>
    <xf numFmtId="0" fontId="18" fillId="0" borderId="20" xfId="0" applyFont="1" applyFill="1" applyBorder="1" applyAlignment="1">
      <alignment horizontal="left" vertical="center"/>
    </xf>
    <xf numFmtId="0" fontId="2" fillId="0" borderId="20" xfId="0" applyFont="1" applyFill="1" applyBorder="1" applyAlignment="1">
      <alignment vertical="center"/>
    </xf>
    <xf numFmtId="169" fontId="22" fillId="0" borderId="11" xfId="0" applyNumberFormat="1" applyFont="1" applyFill="1" applyBorder="1" applyAlignment="1" applyProtection="1">
      <alignment horizontal="right" vertical="center"/>
    </xf>
    <xf numFmtId="169" fontId="22" fillId="0" borderId="63" xfId="0" applyNumberFormat="1" applyFont="1" applyFill="1" applyBorder="1" applyAlignment="1" applyProtection="1">
      <alignment horizontal="right" vertical="center"/>
    </xf>
    <xf numFmtId="0" fontId="2" fillId="0" borderId="22" xfId="0" applyFont="1" applyFill="1" applyBorder="1" applyAlignment="1">
      <alignment vertical="center"/>
    </xf>
    <xf numFmtId="0" fontId="2" fillId="0" borderId="23" xfId="0" applyFont="1" applyFill="1" applyBorder="1" applyAlignment="1">
      <alignment vertical="center"/>
    </xf>
    <xf numFmtId="0" fontId="2" fillId="0" borderId="24" xfId="0" applyFont="1" applyFill="1" applyBorder="1" applyAlignment="1">
      <alignment vertical="center"/>
    </xf>
    <xf numFmtId="0" fontId="18" fillId="0" borderId="0" xfId="0" applyFont="1" applyFill="1" applyBorder="1" applyAlignment="1">
      <alignment horizontal="centerContinuous" vertical="center"/>
    </xf>
    <xf numFmtId="0" fontId="18" fillId="5" borderId="7" xfId="0" applyFont="1" applyFill="1" applyBorder="1" applyAlignment="1">
      <alignment horizontal="left" vertical="center"/>
    </xf>
    <xf numFmtId="0" fontId="18" fillId="5" borderId="8" xfId="0" applyFont="1" applyFill="1" applyBorder="1" applyAlignment="1">
      <alignment horizontal="left" vertical="center"/>
    </xf>
    <xf numFmtId="0" fontId="20" fillId="5" borderId="8" xfId="0" applyFont="1" applyFill="1" applyBorder="1" applyAlignment="1">
      <alignment vertical="center"/>
    </xf>
    <xf numFmtId="0" fontId="20" fillId="5" borderId="9" xfId="0" applyFont="1" applyFill="1" applyBorder="1" applyAlignment="1">
      <alignment vertical="center"/>
    </xf>
    <xf numFmtId="169" fontId="22" fillId="5" borderId="12" xfId="0" applyNumberFormat="1" applyFont="1" applyFill="1" applyBorder="1" applyAlignment="1" applyProtection="1">
      <alignment horizontal="right" vertical="center"/>
    </xf>
    <xf numFmtId="165" fontId="22" fillId="5" borderId="12" xfId="0" applyNumberFormat="1" applyFont="1" applyFill="1" applyBorder="1" applyAlignment="1" applyProtection="1">
      <alignment horizontal="right" vertical="center"/>
    </xf>
    <xf numFmtId="170" fontId="22" fillId="5" borderId="12" xfId="0" applyNumberFormat="1" applyFont="1" applyFill="1" applyBorder="1" applyAlignment="1" applyProtection="1">
      <alignment horizontal="right" vertical="center"/>
    </xf>
    <xf numFmtId="0" fontId="2" fillId="5" borderId="25" xfId="0" applyFont="1" applyFill="1" applyBorder="1" applyAlignment="1">
      <alignment vertical="center"/>
    </xf>
    <xf numFmtId="0" fontId="21" fillId="5" borderId="3" xfId="0" quotePrefix="1" applyFont="1" applyFill="1" applyBorder="1" applyAlignment="1">
      <alignment horizontal="left" vertical="center"/>
    </xf>
    <xf numFmtId="170" fontId="22" fillId="5" borderId="3" xfId="0" applyNumberFormat="1" applyFont="1" applyFill="1" applyBorder="1" applyAlignment="1" applyProtection="1">
      <alignment horizontal="right" vertical="center"/>
    </xf>
    <xf numFmtId="170" fontId="22" fillId="5" borderId="26" xfId="0" applyNumberFormat="1" applyFont="1" applyFill="1" applyBorder="1" applyAlignment="1" applyProtection="1">
      <alignment horizontal="right" vertical="center"/>
    </xf>
    <xf numFmtId="37" fontId="36" fillId="10" borderId="35" xfId="0" applyNumberFormat="1" applyFont="1" applyFill="1" applyBorder="1" applyAlignment="1" applyProtection="1">
      <alignment horizontal="center" vertical="center"/>
    </xf>
    <xf numFmtId="0" fontId="8" fillId="5" borderId="2" xfId="0" applyFont="1" applyFill="1" applyBorder="1" applyAlignment="1">
      <alignment vertical="center"/>
    </xf>
    <xf numFmtId="0" fontId="2" fillId="5" borderId="53" xfId="0" applyFont="1" applyFill="1" applyBorder="1"/>
    <xf numFmtId="3" fontId="9" fillId="9" borderId="11" xfId="0" applyNumberFormat="1" applyFont="1" applyFill="1" applyBorder="1" applyAlignment="1">
      <alignment horizontal="center" vertical="center"/>
    </xf>
    <xf numFmtId="3" fontId="9" fillId="9" borderId="27" xfId="0" applyNumberFormat="1" applyFont="1" applyFill="1" applyBorder="1" applyAlignment="1">
      <alignment horizontal="center" vertical="center"/>
    </xf>
    <xf numFmtId="0" fontId="2" fillId="0" borderId="0" xfId="0" applyFont="1" applyFill="1" applyBorder="1" applyAlignment="1">
      <alignment vertical="center"/>
    </xf>
    <xf numFmtId="164" fontId="2" fillId="0" borderId="0" xfId="0" applyNumberFormat="1" applyFont="1" applyFill="1" applyBorder="1" applyAlignment="1">
      <alignment vertical="center"/>
    </xf>
    <xf numFmtId="0" fontId="2" fillId="0" borderId="0" xfId="0" applyFont="1" applyFill="1" applyAlignment="1">
      <alignment vertical="center"/>
    </xf>
    <xf numFmtId="164" fontId="17" fillId="0" borderId="0" xfId="0" applyNumberFormat="1" applyFont="1" applyFill="1" applyBorder="1" applyAlignment="1">
      <alignment vertical="center"/>
    </xf>
    <xf numFmtId="0" fontId="2" fillId="0" borderId="0" xfId="0" applyFont="1" applyBorder="1" applyAlignment="1">
      <alignment vertical="center"/>
    </xf>
    <xf numFmtId="3" fontId="2" fillId="0" borderId="0" xfId="0" applyNumberFormat="1" applyFont="1" applyBorder="1" applyAlignment="1">
      <alignment vertical="center"/>
    </xf>
    <xf numFmtId="164" fontId="38" fillId="0" borderId="0" xfId="0" quotePrefix="1" applyNumberFormat="1" applyFont="1" applyBorder="1" applyAlignment="1">
      <alignment horizontal="left" vertical="center"/>
    </xf>
    <xf numFmtId="0" fontId="38" fillId="0" borderId="0" xfId="0" applyFont="1" applyAlignment="1">
      <alignment horizontal="left" vertical="center"/>
    </xf>
    <xf numFmtId="0" fontId="38" fillId="0" borderId="0" xfId="0" applyFont="1" applyAlignment="1">
      <alignment horizontal="right" vertical="center"/>
    </xf>
    <xf numFmtId="37" fontId="2" fillId="0" borderId="0" xfId="0" applyNumberFormat="1" applyFont="1" applyBorder="1"/>
    <xf numFmtId="164" fontId="2" fillId="0" borderId="0" xfId="0" applyNumberFormat="1" applyFont="1" applyBorder="1"/>
    <xf numFmtId="0" fontId="4" fillId="0" borderId="0" xfId="0" applyFont="1" applyBorder="1"/>
    <xf numFmtId="0" fontId="29" fillId="5" borderId="35" xfId="0" applyFont="1" applyFill="1" applyBorder="1" applyAlignment="1">
      <alignment horizontal="center" vertical="center"/>
    </xf>
    <xf numFmtId="0" fontId="2" fillId="3" borderId="10" xfId="0" applyFont="1" applyFill="1" applyBorder="1" applyAlignment="1">
      <alignment vertical="center"/>
    </xf>
    <xf numFmtId="5" fontId="2" fillId="3" borderId="36" xfId="0" applyNumberFormat="1" applyFont="1" applyFill="1" applyBorder="1" applyAlignment="1" applyProtection="1">
      <alignment vertical="center"/>
    </xf>
    <xf numFmtId="0" fontId="14" fillId="3" borderId="10" xfId="0" applyFont="1" applyFill="1" applyBorder="1" applyAlignment="1">
      <alignment horizontal="center" vertical="center"/>
    </xf>
    <xf numFmtId="0" fontId="39" fillId="5" borderId="0" xfId="0" applyFont="1" applyFill="1" applyBorder="1" applyAlignment="1">
      <alignment horizontal="centerContinuous" vertical="center"/>
    </xf>
    <xf numFmtId="0" fontId="39" fillId="5" borderId="12" xfId="0" applyFont="1" applyFill="1" applyBorder="1" applyAlignment="1">
      <alignment horizontal="centerContinuous" vertical="center"/>
    </xf>
    <xf numFmtId="164" fontId="40" fillId="0" borderId="0" xfId="0" applyNumberFormat="1" applyFont="1" applyFill="1" applyBorder="1" applyAlignment="1">
      <alignment horizontal="left" vertical="center"/>
    </xf>
    <xf numFmtId="0" fontId="2" fillId="5" borderId="0" xfId="0" applyFont="1" applyFill="1" applyBorder="1" applyAlignment="1">
      <alignment vertical="center"/>
    </xf>
    <xf numFmtId="164" fontId="2" fillId="5" borderId="0" xfId="0" applyNumberFormat="1" applyFont="1" applyFill="1" applyBorder="1" applyAlignment="1">
      <alignment vertical="center"/>
    </xf>
    <xf numFmtId="164" fontId="2" fillId="8" borderId="36" xfId="0" applyNumberFormat="1" applyFont="1" applyFill="1" applyBorder="1" applyAlignment="1">
      <alignment horizontal="left" vertical="center"/>
    </xf>
    <xf numFmtId="0" fontId="2" fillId="8" borderId="17" xfId="0" applyFont="1" applyFill="1" applyBorder="1" applyAlignment="1">
      <alignment vertical="center"/>
    </xf>
    <xf numFmtId="164" fontId="2" fillId="8" borderId="17" xfId="0" applyNumberFormat="1" applyFont="1" applyFill="1" applyBorder="1" applyAlignment="1">
      <alignment vertical="center"/>
    </xf>
    <xf numFmtId="0" fontId="2" fillId="8" borderId="32" xfId="0" applyFont="1" applyFill="1" applyBorder="1"/>
    <xf numFmtId="0" fontId="2" fillId="8" borderId="32" xfId="0" applyFont="1" applyFill="1" applyBorder="1" applyAlignment="1">
      <alignment vertical="center"/>
    </xf>
    <xf numFmtId="0" fontId="2" fillId="8" borderId="64" xfId="0" applyFont="1" applyFill="1" applyBorder="1" applyAlignment="1">
      <alignment horizontal="left" vertical="center"/>
    </xf>
    <xf numFmtId="164" fontId="2" fillId="5" borderId="8" xfId="0" applyNumberFormat="1" applyFont="1" applyFill="1" applyBorder="1" applyAlignment="1">
      <alignment vertical="center"/>
    </xf>
    <xf numFmtId="164" fontId="41" fillId="5" borderId="10" xfId="0" applyNumberFormat="1" applyFont="1" applyFill="1" applyBorder="1" applyAlignment="1">
      <alignment horizontal="left" vertical="center"/>
    </xf>
    <xf numFmtId="0" fontId="2" fillId="5" borderId="12" xfId="0" applyFont="1" applyFill="1" applyBorder="1" applyAlignment="1">
      <alignment vertical="center"/>
    </xf>
    <xf numFmtId="164" fontId="38" fillId="5" borderId="10" xfId="0" applyNumberFormat="1" applyFont="1" applyFill="1" applyBorder="1" applyAlignment="1">
      <alignment horizontal="left" vertical="center"/>
    </xf>
    <xf numFmtId="164" fontId="38" fillId="5" borderId="0" xfId="0" quotePrefix="1" applyNumberFormat="1" applyFont="1" applyFill="1" applyBorder="1" applyAlignment="1">
      <alignment horizontal="left" vertical="center"/>
    </xf>
    <xf numFmtId="0" fontId="38" fillId="5" borderId="0" xfId="0" applyFont="1" applyFill="1" applyBorder="1" applyAlignment="1">
      <alignment horizontal="right" vertical="center"/>
    </xf>
    <xf numFmtId="164" fontId="38" fillId="5" borderId="25" xfId="0" quotePrefix="1" applyNumberFormat="1" applyFont="1" applyFill="1" applyBorder="1" applyAlignment="1">
      <alignment horizontal="left" vertical="center"/>
    </xf>
    <xf numFmtId="0" fontId="2" fillId="5" borderId="3" xfId="0" applyFont="1" applyFill="1" applyBorder="1" applyAlignment="1">
      <alignment vertical="center"/>
    </xf>
    <xf numFmtId="164" fontId="38" fillId="5" borderId="3" xfId="0" quotePrefix="1" applyNumberFormat="1" applyFont="1" applyFill="1" applyBorder="1" applyAlignment="1">
      <alignment horizontal="left" vertical="center"/>
    </xf>
    <xf numFmtId="0" fontId="38" fillId="5" borderId="3" xfId="0" applyFont="1" applyFill="1" applyBorder="1" applyAlignment="1">
      <alignment horizontal="left" vertical="center"/>
    </xf>
    <xf numFmtId="164" fontId="42" fillId="5" borderId="7" xfId="0" applyNumberFormat="1" applyFont="1" applyFill="1" applyBorder="1" applyAlignment="1">
      <alignment horizontal="left" vertical="center"/>
    </xf>
    <xf numFmtId="164" fontId="14" fillId="0" borderId="0" xfId="0" quotePrefix="1" applyNumberFormat="1" applyFont="1" applyFill="1" applyBorder="1" applyAlignment="1">
      <alignment horizontal="center" vertical="center"/>
    </xf>
    <xf numFmtId="0" fontId="43" fillId="0" borderId="0" xfId="0" applyFont="1"/>
    <xf numFmtId="164" fontId="44" fillId="0" borderId="0" xfId="0" quotePrefix="1" applyNumberFormat="1" applyFont="1" applyBorder="1" applyAlignment="1">
      <alignment horizontal="centerContinuous" vertical="center"/>
    </xf>
    <xf numFmtId="0" fontId="44" fillId="0" borderId="0" xfId="0" applyFont="1" applyAlignment="1">
      <alignment horizontal="centerContinuous" vertical="center"/>
    </xf>
    <xf numFmtId="0" fontId="44" fillId="0" borderId="0" xfId="0" applyFont="1" applyAlignment="1">
      <alignment horizontal="centerContinuous"/>
    </xf>
    <xf numFmtId="0" fontId="45" fillId="0" borderId="0" xfId="0" applyFont="1" applyAlignment="1">
      <alignment horizontal="centerContinuous"/>
    </xf>
    <xf numFmtId="0" fontId="2" fillId="0" borderId="0" xfId="0" applyFont="1" applyAlignment="1">
      <alignment horizontal="center"/>
    </xf>
    <xf numFmtId="0" fontId="29" fillId="5" borderId="0" xfId="0" applyFont="1" applyFill="1" applyBorder="1" applyAlignment="1">
      <alignment horizontal="center" vertical="center"/>
    </xf>
    <xf numFmtId="0" fontId="2" fillId="5" borderId="55" xfId="0" applyFont="1" applyFill="1" applyBorder="1" applyAlignment="1">
      <alignment vertical="center"/>
    </xf>
    <xf numFmtId="0" fontId="2" fillId="5" borderId="56" xfId="0" applyFont="1" applyFill="1" applyBorder="1"/>
    <xf numFmtId="0" fontId="37" fillId="5" borderId="44" xfId="0" applyFont="1" applyFill="1" applyBorder="1" applyAlignment="1">
      <alignment vertical="center"/>
    </xf>
    <xf numFmtId="0" fontId="25" fillId="5" borderId="8" xfId="0" applyFont="1" applyFill="1" applyBorder="1" applyAlignment="1">
      <alignment horizontal="centerContinuous" vertical="center"/>
    </xf>
    <xf numFmtId="0" fontId="17" fillId="5" borderId="9" xfId="0" applyFont="1" applyFill="1" applyBorder="1" applyAlignment="1">
      <alignment horizontal="centerContinuous" vertical="center"/>
    </xf>
    <xf numFmtId="0" fontId="4" fillId="3" borderId="7" xfId="0" applyFont="1" applyFill="1" applyBorder="1" applyAlignment="1">
      <alignment horizontal="center" vertical="center"/>
    </xf>
    <xf numFmtId="5" fontId="2" fillId="3" borderId="50" xfId="67" applyNumberFormat="1" applyFont="1" applyFill="1" applyBorder="1" applyAlignment="1" applyProtection="1">
      <alignment vertical="center"/>
    </xf>
    <xf numFmtId="0" fontId="29" fillId="5" borderId="3" xfId="0" applyFont="1" applyFill="1" applyBorder="1" applyAlignment="1">
      <alignment horizontal="center" vertical="center"/>
    </xf>
    <xf numFmtId="0" fontId="29" fillId="5" borderId="30" xfId="0" applyFont="1" applyFill="1" applyBorder="1" applyAlignment="1">
      <alignment horizontal="center" vertical="center"/>
    </xf>
    <xf numFmtId="0" fontId="14" fillId="3" borderId="25" xfId="0" applyFont="1" applyFill="1" applyBorder="1" applyAlignment="1">
      <alignment horizontal="center" vertical="center"/>
    </xf>
    <xf numFmtId="166" fontId="2" fillId="0" borderId="36" xfId="0" applyNumberFormat="1" applyFont="1" applyBorder="1" applyAlignment="1" applyProtection="1">
      <alignment horizontal="center" vertical="center"/>
    </xf>
    <xf numFmtId="166" fontId="2" fillId="0" borderId="65" xfId="0" applyNumberFormat="1" applyFont="1" applyBorder="1" applyAlignment="1" applyProtection="1">
      <alignment horizontal="center" vertical="center"/>
    </xf>
    <xf numFmtId="0" fontId="14" fillId="0" borderId="13" xfId="0" applyFont="1" applyBorder="1" applyAlignment="1">
      <alignment horizontal="center" vertical="center"/>
    </xf>
    <xf numFmtId="38" fontId="2" fillId="0" borderId="54" xfId="67" applyNumberFormat="1" applyFont="1" applyBorder="1" applyAlignment="1">
      <alignment vertical="center"/>
    </xf>
    <xf numFmtId="0" fontId="2" fillId="0" borderId="54" xfId="0" applyFont="1" applyBorder="1" applyAlignment="1">
      <alignment vertical="center"/>
    </xf>
    <xf numFmtId="5" fontId="2" fillId="0" borderId="54" xfId="0" applyNumberFormat="1" applyFont="1" applyBorder="1" applyAlignment="1" applyProtection="1">
      <alignment vertical="center"/>
    </xf>
    <xf numFmtId="0" fontId="2" fillId="5" borderId="8" xfId="0" applyFont="1" applyFill="1" applyBorder="1" applyAlignment="1">
      <alignment horizontal="centerContinuous" vertical="center"/>
    </xf>
    <xf numFmtId="0" fontId="39" fillId="5" borderId="0" xfId="0" quotePrefix="1" applyFont="1" applyFill="1" applyBorder="1" applyAlignment="1">
      <alignment horizontal="centerContinuous" vertical="center"/>
    </xf>
    <xf numFmtId="0" fontId="25" fillId="5" borderId="7" xfId="0" applyFont="1" applyFill="1" applyBorder="1" applyAlignment="1">
      <alignment horizontal="centerContinuous" vertical="center"/>
    </xf>
    <xf numFmtId="0" fontId="39" fillId="5" borderId="10" xfId="0" applyFont="1" applyFill="1" applyBorder="1" applyAlignment="1">
      <alignment horizontal="centerContinuous" vertical="center"/>
    </xf>
    <xf numFmtId="0" fontId="29" fillId="5" borderId="10" xfId="0" applyFont="1" applyFill="1" applyBorder="1" applyAlignment="1">
      <alignment horizontal="center" vertical="center"/>
    </xf>
    <xf numFmtId="0" fontId="29" fillId="5" borderId="25" xfId="0" applyFont="1" applyFill="1" applyBorder="1" applyAlignment="1">
      <alignment horizontal="center" vertical="center"/>
    </xf>
    <xf numFmtId="37" fontId="2" fillId="0" borderId="59" xfId="0" applyNumberFormat="1" applyFont="1" applyBorder="1" applyAlignment="1" applyProtection="1">
      <alignment vertical="center"/>
    </xf>
    <xf numFmtId="37" fontId="2" fillId="0" borderId="60" xfId="0" applyNumberFormat="1" applyFont="1" applyBorder="1" applyAlignment="1" applyProtection="1">
      <alignment vertical="center"/>
    </xf>
    <xf numFmtId="0" fontId="2" fillId="0" borderId="54" xfId="0" applyFont="1" applyFill="1" applyBorder="1" applyAlignment="1">
      <alignment vertical="center"/>
    </xf>
    <xf numFmtId="5" fontId="23" fillId="3" borderId="4" xfId="67" applyNumberFormat="1" applyFont="1" applyFill="1" applyBorder="1" applyAlignment="1" applyProtection="1">
      <alignment vertical="center"/>
    </xf>
    <xf numFmtId="0" fontId="2" fillId="3" borderId="55" xfId="0" applyFont="1" applyFill="1" applyBorder="1" applyAlignment="1">
      <alignment vertical="center"/>
    </xf>
    <xf numFmtId="0" fontId="2" fillId="3" borderId="56" xfId="0" applyFont="1" applyFill="1" applyBorder="1" applyAlignment="1">
      <alignment vertical="center"/>
    </xf>
    <xf numFmtId="0" fontId="14" fillId="3" borderId="56" xfId="0" applyFont="1" applyFill="1" applyBorder="1" applyAlignment="1">
      <alignment horizontal="center" vertical="center"/>
    </xf>
    <xf numFmtId="0" fontId="14" fillId="3" borderId="44" xfId="0" applyFont="1" applyFill="1" applyBorder="1" applyAlignment="1">
      <alignment horizontal="center" vertical="center"/>
    </xf>
    <xf numFmtId="38" fontId="2" fillId="0" borderId="59" xfId="67" applyNumberFormat="1" applyFont="1" applyBorder="1" applyAlignment="1">
      <alignment horizontal="right" vertical="center"/>
    </xf>
    <xf numFmtId="38" fontId="2" fillId="9" borderId="59" xfId="67" applyNumberFormat="1" applyFont="1" applyFill="1" applyBorder="1" applyAlignment="1">
      <alignment horizontal="right" vertical="center"/>
    </xf>
    <xf numFmtId="38" fontId="2" fillId="9" borderId="33" xfId="67" applyNumberFormat="1" applyFont="1" applyFill="1" applyBorder="1" applyAlignment="1">
      <alignment horizontal="right" vertical="center"/>
    </xf>
    <xf numFmtId="0" fontId="46" fillId="0" borderId="0" xfId="0" applyFont="1" applyAlignment="1">
      <alignment vertical="center"/>
    </xf>
    <xf numFmtId="0" fontId="2" fillId="0" borderId="0" xfId="0" applyFont="1" applyAlignment="1">
      <alignment horizontal="right" vertical="center"/>
    </xf>
    <xf numFmtId="166" fontId="2" fillId="0" borderId="66" xfId="0" applyNumberFormat="1" applyFont="1" applyBorder="1" applyAlignment="1" applyProtection="1">
      <alignment horizontal="center" vertical="center"/>
    </xf>
    <xf numFmtId="38" fontId="2" fillId="9" borderId="67" xfId="67" applyNumberFormat="1" applyFont="1" applyFill="1" applyBorder="1" applyAlignment="1">
      <alignment horizontal="right" vertical="center"/>
    </xf>
    <xf numFmtId="38" fontId="2" fillId="9" borderId="45" xfId="67" applyNumberFormat="1" applyFont="1" applyFill="1" applyBorder="1" applyAlignment="1">
      <alignment horizontal="right" vertical="center"/>
    </xf>
    <xf numFmtId="38" fontId="2" fillId="0" borderId="54" xfId="67" applyNumberFormat="1" applyFont="1" applyFill="1" applyBorder="1" applyAlignment="1">
      <alignment horizontal="right" vertical="center"/>
    </xf>
    <xf numFmtId="37" fontId="2" fillId="0" borderId="54" xfId="0" applyNumberFormat="1" applyFont="1" applyFill="1" applyBorder="1" applyAlignment="1" applyProtection="1">
      <alignment vertical="center"/>
    </xf>
    <xf numFmtId="166" fontId="2" fillId="0" borderId="54" xfId="0" applyNumberFormat="1" applyFont="1" applyFill="1" applyBorder="1" applyAlignment="1" applyProtection="1">
      <alignment horizontal="center" vertical="center"/>
    </xf>
    <xf numFmtId="38" fontId="2" fillId="0" borderId="54" xfId="67" applyNumberFormat="1" applyFont="1" applyFill="1" applyBorder="1" applyAlignment="1" applyProtection="1">
      <alignment vertical="center"/>
    </xf>
    <xf numFmtId="166" fontId="2" fillId="0" borderId="68" xfId="0" applyNumberFormat="1" applyFont="1" applyBorder="1" applyAlignment="1" applyProtection="1">
      <alignment horizontal="center" vertical="center"/>
    </xf>
    <xf numFmtId="38" fontId="2" fillId="0" borderId="60" xfId="67" applyNumberFormat="1" applyFont="1" applyBorder="1" applyAlignment="1">
      <alignment horizontal="right" vertical="center"/>
    </xf>
    <xf numFmtId="0" fontId="2" fillId="5" borderId="9" xfId="0" applyFont="1" applyFill="1" applyBorder="1" applyAlignment="1">
      <alignment horizontal="centerContinuous" vertical="center"/>
    </xf>
    <xf numFmtId="0" fontId="39" fillId="5" borderId="12" xfId="0" quotePrefix="1" applyFont="1" applyFill="1" applyBorder="1" applyAlignment="1">
      <alignment horizontal="centerContinuous" vertical="center"/>
    </xf>
    <xf numFmtId="175" fontId="2" fillId="9" borderId="59" xfId="67" applyNumberFormat="1" applyFont="1" applyFill="1" applyBorder="1" applyAlignment="1">
      <alignment horizontal="right" vertical="center"/>
    </xf>
    <xf numFmtId="175" fontId="2" fillId="9" borderId="33" xfId="67" applyNumberFormat="1" applyFont="1" applyFill="1" applyBorder="1" applyAlignment="1">
      <alignment horizontal="right" vertical="center"/>
    </xf>
    <xf numFmtId="175" fontId="2" fillId="9" borderId="67" xfId="67" applyNumberFormat="1" applyFont="1" applyFill="1" applyBorder="1" applyAlignment="1">
      <alignment horizontal="right" vertical="center"/>
    </xf>
    <xf numFmtId="175" fontId="2" fillId="9" borderId="45" xfId="67" applyNumberFormat="1" applyFont="1" applyFill="1" applyBorder="1" applyAlignment="1">
      <alignment horizontal="right" vertical="center"/>
    </xf>
    <xf numFmtId="175" fontId="2" fillId="0" borderId="54" xfId="67" applyNumberFormat="1" applyFont="1" applyFill="1" applyBorder="1" applyAlignment="1">
      <alignment horizontal="right" vertical="center"/>
    </xf>
    <xf numFmtId="38" fontId="2" fillId="0" borderId="58" xfId="67" applyNumberFormat="1" applyFont="1" applyBorder="1" applyAlignment="1">
      <alignment horizontal="right" vertical="center"/>
    </xf>
    <xf numFmtId="38" fontId="2" fillId="0" borderId="62" xfId="67" applyNumberFormat="1" applyFont="1" applyBorder="1" applyAlignment="1">
      <alignment horizontal="right" vertical="center"/>
    </xf>
    <xf numFmtId="175" fontId="2" fillId="0" borderId="62" xfId="67" applyNumberFormat="1" applyFont="1" applyBorder="1" applyAlignment="1">
      <alignment horizontal="right" vertical="center"/>
    </xf>
    <xf numFmtId="175" fontId="2" fillId="0" borderId="57" xfId="67" applyNumberFormat="1" applyFont="1" applyBorder="1" applyAlignment="1">
      <alignment horizontal="right" vertical="center"/>
    </xf>
    <xf numFmtId="38" fontId="2" fillId="0" borderId="11" xfId="67" applyNumberFormat="1" applyFont="1" applyBorder="1" applyAlignment="1">
      <alignment horizontal="right" vertical="center"/>
    </xf>
    <xf numFmtId="175" fontId="2" fillId="0" borderId="11" xfId="67" applyNumberFormat="1" applyFont="1" applyBorder="1" applyAlignment="1">
      <alignment horizontal="right" vertical="center"/>
    </xf>
    <xf numFmtId="175" fontId="2" fillId="0" borderId="27" xfId="67" applyNumberFormat="1" applyFont="1" applyBorder="1" applyAlignment="1">
      <alignment horizontal="right" vertical="center"/>
    </xf>
    <xf numFmtId="38" fontId="2" fillId="0" borderId="14" xfId="67" applyNumberFormat="1" applyFont="1" applyBorder="1" applyAlignment="1">
      <alignment horizontal="right" vertical="center"/>
    </xf>
    <xf numFmtId="175" fontId="2" fillId="0" borderId="14" xfId="67" applyNumberFormat="1" applyFont="1" applyBorder="1" applyAlignment="1">
      <alignment horizontal="right" vertical="center"/>
    </xf>
    <xf numFmtId="175" fontId="2" fillId="0" borderId="28" xfId="67" applyNumberFormat="1" applyFont="1" applyBorder="1" applyAlignment="1">
      <alignment horizontal="right" vertical="center"/>
    </xf>
    <xf numFmtId="0" fontId="7" fillId="0" borderId="18" xfId="0" applyFont="1" applyBorder="1" applyAlignment="1">
      <alignment vertical="center"/>
    </xf>
    <xf numFmtId="0" fontId="7" fillId="0" borderId="6" xfId="0" applyFont="1" applyBorder="1" applyAlignment="1">
      <alignment vertical="center"/>
    </xf>
    <xf numFmtId="0" fontId="7" fillId="0" borderId="19" xfId="0" applyFont="1" applyBorder="1" applyAlignment="1">
      <alignment vertical="center"/>
    </xf>
    <xf numFmtId="0" fontId="7" fillId="0" borderId="20" xfId="0" applyFont="1" applyFill="1" applyBorder="1" applyAlignment="1">
      <alignment vertical="center"/>
    </xf>
    <xf numFmtId="0" fontId="7" fillId="0" borderId="0" xfId="0" applyFont="1" applyFill="1" applyBorder="1" applyAlignment="1">
      <alignment horizontal="centerContinuous" vertical="center"/>
    </xf>
    <xf numFmtId="0" fontId="7" fillId="0" borderId="21" xfId="0" applyFont="1" applyFill="1" applyBorder="1" applyAlignment="1">
      <alignment vertical="center"/>
    </xf>
    <xf numFmtId="164" fontId="7" fillId="0" borderId="20" xfId="0" applyNumberFormat="1" applyFont="1" applyFill="1" applyBorder="1" applyAlignment="1">
      <alignment vertical="center"/>
    </xf>
    <xf numFmtId="0" fontId="12" fillId="5" borderId="8" xfId="0" applyFont="1" applyFill="1" applyBorder="1" applyAlignment="1">
      <alignment vertical="center"/>
    </xf>
    <xf numFmtId="164" fontId="7" fillId="5" borderId="10" xfId="0" applyNumberFormat="1" applyFont="1" applyFill="1" applyBorder="1" applyAlignment="1">
      <alignment vertical="center"/>
    </xf>
    <xf numFmtId="164" fontId="7" fillId="5" borderId="25" xfId="0" applyNumberFormat="1" applyFont="1" applyFill="1" applyBorder="1" applyAlignment="1">
      <alignment vertical="center"/>
    </xf>
    <xf numFmtId="0" fontId="7" fillId="0" borderId="20" xfId="0" applyFont="1" applyBorder="1"/>
    <xf numFmtId="0" fontId="7" fillId="0" borderId="21" xfId="0" applyFont="1" applyBorder="1"/>
    <xf numFmtId="0" fontId="2" fillId="0" borderId="21" xfId="0" applyFont="1" applyFill="1" applyBorder="1" applyAlignment="1">
      <alignment horizontal="centerContinuous" vertical="center"/>
    </xf>
    <xf numFmtId="0" fontId="10" fillId="5" borderId="2" xfId="0" applyFont="1" applyFill="1" applyBorder="1" applyAlignment="1">
      <alignment horizontal="center" vertical="center"/>
    </xf>
    <xf numFmtId="0" fontId="10" fillId="5" borderId="39" xfId="0" applyFont="1" applyFill="1" applyBorder="1" applyAlignment="1">
      <alignment horizontal="center" vertical="center"/>
    </xf>
    <xf numFmtId="0" fontId="2" fillId="0" borderId="8" xfId="0" applyFont="1" applyFill="1" applyBorder="1"/>
    <xf numFmtId="0" fontId="8" fillId="0" borderId="8" xfId="0" applyFont="1" applyFill="1" applyBorder="1"/>
    <xf numFmtId="166" fontId="9" fillId="0" borderId="8" xfId="0" applyNumberFormat="1" applyFont="1" applyFill="1" applyBorder="1" applyAlignment="1" applyProtection="1">
      <alignment horizontal="center" vertical="center"/>
    </xf>
    <xf numFmtId="166" fontId="9" fillId="0" borderId="8" xfId="0" applyNumberFormat="1" applyFont="1" applyFill="1" applyBorder="1" applyAlignment="1">
      <alignment horizontal="center" vertical="center"/>
    </xf>
    <xf numFmtId="164" fontId="2" fillId="0" borderId="20" xfId="0" applyNumberFormat="1" applyFont="1" applyBorder="1"/>
    <xf numFmtId="164" fontId="2" fillId="0" borderId="21" xfId="0" applyNumberFormat="1" applyFont="1" applyBorder="1"/>
    <xf numFmtId="164" fontId="2" fillId="0" borderId="22" xfId="0" applyNumberFormat="1" applyFont="1" applyBorder="1"/>
    <xf numFmtId="164" fontId="2" fillId="0" borderId="23" xfId="0" applyNumberFormat="1" applyFont="1" applyBorder="1"/>
    <xf numFmtId="164" fontId="2" fillId="0" borderId="24" xfId="0" applyNumberFormat="1" applyFont="1" applyBorder="1"/>
    <xf numFmtId="3" fontId="9" fillId="8" borderId="27" xfId="0" applyNumberFormat="1" applyFont="1" applyFill="1" applyBorder="1" applyAlignment="1">
      <alignment horizontal="center" vertical="center"/>
    </xf>
    <xf numFmtId="0" fontId="8" fillId="5" borderId="69" xfId="0" applyFont="1" applyFill="1" applyBorder="1" applyAlignment="1">
      <alignment horizontal="left" vertical="center"/>
    </xf>
    <xf numFmtId="3" fontId="9" fillId="8" borderId="14" xfId="0" applyNumberFormat="1" applyFont="1" applyFill="1" applyBorder="1" applyAlignment="1">
      <alignment horizontal="center" vertical="center"/>
    </xf>
    <xf numFmtId="164" fontId="12" fillId="5" borderId="13" xfId="0" applyNumberFormat="1" applyFont="1" applyFill="1" applyBorder="1" applyAlignment="1">
      <alignment vertical="center"/>
    </xf>
    <xf numFmtId="0" fontId="7" fillId="5" borderId="54" xfId="0" quotePrefix="1" applyFont="1" applyFill="1" applyBorder="1" applyAlignment="1">
      <alignment horizontal="left" vertical="center"/>
    </xf>
    <xf numFmtId="0" fontId="8" fillId="5" borderId="54" xfId="0" applyFont="1" applyFill="1" applyBorder="1" applyAlignment="1">
      <alignment horizontal="left" vertical="center"/>
    </xf>
    <xf numFmtId="9" fontId="9" fillId="2" borderId="70" xfId="207" applyNumberFormat="1" applyFont="1" applyFill="1" applyBorder="1" applyAlignment="1">
      <alignment horizontal="center" vertical="center"/>
    </xf>
    <xf numFmtId="3" fontId="9" fillId="8" borderId="70" xfId="0" applyNumberFormat="1" applyFont="1" applyFill="1" applyBorder="1" applyAlignment="1">
      <alignment horizontal="center" vertical="center"/>
    </xf>
    <xf numFmtId="3" fontId="9" fillId="8" borderId="16" xfId="0" applyNumberFormat="1" applyFont="1" applyFill="1" applyBorder="1" applyAlignment="1">
      <alignment horizontal="center" vertical="center"/>
    </xf>
    <xf numFmtId="164" fontId="12" fillId="5" borderId="7" xfId="0" applyNumberFormat="1" applyFont="1" applyFill="1" applyBorder="1" applyAlignment="1">
      <alignment vertical="center"/>
    </xf>
    <xf numFmtId="0" fontId="7" fillId="5" borderId="8" xfId="0" quotePrefix="1" applyFont="1" applyFill="1" applyBorder="1" applyAlignment="1">
      <alignment horizontal="left" vertical="center"/>
    </xf>
    <xf numFmtId="0" fontId="8" fillId="5" borderId="8" xfId="0" applyFont="1" applyFill="1" applyBorder="1" applyAlignment="1">
      <alignment horizontal="left" vertical="center"/>
    </xf>
    <xf numFmtId="3" fontId="9" fillId="5" borderId="8" xfId="0" applyNumberFormat="1" applyFont="1" applyFill="1" applyBorder="1" applyAlignment="1">
      <alignment horizontal="center" vertical="center"/>
    </xf>
    <xf numFmtId="3" fontId="9" fillId="5" borderId="9" xfId="0" applyNumberFormat="1" applyFont="1" applyFill="1" applyBorder="1" applyAlignment="1">
      <alignment horizontal="center" vertical="center"/>
    </xf>
    <xf numFmtId="0" fontId="7" fillId="0" borderId="0" xfId="0" applyFont="1" applyBorder="1"/>
    <xf numFmtId="1" fontId="9" fillId="8" borderId="11" xfId="0" applyNumberFormat="1" applyFont="1" applyFill="1" applyBorder="1" applyAlignment="1" applyProtection="1">
      <alignment horizontal="center" vertical="center"/>
    </xf>
    <xf numFmtId="0" fontId="8" fillId="5" borderId="69" xfId="0" applyFont="1" applyFill="1" applyBorder="1"/>
    <xf numFmtId="1" fontId="9" fillId="9" borderId="28" xfId="0" applyNumberFormat="1" applyFont="1" applyFill="1" applyBorder="1" applyAlignment="1">
      <alignment horizontal="center" vertical="center"/>
    </xf>
    <xf numFmtId="0" fontId="4" fillId="0" borderId="24" xfId="0" applyFont="1" applyBorder="1"/>
    <xf numFmtId="0" fontId="25" fillId="0" borderId="0" xfId="0" applyFont="1" applyFill="1" applyBorder="1" applyAlignment="1">
      <alignment horizontal="left" vertical="center"/>
    </xf>
    <xf numFmtId="0" fontId="17" fillId="0" borderId="0" xfId="0" applyFont="1" applyFill="1" applyBorder="1"/>
    <xf numFmtId="0" fontId="20" fillId="0" borderId="0" xfId="0" applyFont="1" applyFill="1" applyBorder="1" applyAlignment="1">
      <alignment vertical="center"/>
    </xf>
    <xf numFmtId="0" fontId="23" fillId="0" borderId="0" xfId="0" applyFont="1" applyFill="1" applyBorder="1" applyAlignment="1">
      <alignment horizontal="right" vertical="center"/>
    </xf>
    <xf numFmtId="0" fontId="17" fillId="0" borderId="0" xfId="0" applyFont="1" applyFill="1" applyBorder="1" applyAlignment="1">
      <alignment vertical="center"/>
    </xf>
    <xf numFmtId="177" fontId="9" fillId="8" borderId="11" xfId="0" applyNumberFormat="1" applyFont="1" applyFill="1" applyBorder="1" applyAlignment="1" applyProtection="1">
      <alignment horizontal="center" vertical="center"/>
    </xf>
    <xf numFmtId="177" fontId="9" fillId="8" borderId="27" xfId="0" applyNumberFormat="1" applyFont="1" applyFill="1" applyBorder="1" applyAlignment="1">
      <alignment horizontal="center" vertical="center"/>
    </xf>
    <xf numFmtId="39" fontId="2" fillId="0" borderId="59" xfId="0" applyNumberFormat="1" applyFont="1" applyBorder="1" applyAlignment="1" applyProtection="1">
      <alignment vertical="center"/>
    </xf>
    <xf numFmtId="39" fontId="2" fillId="0" borderId="57" xfId="0" applyNumberFormat="1" applyFont="1" applyBorder="1" applyAlignment="1" applyProtection="1">
      <alignment vertical="center"/>
    </xf>
    <xf numFmtId="39" fontId="2" fillId="0" borderId="28" xfId="0" applyNumberFormat="1" applyFont="1" applyBorder="1" applyAlignment="1" applyProtection="1">
      <alignment vertical="center"/>
    </xf>
    <xf numFmtId="39" fontId="2" fillId="0" borderId="27" xfId="0" applyNumberFormat="1" applyFont="1" applyBorder="1" applyAlignment="1" applyProtection="1">
      <alignment vertical="center"/>
    </xf>
    <xf numFmtId="0" fontId="29" fillId="5" borderId="40" xfId="0" applyFont="1" applyFill="1" applyBorder="1" applyAlignment="1">
      <alignment horizontal="center" vertical="center"/>
    </xf>
    <xf numFmtId="37" fontId="2" fillId="0" borderId="58" xfId="0" applyNumberFormat="1" applyFont="1" applyBorder="1" applyAlignment="1" applyProtection="1">
      <alignment vertical="center"/>
    </xf>
    <xf numFmtId="37" fontId="2" fillId="0" borderId="57" xfId="0" applyNumberFormat="1" applyFont="1" applyBorder="1" applyAlignment="1" applyProtection="1">
      <alignment vertical="center"/>
    </xf>
    <xf numFmtId="37" fontId="2" fillId="0" borderId="28" xfId="0" applyNumberFormat="1" applyFont="1" applyBorder="1" applyAlignment="1" applyProtection="1">
      <alignment vertical="center"/>
    </xf>
    <xf numFmtId="37" fontId="2" fillId="0" borderId="27" xfId="0" applyNumberFormat="1" applyFont="1" applyBorder="1" applyAlignment="1" applyProtection="1">
      <alignment vertical="center"/>
    </xf>
    <xf numFmtId="0" fontId="25" fillId="5" borderId="71" xfId="0" applyFont="1" applyFill="1" applyBorder="1" applyAlignment="1">
      <alignment horizontal="centerContinuous" vertical="center"/>
    </xf>
    <xf numFmtId="0" fontId="25" fillId="5" borderId="72" xfId="0" applyFont="1" applyFill="1" applyBorder="1" applyAlignment="1">
      <alignment horizontal="centerContinuous" vertical="center"/>
    </xf>
    <xf numFmtId="0" fontId="39" fillId="5" borderId="40" xfId="0" applyFont="1" applyFill="1" applyBorder="1" applyAlignment="1">
      <alignment horizontal="centerContinuous" vertical="center"/>
    </xf>
    <xf numFmtId="0" fontId="39" fillId="5" borderId="35" xfId="0" applyFont="1" applyFill="1" applyBorder="1" applyAlignment="1">
      <alignment horizontal="centerContinuous" vertical="center"/>
    </xf>
    <xf numFmtId="0" fontId="29" fillId="5" borderId="41" xfId="0" applyFont="1" applyFill="1" applyBorder="1" applyAlignment="1">
      <alignment horizontal="center" vertical="center"/>
    </xf>
    <xf numFmtId="170" fontId="22" fillId="0" borderId="11" xfId="0" applyNumberFormat="1" applyFont="1" applyFill="1" applyBorder="1" applyAlignment="1" applyProtection="1">
      <alignment horizontal="center" vertical="center"/>
    </xf>
    <xf numFmtId="164" fontId="2" fillId="8" borderId="64" xfId="0" applyNumberFormat="1" applyFont="1" applyFill="1" applyBorder="1" applyAlignment="1">
      <alignment horizontal="left" vertical="center"/>
    </xf>
    <xf numFmtId="164" fontId="2" fillId="8" borderId="32" xfId="0" applyNumberFormat="1" applyFont="1" applyFill="1" applyBorder="1"/>
    <xf numFmtId="0" fontId="2" fillId="8" borderId="17" xfId="0" applyFont="1" applyFill="1" applyBorder="1"/>
    <xf numFmtId="0" fontId="2" fillId="5" borderId="45" xfId="0" applyFont="1" applyFill="1" applyBorder="1" applyAlignment="1">
      <alignment vertical="center"/>
    </xf>
    <xf numFmtId="0" fontId="43" fillId="0" borderId="0" xfId="0" applyFont="1" applyFill="1" applyBorder="1"/>
    <xf numFmtId="172" fontId="2" fillId="0" borderId="0" xfId="0" applyNumberFormat="1" applyFont="1" applyFill="1" applyBorder="1"/>
    <xf numFmtId="37" fontId="2" fillId="0" borderId="0" xfId="0" applyNumberFormat="1" applyFont="1" applyFill="1" applyBorder="1"/>
    <xf numFmtId="164" fontId="2" fillId="0" borderId="0" xfId="0" applyNumberFormat="1" applyFont="1" applyFill="1" applyBorder="1"/>
    <xf numFmtId="164" fontId="42" fillId="0" borderId="0" xfId="0" applyNumberFormat="1" applyFont="1" applyFill="1" applyBorder="1" applyAlignment="1">
      <alignment horizontal="left" vertical="center"/>
    </xf>
    <xf numFmtId="164" fontId="41" fillId="0" borderId="0" xfId="0" applyNumberFormat="1" applyFont="1" applyFill="1" applyBorder="1" applyAlignment="1">
      <alignment horizontal="left" vertical="center"/>
    </xf>
    <xf numFmtId="164" fontId="2" fillId="0" borderId="0" xfId="0" applyNumberFormat="1" applyFont="1" applyFill="1" applyBorder="1" applyAlignment="1">
      <alignment horizontal="left" vertical="center"/>
    </xf>
    <xf numFmtId="164" fontId="38" fillId="0" borderId="0" xfId="0" applyNumberFormat="1" applyFont="1" applyFill="1" applyBorder="1" applyAlignment="1">
      <alignment horizontal="left" vertical="center"/>
    </xf>
    <xf numFmtId="164" fontId="38" fillId="0" borderId="0" xfId="0" quotePrefix="1" applyNumberFormat="1" applyFont="1" applyFill="1" applyBorder="1" applyAlignment="1">
      <alignment horizontal="left" vertical="center"/>
    </xf>
    <xf numFmtId="0" fontId="38" fillId="0" borderId="0" xfId="0" applyFont="1" applyFill="1" applyBorder="1" applyAlignment="1">
      <alignment horizontal="right" vertical="center"/>
    </xf>
    <xf numFmtId="0" fontId="2" fillId="0" borderId="0" xfId="0" applyFont="1" applyFill="1" applyBorder="1" applyAlignment="1">
      <alignment horizontal="left" vertical="center"/>
    </xf>
    <xf numFmtId="0" fontId="38" fillId="0" borderId="0" xfId="0" applyFont="1" applyFill="1" applyBorder="1" applyAlignment="1">
      <alignment horizontal="left" vertical="center"/>
    </xf>
    <xf numFmtId="0" fontId="46" fillId="0" borderId="0" xfId="0" applyFont="1" applyFill="1" applyBorder="1" applyAlignment="1">
      <alignment vertical="center"/>
    </xf>
    <xf numFmtId="0" fontId="2" fillId="0" borderId="0" xfId="0" applyFont="1" applyFill="1" applyBorder="1" applyAlignment="1">
      <alignment horizontal="right" vertical="center"/>
    </xf>
    <xf numFmtId="0" fontId="25" fillId="0" borderId="0" xfId="0" applyFont="1" applyFill="1" applyBorder="1" applyAlignment="1">
      <alignment horizontal="centerContinuous" vertical="center"/>
    </xf>
    <xf numFmtId="0" fontId="4" fillId="0" borderId="0" xfId="0" applyFont="1" applyFill="1" applyBorder="1" applyAlignment="1">
      <alignment horizontal="center" vertical="center"/>
    </xf>
    <xf numFmtId="0" fontId="39" fillId="0" borderId="0" xfId="0" applyFont="1" applyFill="1" applyBorder="1" applyAlignment="1">
      <alignment horizontal="centerContinuous" vertical="center"/>
    </xf>
    <xf numFmtId="0" fontId="39" fillId="0" borderId="0" xfId="0" quotePrefix="1" applyFont="1" applyFill="1" applyBorder="1" applyAlignment="1">
      <alignment horizontal="centerContinuous" vertical="center"/>
    </xf>
    <xf numFmtId="0" fontId="14" fillId="0" borderId="0" xfId="0" applyFont="1" applyFill="1" applyBorder="1" applyAlignment="1">
      <alignment horizontal="center" vertical="center"/>
    </xf>
    <xf numFmtId="0" fontId="29" fillId="0" borderId="0" xfId="0" applyFont="1" applyFill="1" applyBorder="1" applyAlignment="1">
      <alignment horizontal="center" vertical="center"/>
    </xf>
    <xf numFmtId="0" fontId="37" fillId="0" borderId="0" xfId="0" applyFont="1" applyFill="1" applyBorder="1" applyAlignment="1">
      <alignment vertical="center"/>
    </xf>
    <xf numFmtId="166" fontId="2" fillId="0" borderId="0" xfId="0" applyNumberFormat="1" applyFont="1" applyFill="1" applyBorder="1" applyAlignment="1" applyProtection="1">
      <alignment horizontal="center" vertical="center"/>
    </xf>
    <xf numFmtId="38" fontId="2" fillId="0" borderId="0" xfId="67" applyNumberFormat="1" applyFont="1" applyFill="1" applyBorder="1" applyAlignment="1">
      <alignment horizontal="right" vertical="center"/>
    </xf>
    <xf numFmtId="175" fontId="2" fillId="0" borderId="0" xfId="67" applyNumberFormat="1" applyFont="1" applyFill="1" applyBorder="1" applyAlignment="1">
      <alignment horizontal="right" vertical="center"/>
    </xf>
    <xf numFmtId="39" fontId="2" fillId="0" borderId="0" xfId="0" applyNumberFormat="1" applyFont="1" applyFill="1" applyBorder="1" applyAlignment="1" applyProtection="1">
      <alignment vertical="center"/>
    </xf>
    <xf numFmtId="37" fontId="2" fillId="0" borderId="0" xfId="0" applyNumberFormat="1" applyFont="1" applyFill="1" applyBorder="1" applyAlignment="1" applyProtection="1">
      <alignment vertical="center"/>
    </xf>
    <xf numFmtId="5" fontId="2" fillId="0" borderId="0" xfId="0" applyNumberFormat="1" applyFont="1" applyFill="1" applyBorder="1" applyAlignment="1" applyProtection="1">
      <alignment vertical="center"/>
    </xf>
    <xf numFmtId="5" fontId="2" fillId="0" borderId="0" xfId="67" applyNumberFormat="1" applyFont="1" applyFill="1" applyBorder="1" applyAlignment="1" applyProtection="1">
      <alignment vertical="center"/>
    </xf>
    <xf numFmtId="38" fontId="2" fillId="0" borderId="0" xfId="67" applyNumberFormat="1" applyFont="1" applyFill="1" applyBorder="1" applyAlignment="1" applyProtection="1">
      <alignment vertical="center"/>
    </xf>
    <xf numFmtId="38" fontId="2" fillId="0" borderId="0" xfId="67" applyNumberFormat="1" applyFont="1" applyFill="1" applyBorder="1" applyAlignment="1">
      <alignment vertical="center"/>
    </xf>
    <xf numFmtId="5" fontId="23" fillId="0" borderId="0" xfId="67" applyNumberFormat="1" applyFont="1" applyFill="1" applyBorder="1" applyAlignment="1" applyProtection="1">
      <alignment vertical="center"/>
    </xf>
    <xf numFmtId="5" fontId="2" fillId="0" borderId="50" xfId="67" applyNumberFormat="1" applyFont="1" applyFill="1" applyBorder="1" applyAlignment="1" applyProtection="1">
      <alignment vertical="center"/>
    </xf>
    <xf numFmtId="5" fontId="23" fillId="0" borderId="4" xfId="67" applyNumberFormat="1" applyFont="1" applyFill="1" applyBorder="1" applyAlignment="1" applyProtection="1">
      <alignment vertical="center"/>
    </xf>
    <xf numFmtId="0" fontId="14" fillId="3" borderId="55" xfId="0" applyFont="1" applyFill="1" applyBorder="1" applyAlignment="1">
      <alignment horizontal="center" vertical="center"/>
    </xf>
    <xf numFmtId="0" fontId="49" fillId="5" borderId="2" xfId="0" applyFont="1" applyFill="1" applyBorder="1" applyAlignment="1">
      <alignment horizontal="left" vertical="center"/>
    </xf>
    <xf numFmtId="164" fontId="50" fillId="0" borderId="0" xfId="0" applyNumberFormat="1" applyFont="1" applyFill="1" applyBorder="1" applyAlignment="1">
      <alignment horizontal="left" vertical="center"/>
    </xf>
    <xf numFmtId="3" fontId="2" fillId="0" borderId="0" xfId="0" applyNumberFormat="1" applyFont="1" applyFill="1" applyBorder="1" applyAlignment="1">
      <alignment vertical="center"/>
    </xf>
    <xf numFmtId="5" fontId="2" fillId="0" borderId="50" xfId="67" applyNumberFormat="1" applyFont="1" applyFill="1" applyBorder="1" applyAlignment="1" applyProtection="1">
      <alignment horizontal="center" vertical="center"/>
    </xf>
    <xf numFmtId="5" fontId="23" fillId="0" borderId="4" xfId="67" applyNumberFormat="1" applyFont="1" applyFill="1" applyBorder="1" applyAlignment="1" applyProtection="1">
      <alignment horizontal="center" vertical="center"/>
    </xf>
    <xf numFmtId="164" fontId="17" fillId="5" borderId="7" xfId="0" applyNumberFormat="1" applyFont="1" applyFill="1" applyBorder="1" applyAlignment="1">
      <alignment vertical="center"/>
    </xf>
    <xf numFmtId="164" fontId="17" fillId="5" borderId="8" xfId="0" applyNumberFormat="1" applyFont="1" applyFill="1" applyBorder="1" applyAlignment="1">
      <alignment vertical="center"/>
    </xf>
    <xf numFmtId="164" fontId="33" fillId="5" borderId="10" xfId="0" applyNumberFormat="1" applyFont="1" applyFill="1" applyBorder="1" applyAlignment="1">
      <alignment horizontal="centerContinuous" vertical="center"/>
    </xf>
    <xf numFmtId="37" fontId="2" fillId="5" borderId="0" xfId="0" applyNumberFormat="1" applyFont="1" applyFill="1" applyBorder="1" applyAlignment="1">
      <alignment horizontal="centerContinuous"/>
    </xf>
    <xf numFmtId="0" fontId="2" fillId="5" borderId="0" xfId="0" applyFont="1" applyFill="1" applyBorder="1" applyAlignment="1">
      <alignment horizontal="centerContinuous" vertical="center"/>
    </xf>
    <xf numFmtId="0" fontId="25" fillId="5" borderId="0" xfId="0" applyFont="1" applyFill="1" applyBorder="1" applyAlignment="1">
      <alignment horizontal="centerContinuous" vertical="center"/>
    </xf>
    <xf numFmtId="0" fontId="17" fillId="5" borderId="0" xfId="0" applyFont="1" applyFill="1" applyBorder="1" applyAlignment="1">
      <alignment horizontal="centerContinuous" vertical="center"/>
    </xf>
    <xf numFmtId="0" fontId="4" fillId="5" borderId="12" xfId="0" applyFont="1" applyFill="1" applyBorder="1" applyAlignment="1">
      <alignment horizontal="centerContinuous" vertical="center"/>
    </xf>
    <xf numFmtId="0" fontId="39" fillId="5" borderId="25" xfId="0" quotePrefix="1" applyFont="1" applyFill="1" applyBorder="1" applyAlignment="1">
      <alignment horizontal="centerContinuous" vertical="center"/>
    </xf>
    <xf numFmtId="0" fontId="39" fillId="5" borderId="3" xfId="0" applyFont="1" applyFill="1" applyBorder="1" applyAlignment="1">
      <alignment horizontal="centerContinuous" vertical="center"/>
    </xf>
    <xf numFmtId="0" fontId="39" fillId="5" borderId="3" xfId="0" quotePrefix="1" applyFont="1" applyFill="1" applyBorder="1" applyAlignment="1">
      <alignment horizontal="centerContinuous" vertical="center"/>
    </xf>
    <xf numFmtId="0" fontId="2" fillId="5" borderId="26" xfId="0" applyFont="1" applyFill="1" applyBorder="1" applyAlignment="1">
      <alignment vertical="center"/>
    </xf>
    <xf numFmtId="5" fontId="2" fillId="0" borderId="57" xfId="0" applyNumberFormat="1" applyFont="1" applyBorder="1" applyAlignment="1" applyProtection="1">
      <alignment vertical="center"/>
    </xf>
    <xf numFmtId="5" fontId="2" fillId="0" borderId="28" xfId="0" applyNumberFormat="1" applyFont="1" applyBorder="1" applyAlignment="1" applyProtection="1">
      <alignment vertical="center"/>
    </xf>
    <xf numFmtId="5" fontId="2" fillId="0" borderId="27" xfId="0" applyNumberFormat="1" applyFont="1" applyBorder="1" applyAlignment="1" applyProtection="1">
      <alignment vertical="center"/>
    </xf>
    <xf numFmtId="0" fontId="6" fillId="0" borderId="18" xfId="0" applyFont="1" applyFill="1" applyBorder="1" applyAlignment="1">
      <alignment horizontal="left" vertical="center"/>
    </xf>
    <xf numFmtId="0" fontId="2" fillId="0" borderId="6" xfId="0" applyFont="1" applyFill="1" applyBorder="1" applyAlignment="1">
      <alignment horizontal="left" vertical="center"/>
    </xf>
    <xf numFmtId="0" fontId="17" fillId="0" borderId="6" xfId="0" applyFont="1" applyFill="1" applyBorder="1" applyAlignment="1">
      <alignment vertical="center"/>
    </xf>
    <xf numFmtId="0" fontId="17" fillId="0" borderId="19" xfId="0" applyFont="1" applyFill="1" applyBorder="1" applyAlignment="1">
      <alignment vertical="center"/>
    </xf>
    <xf numFmtId="0" fontId="6" fillId="0" borderId="20" xfId="0" applyFont="1" applyFill="1" applyBorder="1" applyAlignment="1">
      <alignment horizontal="left" vertical="center"/>
    </xf>
    <xf numFmtId="0" fontId="2" fillId="0" borderId="21" xfId="0" applyFont="1" applyBorder="1" applyAlignment="1">
      <alignment vertical="center"/>
    </xf>
    <xf numFmtId="7" fontId="2" fillId="0" borderId="21" xfId="0" applyNumberFormat="1" applyFont="1" applyFill="1" applyBorder="1" applyAlignment="1" applyProtection="1">
      <alignment horizontal="right" vertical="center"/>
    </xf>
    <xf numFmtId="0" fontId="14" fillId="5" borderId="4" xfId="0" applyFont="1" applyFill="1" applyBorder="1" applyAlignment="1">
      <alignment horizontal="center" vertical="center"/>
    </xf>
    <xf numFmtId="0" fontId="14" fillId="5" borderId="70" xfId="0" applyFont="1" applyFill="1" applyBorder="1" applyAlignment="1">
      <alignment horizontal="center" vertical="center"/>
    </xf>
    <xf numFmtId="0" fontId="14" fillId="5" borderId="49" xfId="0" applyFont="1" applyFill="1" applyBorder="1" applyAlignment="1">
      <alignment horizontal="center" vertical="center"/>
    </xf>
    <xf numFmtId="7" fontId="2" fillId="0" borderId="21" xfId="0" applyNumberFormat="1" applyFont="1" applyFill="1" applyBorder="1" applyAlignment="1">
      <alignment horizontal="right" vertical="center"/>
    </xf>
    <xf numFmtId="0" fontId="2" fillId="0" borderId="20" xfId="0" applyFont="1" applyBorder="1" applyAlignment="1">
      <alignment vertical="center"/>
    </xf>
    <xf numFmtId="0" fontId="2" fillId="0" borderId="21" xfId="0" quotePrefix="1" applyFont="1" applyFill="1" applyBorder="1" applyAlignment="1">
      <alignment horizontal="center" vertical="center"/>
    </xf>
    <xf numFmtId="0" fontId="2" fillId="0" borderId="0" xfId="0" applyNumberFormat="1" applyFont="1"/>
    <xf numFmtId="5" fontId="2" fillId="0" borderId="58" xfId="0" applyNumberFormat="1" applyFont="1" applyBorder="1" applyAlignment="1" applyProtection="1">
      <alignment vertical="center"/>
    </xf>
    <xf numFmtId="164" fontId="2" fillId="0" borderId="0" xfId="0" quotePrefix="1" applyNumberFormat="1" applyFont="1" applyBorder="1" applyAlignment="1">
      <alignment horizontal="left" vertical="center"/>
    </xf>
    <xf numFmtId="0" fontId="2" fillId="0" borderId="0" xfId="0" applyFont="1" applyAlignment="1">
      <alignment horizontal="left" vertical="center"/>
    </xf>
    <xf numFmtId="180" fontId="2" fillId="0" borderId="0" xfId="0" applyNumberFormat="1" applyFont="1" applyAlignment="1">
      <alignment horizontal="left" vertical="center"/>
    </xf>
    <xf numFmtId="164" fontId="2" fillId="0" borderId="0" xfId="0" quotePrefix="1" applyNumberFormat="1" applyFont="1" applyFill="1" applyBorder="1" applyAlignment="1">
      <alignment horizontal="left" vertical="center"/>
    </xf>
    <xf numFmtId="5" fontId="2" fillId="0" borderId="60" xfId="0" applyNumberFormat="1" applyFont="1" applyBorder="1" applyAlignment="1" applyProtection="1">
      <alignment vertical="center"/>
    </xf>
    <xf numFmtId="5" fontId="2" fillId="0" borderId="59" xfId="0" applyNumberFormat="1" applyFont="1" applyBorder="1" applyAlignment="1" applyProtection="1">
      <alignment vertical="center"/>
    </xf>
    <xf numFmtId="0" fontId="51" fillId="0" borderId="0" xfId="0" applyFont="1" applyFill="1" applyBorder="1" applyAlignment="1">
      <alignment horizontal="centerContinuous"/>
    </xf>
    <xf numFmtId="0" fontId="2" fillId="0" borderId="0" xfId="0" applyFont="1" applyAlignment="1">
      <alignment horizontal="centerContinuous"/>
    </xf>
    <xf numFmtId="0" fontId="34" fillId="0" borderId="0" xfId="0" applyFont="1" applyFill="1" applyBorder="1" applyAlignment="1">
      <alignment horizontal="centerContinuous"/>
    </xf>
    <xf numFmtId="0" fontId="14" fillId="5" borderId="4" xfId="0" applyFont="1" applyFill="1" applyBorder="1" applyAlignment="1">
      <alignment horizontal="center"/>
    </xf>
    <xf numFmtId="0" fontId="0" fillId="0" borderId="0" xfId="0" applyBorder="1" applyAlignment="1">
      <alignment horizontal="centerContinuous"/>
    </xf>
    <xf numFmtId="0" fontId="14" fillId="0" borderId="0" xfId="0" applyFont="1" applyBorder="1" applyAlignment="1">
      <alignment horizontal="left"/>
    </xf>
    <xf numFmtId="9" fontId="2" fillId="0" borderId="0" xfId="0" applyNumberFormat="1" applyFont="1"/>
    <xf numFmtId="176" fontId="0" fillId="0" borderId="73" xfId="0" applyNumberFormat="1" applyBorder="1"/>
    <xf numFmtId="176" fontId="0" fillId="0" borderId="62" xfId="0" applyNumberFormat="1" applyBorder="1"/>
    <xf numFmtId="176" fontId="0" fillId="0" borderId="57" xfId="0" applyNumberFormat="1" applyBorder="1"/>
    <xf numFmtId="176" fontId="0" fillId="0" borderId="32" xfId="0" applyNumberFormat="1" applyBorder="1"/>
    <xf numFmtId="176" fontId="0" fillId="0" borderId="11" xfId="0" applyNumberFormat="1" applyBorder="1"/>
    <xf numFmtId="176" fontId="0" fillId="0" borderId="27" xfId="0" applyNumberFormat="1" applyBorder="1"/>
    <xf numFmtId="176" fontId="0" fillId="0" borderId="74" xfId="0" applyNumberFormat="1" applyBorder="1"/>
    <xf numFmtId="176" fontId="0" fillId="0" borderId="14" xfId="0" applyNumberFormat="1" applyBorder="1"/>
    <xf numFmtId="176" fontId="0" fillId="0" borderId="28" xfId="0" applyNumberFormat="1" applyBorder="1"/>
    <xf numFmtId="0" fontId="17" fillId="0" borderId="75" xfId="0" applyFont="1" applyBorder="1"/>
    <xf numFmtId="0" fontId="17" fillId="0" borderId="75" xfId="0" applyFont="1" applyBorder="1" applyAlignment="1">
      <alignment horizontal="center"/>
    </xf>
    <xf numFmtId="0" fontId="17" fillId="0" borderId="50" xfId="0" applyFont="1" applyBorder="1"/>
    <xf numFmtId="0" fontId="17" fillId="0" borderId="50" xfId="0" applyFont="1" applyBorder="1" applyAlignment="1">
      <alignment horizontal="center"/>
    </xf>
    <xf numFmtId="0" fontId="17" fillId="0" borderId="51" xfId="0" applyFont="1" applyBorder="1"/>
    <xf numFmtId="0" fontId="17" fillId="0" borderId="51" xfId="0" applyFont="1" applyBorder="1" applyAlignment="1">
      <alignment horizontal="center"/>
    </xf>
    <xf numFmtId="0" fontId="14" fillId="5" borderId="76" xfId="0" applyFont="1" applyFill="1" applyBorder="1" applyAlignment="1">
      <alignment horizontal="center"/>
    </xf>
    <xf numFmtId="0" fontId="14" fillId="5" borderId="70" xfId="0" applyFont="1" applyFill="1" applyBorder="1" applyAlignment="1">
      <alignment horizontal="center"/>
    </xf>
    <xf numFmtId="0" fontId="14" fillId="5" borderId="16" xfId="0" applyFont="1" applyFill="1" applyBorder="1" applyAlignment="1">
      <alignment horizontal="center"/>
    </xf>
    <xf numFmtId="2" fontId="0" fillId="0" borderId="77" xfId="0" applyNumberFormat="1" applyBorder="1"/>
    <xf numFmtId="2" fontId="0" fillId="0" borderId="35" xfId="0" applyNumberFormat="1" applyBorder="1"/>
    <xf numFmtId="2" fontId="0" fillId="0" borderId="40" xfId="0" applyNumberFormat="1" applyBorder="1"/>
    <xf numFmtId="173" fontId="0" fillId="0" borderId="77" xfId="0" applyNumberFormat="1" applyBorder="1"/>
    <xf numFmtId="2" fontId="0" fillId="0" borderId="41" xfId="0" applyNumberFormat="1" applyBorder="1"/>
    <xf numFmtId="2" fontId="0" fillId="0" borderId="29" xfId="0" applyNumberFormat="1" applyBorder="1"/>
    <xf numFmtId="2" fontId="0" fillId="0" borderId="30" xfId="0" applyNumberFormat="1" applyBorder="1"/>
    <xf numFmtId="0" fontId="52" fillId="0" borderId="0" xfId="0" applyFont="1"/>
    <xf numFmtId="0" fontId="0" fillId="0" borderId="0" xfId="0" applyNumberFormat="1"/>
    <xf numFmtId="0" fontId="14" fillId="5" borderId="10" xfId="0" applyFont="1" applyFill="1" applyBorder="1"/>
    <xf numFmtId="176" fontId="2" fillId="0" borderId="0" xfId="0" applyNumberFormat="1" applyFont="1" applyAlignment="1"/>
    <xf numFmtId="176" fontId="2" fillId="9" borderId="11" xfId="0" applyNumberFormat="1" applyFont="1" applyFill="1" applyBorder="1" applyAlignment="1"/>
    <xf numFmtId="170" fontId="2" fillId="0" borderId="11" xfId="0" applyNumberFormat="1" applyFont="1" applyFill="1" applyBorder="1"/>
    <xf numFmtId="0" fontId="2" fillId="0" borderId="11" xfId="0" applyFont="1" applyFill="1" applyBorder="1"/>
    <xf numFmtId="176" fontId="2" fillId="9" borderId="27" xfId="0" applyNumberFormat="1" applyFont="1" applyFill="1" applyBorder="1" applyAlignment="1"/>
    <xf numFmtId="176" fontId="2" fillId="9" borderId="32" xfId="0" applyNumberFormat="1" applyFont="1" applyFill="1" applyBorder="1" applyAlignment="1"/>
    <xf numFmtId="0" fontId="14" fillId="5" borderId="4" xfId="0" applyFont="1" applyFill="1" applyBorder="1"/>
    <xf numFmtId="0" fontId="14" fillId="5" borderId="48" xfId="0" applyFont="1" applyFill="1" applyBorder="1" applyAlignment="1">
      <alignment horizontal="center"/>
    </xf>
    <xf numFmtId="0" fontId="2" fillId="0" borderId="75" xfId="0" applyFont="1" applyBorder="1"/>
    <xf numFmtId="0" fontId="2" fillId="0" borderId="50" xfId="0" applyFont="1" applyBorder="1"/>
    <xf numFmtId="0" fontId="2" fillId="0" borderId="51" xfId="0" applyFont="1" applyBorder="1"/>
    <xf numFmtId="0" fontId="2" fillId="0" borderId="0" xfId="0" applyFont="1" applyBorder="1" applyAlignment="1">
      <alignment horizontal="center"/>
    </xf>
    <xf numFmtId="0" fontId="23" fillId="5" borderId="55" xfId="0" applyFont="1" applyFill="1" applyBorder="1" applyAlignment="1">
      <alignment horizontal="centerContinuous" vertical="center"/>
    </xf>
    <xf numFmtId="0" fontId="23" fillId="5" borderId="10" xfId="0" applyFont="1" applyFill="1" applyBorder="1" applyAlignment="1">
      <alignment horizontal="centerContinuous" vertical="center"/>
    </xf>
    <xf numFmtId="0" fontId="23" fillId="5" borderId="0" xfId="0" applyFont="1" applyFill="1" applyBorder="1" applyAlignment="1">
      <alignment horizontal="centerContinuous" vertical="center"/>
    </xf>
    <xf numFmtId="0" fontId="23" fillId="5" borderId="12" xfId="0" applyFont="1" applyFill="1" applyBorder="1" applyAlignment="1">
      <alignment horizontal="centerContinuous" vertical="center"/>
    </xf>
    <xf numFmtId="0" fontId="23" fillId="5" borderId="0" xfId="0" applyFont="1" applyFill="1" applyBorder="1" applyAlignment="1">
      <alignment horizontal="center" vertical="center"/>
    </xf>
    <xf numFmtId="0" fontId="23" fillId="5" borderId="56" xfId="0" applyFont="1" applyFill="1" applyBorder="1" applyAlignment="1">
      <alignment horizontal="center" vertical="center"/>
    </xf>
    <xf numFmtId="0" fontId="23" fillId="5" borderId="44" xfId="0" applyFont="1" applyFill="1" applyBorder="1" applyAlignment="1">
      <alignment horizontal="center" vertical="center"/>
    </xf>
    <xf numFmtId="0" fontId="17" fillId="0" borderId="0" xfId="0" applyFont="1" applyBorder="1"/>
    <xf numFmtId="0" fontId="17" fillId="5" borderId="8" xfId="0" applyFont="1" applyFill="1" applyBorder="1"/>
    <xf numFmtId="171" fontId="8" fillId="0" borderId="0" xfId="0" applyNumberFormat="1" applyFont="1" applyBorder="1" applyAlignment="1">
      <alignment horizontal="left" vertical="center"/>
    </xf>
    <xf numFmtId="0" fontId="2" fillId="5" borderId="56" xfId="0" applyFont="1" applyFill="1" applyBorder="1" applyAlignment="1">
      <alignment vertical="center"/>
    </xf>
    <xf numFmtId="0" fontId="14" fillId="9" borderId="55" xfId="0" applyFont="1" applyFill="1" applyBorder="1" applyAlignment="1">
      <alignment horizontal="center" vertical="center"/>
    </xf>
    <xf numFmtId="0" fontId="14" fillId="9" borderId="56" xfId="0" applyFont="1" applyFill="1" applyBorder="1" applyAlignment="1">
      <alignment horizontal="center" vertical="center"/>
    </xf>
    <xf numFmtId="0" fontId="14" fillId="9" borderId="44" xfId="0" applyFont="1" applyFill="1" applyBorder="1" applyAlignment="1">
      <alignment horizontal="center" vertical="center"/>
    </xf>
    <xf numFmtId="5" fontId="2" fillId="9" borderId="50" xfId="67" applyNumberFormat="1" applyFont="1" applyFill="1" applyBorder="1" applyAlignment="1" applyProtection="1">
      <alignment vertical="center"/>
    </xf>
    <xf numFmtId="164" fontId="2" fillId="0" borderId="0" xfId="0" applyNumberFormat="1" applyFont="1"/>
    <xf numFmtId="178" fontId="2" fillId="0" borderId="0" xfId="0" applyNumberFormat="1" applyFont="1"/>
    <xf numFmtId="164" fontId="44" fillId="0" borderId="0" xfId="0" quotePrefix="1" applyNumberFormat="1" applyFont="1" applyFill="1" applyBorder="1" applyAlignment="1">
      <alignment horizontal="centerContinuous" vertical="center"/>
    </xf>
    <xf numFmtId="0" fontId="14" fillId="0" borderId="56" xfId="0" applyFont="1" applyFill="1" applyBorder="1" applyAlignment="1">
      <alignment horizontal="center" vertical="center"/>
    </xf>
    <xf numFmtId="5" fontId="2" fillId="0" borderId="56" xfId="67" applyNumberFormat="1" applyFont="1" applyFill="1" applyBorder="1" applyAlignment="1" applyProtection="1">
      <alignment vertical="center"/>
    </xf>
    <xf numFmtId="5" fontId="23" fillId="0" borderId="56" xfId="67" applyNumberFormat="1" applyFont="1" applyFill="1" applyBorder="1" applyAlignment="1" applyProtection="1">
      <alignment vertical="center"/>
    </xf>
    <xf numFmtId="5" fontId="23" fillId="11" borderId="4" xfId="67" applyNumberFormat="1" applyFont="1" applyFill="1" applyBorder="1" applyAlignment="1" applyProtection="1">
      <alignment vertical="center"/>
    </xf>
    <xf numFmtId="5" fontId="0" fillId="0" borderId="0" xfId="0" applyNumberFormat="1"/>
    <xf numFmtId="0" fontId="14" fillId="12" borderId="55" xfId="0" applyFont="1" applyFill="1" applyBorder="1" applyAlignment="1">
      <alignment horizontal="center" vertical="center"/>
    </xf>
    <xf numFmtId="0" fontId="14" fillId="12" borderId="56" xfId="0" applyFont="1" applyFill="1" applyBorder="1" applyAlignment="1">
      <alignment horizontal="center" vertical="center"/>
    </xf>
    <xf numFmtId="0" fontId="14" fillId="12" borderId="44" xfId="0" applyFont="1" applyFill="1" applyBorder="1" applyAlignment="1">
      <alignment horizontal="center" vertical="center"/>
    </xf>
    <xf numFmtId="5" fontId="2" fillId="12" borderId="50" xfId="67" applyNumberFormat="1" applyFont="1" applyFill="1" applyBorder="1" applyAlignment="1" applyProtection="1">
      <alignment vertical="center"/>
    </xf>
    <xf numFmtId="5" fontId="23" fillId="12" borderId="4" xfId="67" applyNumberFormat="1" applyFont="1" applyFill="1" applyBorder="1" applyAlignment="1" applyProtection="1">
      <alignment vertical="center"/>
    </xf>
    <xf numFmtId="5" fontId="23" fillId="9" borderId="4" xfId="67" applyNumberFormat="1" applyFont="1" applyFill="1" applyBorder="1" applyAlignment="1" applyProtection="1">
      <alignment vertical="center"/>
    </xf>
    <xf numFmtId="166" fontId="2" fillId="0" borderId="75" xfId="0" applyNumberFormat="1" applyFont="1" applyBorder="1" applyAlignment="1" applyProtection="1">
      <alignment horizontal="center" vertical="center"/>
    </xf>
    <xf numFmtId="5" fontId="2" fillId="0" borderId="51" xfId="67" applyNumberFormat="1" applyFont="1" applyFill="1" applyBorder="1" applyAlignment="1" applyProtection="1">
      <alignment vertical="center"/>
    </xf>
    <xf numFmtId="5" fontId="2" fillId="9" borderId="51" xfId="67" applyNumberFormat="1" applyFont="1" applyFill="1" applyBorder="1" applyAlignment="1" applyProtection="1">
      <alignment vertical="center"/>
    </xf>
    <xf numFmtId="164" fontId="2" fillId="0" borderId="7" xfId="0" applyNumberFormat="1" applyFont="1" applyFill="1" applyBorder="1" applyAlignment="1">
      <alignment horizontal="center"/>
    </xf>
    <xf numFmtId="172" fontId="2" fillId="0" borderId="8" xfId="0" applyNumberFormat="1" applyFont="1" applyFill="1" applyBorder="1"/>
    <xf numFmtId="164" fontId="2" fillId="0" borderId="10" xfId="0" applyNumberFormat="1" applyFont="1" applyFill="1" applyBorder="1" applyAlignment="1">
      <alignment horizontal="center"/>
    </xf>
    <xf numFmtId="164" fontId="2" fillId="0" borderId="25" xfId="0" applyNumberFormat="1" applyFont="1" applyFill="1" applyBorder="1" applyAlignment="1">
      <alignment horizontal="center"/>
    </xf>
    <xf numFmtId="172" fontId="2" fillId="0" borderId="3" xfId="0" applyNumberFormat="1" applyFont="1" applyFill="1" applyBorder="1"/>
    <xf numFmtId="0" fontId="14" fillId="3" borderId="4" xfId="0" applyFont="1" applyFill="1" applyBorder="1" applyAlignment="1">
      <alignment horizontal="center" vertical="center"/>
    </xf>
    <xf numFmtId="5" fontId="2" fillId="0" borderId="4" xfId="67" applyNumberFormat="1" applyFont="1" applyFill="1" applyBorder="1" applyAlignment="1" applyProtection="1">
      <alignment vertical="center"/>
    </xf>
    <xf numFmtId="5" fontId="2" fillId="0" borderId="0" xfId="0" applyNumberFormat="1" applyFont="1" applyFill="1"/>
    <xf numFmtId="0" fontId="14" fillId="5" borderId="56" xfId="0" applyFont="1" applyFill="1" applyBorder="1" applyAlignment="1">
      <alignment horizontal="center"/>
    </xf>
    <xf numFmtId="0" fontId="0" fillId="0" borderId="8" xfId="0" applyBorder="1"/>
    <xf numFmtId="0" fontId="14" fillId="5" borderId="44" xfId="0" applyFont="1" applyFill="1" applyBorder="1" applyAlignment="1">
      <alignment horizontal="center" vertical="center"/>
    </xf>
    <xf numFmtId="166" fontId="23" fillId="0" borderId="0" xfId="0" applyNumberFormat="1" applyFont="1" applyFill="1" applyBorder="1" applyAlignment="1" applyProtection="1">
      <alignment horizontal="center" vertical="center"/>
    </xf>
    <xf numFmtId="0" fontId="23" fillId="0" borderId="0" xfId="0" applyFont="1" applyBorder="1" applyAlignment="1">
      <alignment horizontal="center" vertical="center"/>
    </xf>
    <xf numFmtId="10" fontId="23" fillId="11" borderId="4" xfId="207" applyNumberFormat="1" applyFont="1" applyFill="1" applyBorder="1" applyAlignment="1" applyProtection="1">
      <alignment horizontal="center" vertical="center"/>
    </xf>
    <xf numFmtId="0" fontId="5" fillId="5" borderId="10" xfId="0" quotePrefix="1" applyFont="1" applyFill="1" applyBorder="1" applyAlignment="1">
      <alignment horizontal="left" vertical="center"/>
    </xf>
    <xf numFmtId="164" fontId="5" fillId="5" borderId="7" xfId="0" applyNumberFormat="1" applyFont="1" applyFill="1" applyBorder="1" applyAlignment="1">
      <alignment horizontal="left" vertical="center"/>
    </xf>
    <xf numFmtId="164" fontId="55" fillId="5" borderId="10" xfId="0" applyNumberFormat="1" applyFont="1" applyFill="1" applyBorder="1" applyAlignment="1">
      <alignment horizontal="left" vertical="center"/>
    </xf>
    <xf numFmtId="164" fontId="55" fillId="5" borderId="0" xfId="0" applyNumberFormat="1" applyFont="1" applyFill="1" applyBorder="1" applyAlignment="1">
      <alignment horizontal="left" vertical="center"/>
    </xf>
    <xf numFmtId="0" fontId="5" fillId="5" borderId="7" xfId="0" applyFont="1" applyFill="1" applyBorder="1" applyAlignment="1">
      <alignment horizontal="left" vertical="center"/>
    </xf>
    <xf numFmtId="0" fontId="47" fillId="0" borderId="0" xfId="0" applyFont="1" applyBorder="1" applyAlignment="1">
      <alignment horizontal="centerContinuous" vertical="center"/>
    </xf>
    <xf numFmtId="0" fontId="7" fillId="0" borderId="0" xfId="0" applyFont="1" applyFill="1" applyBorder="1" applyAlignment="1">
      <alignment vertical="center"/>
    </xf>
    <xf numFmtId="0" fontId="7" fillId="0" borderId="0" xfId="0" applyFont="1" applyBorder="1" applyAlignment="1">
      <alignment vertical="center"/>
    </xf>
    <xf numFmtId="0" fontId="25" fillId="5" borderId="7" xfId="0" applyFont="1" applyFill="1" applyBorder="1" applyAlignment="1">
      <alignment horizontal="left" vertical="center"/>
    </xf>
    <xf numFmtId="0" fontId="39" fillId="5" borderId="10" xfId="0" applyFont="1" applyFill="1" applyBorder="1" applyAlignment="1">
      <alignment horizontal="left" vertical="center"/>
    </xf>
    <xf numFmtId="175" fontId="2" fillId="9" borderId="58" xfId="67" applyNumberFormat="1" applyFont="1" applyFill="1" applyBorder="1" applyAlignment="1">
      <alignment horizontal="right" vertical="center"/>
    </xf>
    <xf numFmtId="175" fontId="2" fillId="9" borderId="57" xfId="67" applyNumberFormat="1" applyFont="1" applyFill="1" applyBorder="1" applyAlignment="1">
      <alignment horizontal="right" vertical="center"/>
    </xf>
    <xf numFmtId="175" fontId="2" fillId="9" borderId="60" xfId="67" applyNumberFormat="1" applyFont="1" applyFill="1" applyBorder="1" applyAlignment="1">
      <alignment horizontal="right" vertical="center"/>
    </xf>
    <xf numFmtId="175" fontId="2" fillId="9" borderId="28" xfId="67" applyNumberFormat="1" applyFont="1" applyFill="1" applyBorder="1" applyAlignment="1">
      <alignment horizontal="right" vertical="center"/>
    </xf>
    <xf numFmtId="38" fontId="2" fillId="0" borderId="57" xfId="67" applyNumberFormat="1" applyFont="1" applyBorder="1" applyAlignment="1">
      <alignment horizontal="right" vertical="center"/>
    </xf>
    <xf numFmtId="38" fontId="2" fillId="0" borderId="27" xfId="67" applyNumberFormat="1" applyFont="1" applyBorder="1" applyAlignment="1">
      <alignment horizontal="right" vertical="center"/>
    </xf>
    <xf numFmtId="38" fontId="2" fillId="0" borderId="28" xfId="67" applyNumberFormat="1" applyFont="1" applyBorder="1" applyAlignment="1">
      <alignment horizontal="right" vertical="center"/>
    </xf>
    <xf numFmtId="175" fontId="2" fillId="0" borderId="58" xfId="67" applyNumberFormat="1" applyFont="1" applyBorder="1" applyAlignment="1">
      <alignment horizontal="right" vertical="center"/>
    </xf>
    <xf numFmtId="175" fontId="2" fillId="0" borderId="59" xfId="67" applyNumberFormat="1" applyFont="1" applyBorder="1" applyAlignment="1">
      <alignment horizontal="right" vertical="center"/>
    </xf>
    <xf numFmtId="175" fontId="2" fillId="0" borderId="60" xfId="67" applyNumberFormat="1" applyFont="1" applyBorder="1" applyAlignment="1">
      <alignment horizontal="right" vertical="center"/>
    </xf>
    <xf numFmtId="0" fontId="10" fillId="5" borderId="8" xfId="0" applyFont="1" applyFill="1" applyBorder="1" applyAlignment="1">
      <alignment horizontal="center"/>
    </xf>
    <xf numFmtId="0" fontId="14" fillId="0" borderId="0" xfId="67" quotePrefix="1" applyNumberFormat="1" applyFont="1" applyFill="1" applyBorder="1" applyAlignment="1">
      <alignment horizontal="center" vertical="center"/>
    </xf>
    <xf numFmtId="0" fontId="2" fillId="0" borderId="4" xfId="0" applyFont="1" applyBorder="1"/>
    <xf numFmtId="37" fontId="9" fillId="8" borderId="78" xfId="0" applyNumberFormat="1" applyFont="1" applyFill="1" applyBorder="1" applyAlignment="1" applyProtection="1">
      <alignment horizontal="center" vertical="center"/>
    </xf>
    <xf numFmtId="9" fontId="9" fillId="2" borderId="30" xfId="207" applyFont="1" applyFill="1" applyBorder="1" applyAlignment="1" applyProtection="1">
      <alignment horizontal="center" vertical="center"/>
    </xf>
    <xf numFmtId="9" fontId="9" fillId="5" borderId="16" xfId="207" applyFont="1" applyFill="1" applyBorder="1" applyAlignment="1" applyProtection="1">
      <alignment horizontal="center" vertical="center"/>
    </xf>
    <xf numFmtId="37" fontId="0" fillId="0" borderId="0" xfId="0" applyNumberFormat="1"/>
    <xf numFmtId="40" fontId="2" fillId="9" borderId="59" xfId="67" applyNumberFormat="1" applyFont="1" applyFill="1" applyBorder="1" applyAlignment="1">
      <alignment horizontal="right" vertical="center"/>
    </xf>
    <xf numFmtId="40" fontId="2" fillId="0" borderId="62" xfId="67" applyNumberFormat="1" applyFont="1" applyBorder="1" applyAlignment="1">
      <alignment horizontal="right" vertical="center"/>
    </xf>
    <xf numFmtId="40" fontId="2" fillId="0" borderId="11" xfId="67" applyNumberFormat="1" applyFont="1" applyBorder="1" applyAlignment="1">
      <alignment horizontal="right" vertical="center"/>
    </xf>
    <xf numFmtId="40" fontId="2" fillId="0" borderId="14" xfId="67" applyNumberFormat="1" applyFont="1" applyBorder="1" applyAlignment="1">
      <alignment horizontal="right" vertical="center"/>
    </xf>
    <xf numFmtId="0" fontId="17" fillId="5" borderId="8" xfId="0" applyFont="1" applyFill="1" applyBorder="1" applyAlignment="1">
      <alignment horizontal="centerContinuous" vertical="center"/>
    </xf>
    <xf numFmtId="0" fontId="29" fillId="5" borderId="77" xfId="0" applyFont="1" applyFill="1" applyBorder="1" applyAlignment="1">
      <alignment horizontal="center" vertical="center"/>
    </xf>
    <xf numFmtId="0" fontId="29" fillId="5" borderId="29" xfId="0" applyFont="1" applyFill="1" applyBorder="1" applyAlignment="1">
      <alignment horizontal="center" vertical="center"/>
    </xf>
    <xf numFmtId="38" fontId="2" fillId="9" borderId="11" xfId="67" applyNumberFormat="1" applyFont="1" applyFill="1" applyBorder="1" applyAlignment="1">
      <alignment horizontal="right" vertical="center"/>
    </xf>
    <xf numFmtId="38" fontId="2" fillId="9" borderId="27" xfId="67" applyNumberFormat="1" applyFont="1" applyFill="1" applyBorder="1" applyAlignment="1">
      <alignment horizontal="right" vertical="center"/>
    </xf>
    <xf numFmtId="38" fontId="2" fillId="9" borderId="60" xfId="67" applyNumberFormat="1" applyFont="1" applyFill="1" applyBorder="1" applyAlignment="1">
      <alignment horizontal="right" vertical="center"/>
    </xf>
    <xf numFmtId="38" fontId="2" fillId="9" borderId="14" xfId="67" applyNumberFormat="1" applyFont="1" applyFill="1" applyBorder="1" applyAlignment="1">
      <alignment horizontal="right" vertical="center"/>
    </xf>
    <xf numFmtId="40" fontId="2" fillId="9" borderId="11" xfId="67" applyNumberFormat="1" applyFont="1" applyFill="1" applyBorder="1" applyAlignment="1">
      <alignment horizontal="right" vertical="center"/>
    </xf>
    <xf numFmtId="40" fontId="2" fillId="9" borderId="79" xfId="67" applyNumberFormat="1" applyFont="1" applyFill="1" applyBorder="1" applyAlignment="1">
      <alignment horizontal="right" vertical="center"/>
    </xf>
    <xf numFmtId="40" fontId="2" fillId="9" borderId="60" xfId="67" applyNumberFormat="1" applyFont="1" applyFill="1" applyBorder="1" applyAlignment="1">
      <alignment horizontal="right" vertical="center"/>
    </xf>
    <xf numFmtId="40" fontId="2" fillId="9" borderId="14" xfId="67" applyNumberFormat="1" applyFont="1" applyFill="1" applyBorder="1" applyAlignment="1">
      <alignment horizontal="right" vertical="center"/>
    </xf>
    <xf numFmtId="40" fontId="2" fillId="0" borderId="58" xfId="67" applyNumberFormat="1" applyFont="1" applyBorder="1" applyAlignment="1">
      <alignment horizontal="right" vertical="center"/>
    </xf>
    <xf numFmtId="40" fontId="2" fillId="0" borderId="59" xfId="67" applyNumberFormat="1" applyFont="1" applyBorder="1" applyAlignment="1">
      <alignment horizontal="right" vertical="center"/>
    </xf>
    <xf numFmtId="40" fontId="2" fillId="0" borderId="60" xfId="67" applyNumberFormat="1" applyFont="1" applyBorder="1" applyAlignment="1">
      <alignment horizontal="right" vertical="center"/>
    </xf>
    <xf numFmtId="38" fontId="2" fillId="0" borderId="27" xfId="67" applyNumberFormat="1" applyFont="1" applyFill="1" applyBorder="1" applyAlignment="1">
      <alignment horizontal="right" vertical="center"/>
    </xf>
    <xf numFmtId="40" fontId="2" fillId="0" borderId="79" xfId="67" applyNumberFormat="1" applyFont="1" applyFill="1" applyBorder="1" applyAlignment="1">
      <alignment horizontal="right" vertical="center"/>
    </xf>
    <xf numFmtId="37" fontId="2" fillId="0" borderId="62" xfId="0" applyNumberFormat="1" applyFont="1" applyBorder="1" applyAlignment="1" applyProtection="1">
      <alignment vertical="center"/>
    </xf>
    <xf numFmtId="37" fontId="2" fillId="0" borderId="14" xfId="0" applyNumberFormat="1" applyFont="1" applyBorder="1" applyAlignment="1" applyProtection="1">
      <alignment vertical="center"/>
    </xf>
    <xf numFmtId="37" fontId="2" fillId="0" borderId="11" xfId="0" applyNumberFormat="1" applyFont="1" applyBorder="1" applyAlignment="1" applyProtection="1">
      <alignment vertical="center"/>
    </xf>
    <xf numFmtId="0" fontId="10" fillId="5" borderId="9" xfId="0" applyFont="1" applyFill="1" applyBorder="1" applyAlignment="1">
      <alignment horizontal="center"/>
    </xf>
    <xf numFmtId="0" fontId="2" fillId="5" borderId="9" xfId="0" applyFont="1" applyFill="1" applyBorder="1" applyAlignment="1">
      <alignment horizontal="center"/>
    </xf>
    <xf numFmtId="0" fontId="2" fillId="5" borderId="12" xfId="0" applyFont="1" applyFill="1" applyBorder="1" applyAlignment="1">
      <alignment horizontal="center"/>
    </xf>
    <xf numFmtId="0" fontId="2" fillId="5" borderId="26" xfId="0" applyFont="1" applyFill="1" applyBorder="1" applyAlignment="1">
      <alignment horizontal="center"/>
    </xf>
    <xf numFmtId="170" fontId="2" fillId="5" borderId="0" xfId="0" applyNumberFormat="1" applyFont="1" applyFill="1" applyBorder="1"/>
    <xf numFmtId="0" fontId="12" fillId="5" borderId="8" xfId="0" applyFont="1" applyFill="1" applyBorder="1"/>
    <xf numFmtId="0" fontId="2" fillId="5" borderId="8" xfId="0" applyFont="1" applyFill="1" applyBorder="1" applyAlignment="1">
      <alignment horizontal="center"/>
    </xf>
    <xf numFmtId="0" fontId="2" fillId="5" borderId="12" xfId="0" applyFont="1" applyFill="1" applyBorder="1" applyAlignment="1"/>
    <xf numFmtId="2" fontId="2" fillId="5" borderId="12" xfId="0" applyNumberFormat="1" applyFont="1" applyFill="1" applyBorder="1"/>
    <xf numFmtId="170" fontId="2" fillId="5" borderId="12" xfId="0" applyNumberFormat="1" applyFont="1" applyFill="1" applyBorder="1"/>
    <xf numFmtId="0" fontId="2" fillId="5" borderId="3" xfId="0" applyFont="1" applyFill="1" applyBorder="1" applyAlignment="1">
      <alignment horizontal="center"/>
    </xf>
    <xf numFmtId="0" fontId="2" fillId="0" borderId="0" xfId="0" applyFont="1" applyAlignment="1"/>
    <xf numFmtId="0" fontId="8" fillId="5" borderId="53" xfId="0" applyFont="1" applyFill="1" applyBorder="1"/>
    <xf numFmtId="0" fontId="8" fillId="5" borderId="32" xfId="0" applyFont="1" applyFill="1" applyBorder="1"/>
    <xf numFmtId="0" fontId="26" fillId="5" borderId="0" xfId="0" applyFont="1" applyFill="1" applyBorder="1" applyAlignment="1">
      <alignment horizontal="center" vertical="center"/>
    </xf>
    <xf numFmtId="0" fontId="2" fillId="8" borderId="11" xfId="0" applyFont="1" applyFill="1" applyBorder="1" applyAlignment="1"/>
    <xf numFmtId="2" fontId="2" fillId="8" borderId="11" xfId="0" applyNumberFormat="1" applyFont="1" applyFill="1" applyBorder="1"/>
    <xf numFmtId="166" fontId="9" fillId="8" borderId="70" xfId="0" applyNumberFormat="1" applyFont="1" applyFill="1" applyBorder="1" applyAlignment="1" applyProtection="1">
      <alignment horizontal="center" vertical="center"/>
    </xf>
    <xf numFmtId="0" fontId="56" fillId="0" borderId="0" xfId="0" applyFont="1"/>
    <xf numFmtId="0" fontId="14" fillId="5" borderId="7" xfId="0" applyFont="1" applyFill="1" applyBorder="1" applyAlignment="1">
      <alignment horizontal="left"/>
    </xf>
    <xf numFmtId="183" fontId="0" fillId="0" borderId="58" xfId="0" applyNumberFormat="1" applyBorder="1" applyAlignment="1">
      <alignment horizontal="center"/>
    </xf>
    <xf numFmtId="183" fontId="0" fillId="0" borderId="59" xfId="0" applyNumberFormat="1" applyBorder="1" applyAlignment="1">
      <alignment horizontal="center"/>
    </xf>
    <xf numFmtId="183" fontId="0" fillId="0" borderId="60" xfId="0" applyNumberFormat="1" applyBorder="1" applyAlignment="1">
      <alignment horizontal="center"/>
    </xf>
    <xf numFmtId="177" fontId="7" fillId="3" borderId="27" xfId="0" applyNumberFormat="1" applyFont="1" applyFill="1" applyBorder="1" applyAlignment="1">
      <alignment horizontal="center" vertical="center"/>
    </xf>
    <xf numFmtId="0" fontId="38" fillId="5" borderId="0" xfId="0" applyFont="1" applyFill="1" applyBorder="1" applyAlignment="1">
      <alignment vertical="center"/>
    </xf>
    <xf numFmtId="164" fontId="38" fillId="5" borderId="3" xfId="0" applyNumberFormat="1" applyFont="1" applyFill="1" applyBorder="1" applyAlignment="1">
      <alignment horizontal="left" vertical="center"/>
    </xf>
    <xf numFmtId="164" fontId="38" fillId="5" borderId="0" xfId="0" applyNumberFormat="1" applyFont="1" applyFill="1" applyBorder="1" applyAlignment="1">
      <alignment horizontal="left" vertical="center"/>
    </xf>
    <xf numFmtId="164" fontId="38" fillId="5" borderId="25" xfId="0" applyNumberFormat="1" applyFont="1" applyFill="1" applyBorder="1" applyAlignment="1">
      <alignment horizontal="left" vertical="center"/>
    </xf>
    <xf numFmtId="164" fontId="2" fillId="8" borderId="32" xfId="0" applyNumberFormat="1" applyFont="1" applyFill="1" applyBorder="1" applyAlignment="1">
      <alignment vertical="center"/>
    </xf>
    <xf numFmtId="0" fontId="2" fillId="8" borderId="64" xfId="0" applyFont="1" applyFill="1" applyBorder="1" applyAlignment="1">
      <alignment vertical="center"/>
    </xf>
    <xf numFmtId="172" fontId="2" fillId="5" borderId="2" xfId="0" applyNumberFormat="1" applyFont="1" applyFill="1" applyBorder="1" applyAlignment="1">
      <alignment horizontal="centerContinuous" vertical="center"/>
    </xf>
    <xf numFmtId="172" fontId="2" fillId="5" borderId="53" xfId="0" applyNumberFormat="1" applyFont="1" applyFill="1" applyBorder="1" applyAlignment="1">
      <alignment horizontal="centerContinuous" vertical="center"/>
    </xf>
    <xf numFmtId="178" fontId="2" fillId="0" borderId="0" xfId="0" applyNumberFormat="1" applyFont="1" applyFill="1" applyBorder="1"/>
    <xf numFmtId="172" fontId="2" fillId="0" borderId="0" xfId="0" applyNumberFormat="1" applyFont="1" applyFill="1" applyBorder="1" applyAlignment="1">
      <alignment horizontal="centerContinuous" vertical="center"/>
    </xf>
    <xf numFmtId="172" fontId="32" fillId="0" borderId="0" xfId="0" applyNumberFormat="1" applyFont="1" applyFill="1" applyBorder="1" applyAlignment="1">
      <alignment horizontal="centerContinuous" vertical="center"/>
    </xf>
    <xf numFmtId="164" fontId="57" fillId="0" borderId="0" xfId="0" applyNumberFormat="1" applyFont="1" applyBorder="1" applyAlignment="1">
      <alignment vertical="center"/>
    </xf>
    <xf numFmtId="0" fontId="58" fillId="0" borderId="0" xfId="0" applyFont="1" applyAlignment="1">
      <alignment vertical="center"/>
    </xf>
    <xf numFmtId="164" fontId="58" fillId="0" borderId="0" xfId="0" applyNumberFormat="1" applyFont="1" applyBorder="1" applyAlignment="1">
      <alignment vertical="center"/>
    </xf>
    <xf numFmtId="164" fontId="0" fillId="0" borderId="0" xfId="0" applyNumberFormat="1" applyBorder="1" applyAlignment="1">
      <alignment vertical="center"/>
    </xf>
    <xf numFmtId="0" fontId="58" fillId="0" borderId="0" xfId="0" applyFont="1" applyBorder="1" applyAlignment="1">
      <alignment vertical="center"/>
    </xf>
    <xf numFmtId="0" fontId="0" fillId="0" borderId="0" xfId="0" applyAlignment="1">
      <alignment vertical="center"/>
    </xf>
    <xf numFmtId="5" fontId="2" fillId="0" borderId="55" xfId="67" applyNumberFormat="1" applyFont="1" applyFill="1" applyBorder="1" applyAlignment="1" applyProtection="1">
      <alignment vertical="center"/>
    </xf>
    <xf numFmtId="5" fontId="2" fillId="0" borderId="44" xfId="67" applyNumberFormat="1" applyFont="1" applyFill="1" applyBorder="1" applyAlignment="1" applyProtection="1">
      <alignment vertical="center"/>
    </xf>
    <xf numFmtId="0" fontId="14" fillId="0" borderId="0" xfId="0" applyFont="1"/>
    <xf numFmtId="38" fontId="2" fillId="0" borderId="8" xfId="67" applyNumberFormat="1" applyFont="1" applyFill="1" applyBorder="1" applyAlignment="1" applyProtection="1">
      <alignment vertical="center"/>
    </xf>
    <xf numFmtId="5" fontId="23" fillId="0" borderId="59" xfId="67" applyNumberFormat="1" applyFont="1" applyFill="1" applyBorder="1" applyAlignment="1" applyProtection="1">
      <alignment vertical="center"/>
    </xf>
    <xf numFmtId="164" fontId="59" fillId="0" borderId="0" xfId="0" applyNumberFormat="1" applyFont="1" applyBorder="1" applyAlignment="1">
      <alignment vertical="center"/>
    </xf>
    <xf numFmtId="0" fontId="0" fillId="0" borderId="0" xfId="0" applyAlignment="1">
      <alignment horizontal="centerContinuous"/>
    </xf>
    <xf numFmtId="5" fontId="16" fillId="0" borderId="0" xfId="0" applyNumberFormat="1" applyFont="1" applyFill="1" applyBorder="1" applyAlignment="1" applyProtection="1">
      <alignment vertical="center"/>
    </xf>
    <xf numFmtId="0" fontId="16" fillId="0" borderId="0" xfId="0" applyFont="1" applyFill="1" applyBorder="1" applyAlignment="1">
      <alignment vertical="center"/>
    </xf>
    <xf numFmtId="165" fontId="16" fillId="0" borderId="0" xfId="0" applyNumberFormat="1" applyFont="1" applyFill="1" applyBorder="1" applyAlignment="1" applyProtection="1">
      <alignment vertical="center"/>
    </xf>
    <xf numFmtId="0" fontId="2" fillId="0" borderId="6" xfId="0" applyFont="1" applyFill="1" applyBorder="1" applyAlignment="1">
      <alignment vertical="center"/>
    </xf>
    <xf numFmtId="0" fontId="16" fillId="5" borderId="7" xfId="0" applyFont="1" applyFill="1" applyBorder="1" applyAlignment="1">
      <alignment vertical="center"/>
    </xf>
    <xf numFmtId="165" fontId="16" fillId="5" borderId="10" xfId="0" applyNumberFormat="1" applyFont="1" applyFill="1" applyBorder="1" applyAlignment="1" applyProtection="1">
      <alignment vertical="center"/>
    </xf>
    <xf numFmtId="0" fontId="16" fillId="5" borderId="10" xfId="0" applyFont="1" applyFill="1" applyBorder="1" applyAlignment="1">
      <alignment vertical="center"/>
    </xf>
    <xf numFmtId="0" fontId="4" fillId="5" borderId="10" xfId="0" applyFont="1" applyFill="1" applyBorder="1" applyAlignment="1">
      <alignment vertical="center"/>
    </xf>
    <xf numFmtId="0" fontId="4" fillId="5" borderId="25" xfId="0" applyFont="1" applyFill="1" applyBorder="1" applyAlignment="1">
      <alignment vertical="center"/>
    </xf>
    <xf numFmtId="5" fontId="16" fillId="0" borderId="0" xfId="0" applyNumberFormat="1" applyFont="1" applyFill="1" applyBorder="1" applyAlignment="1" applyProtection="1">
      <alignment horizontal="centerContinuous" vertical="center"/>
    </xf>
    <xf numFmtId="0" fontId="60" fillId="5" borderId="0" xfId="0" applyFont="1" applyFill="1" applyBorder="1" applyAlignment="1">
      <alignment horizontal="center"/>
    </xf>
    <xf numFmtId="0" fontId="35" fillId="5" borderId="0" xfId="0" applyFont="1" applyFill="1" applyBorder="1"/>
    <xf numFmtId="0" fontId="35" fillId="5" borderId="2" xfId="0" applyFont="1" applyFill="1" applyBorder="1" applyAlignment="1">
      <alignment horizontal="left" vertical="center"/>
    </xf>
    <xf numFmtId="3" fontId="9" fillId="8" borderId="28" xfId="0" applyNumberFormat="1" applyFont="1" applyFill="1" applyBorder="1" applyAlignment="1">
      <alignment horizontal="center" vertical="center"/>
    </xf>
    <xf numFmtId="5" fontId="2" fillId="5" borderId="75" xfId="0" applyNumberFormat="1" applyFont="1" applyFill="1" applyBorder="1" applyAlignment="1" applyProtection="1">
      <alignment vertical="center"/>
    </xf>
    <xf numFmtId="5" fontId="2" fillId="5" borderId="56" xfId="0" applyNumberFormat="1" applyFont="1" applyFill="1" applyBorder="1" applyAlignment="1" applyProtection="1">
      <alignment vertical="center"/>
    </xf>
    <xf numFmtId="37" fontId="2" fillId="5" borderId="52" xfId="0" applyNumberFormat="1" applyFont="1" applyFill="1" applyBorder="1" applyAlignment="1" applyProtection="1">
      <alignment vertical="center"/>
    </xf>
    <xf numFmtId="5" fontId="2" fillId="5" borderId="52" xfId="0" applyNumberFormat="1" applyFont="1" applyFill="1" applyBorder="1" applyAlignment="1" applyProtection="1">
      <alignment vertical="center"/>
    </xf>
    <xf numFmtId="37" fontId="2" fillId="5" borderId="47" xfId="0" applyNumberFormat="1" applyFont="1" applyFill="1" applyBorder="1" applyAlignment="1" applyProtection="1">
      <alignment vertical="center"/>
    </xf>
    <xf numFmtId="0" fontId="2" fillId="5" borderId="0" xfId="0" applyFont="1" applyFill="1" applyBorder="1" applyAlignment="1">
      <alignment horizontal="left"/>
    </xf>
    <xf numFmtId="0" fontId="24" fillId="0" borderId="0" xfId="0" applyFont="1" applyBorder="1" applyAlignment="1">
      <alignment vertical="center"/>
    </xf>
    <xf numFmtId="184" fontId="61" fillId="0" borderId="11" xfId="0" applyNumberFormat="1" applyFont="1" applyBorder="1" applyAlignment="1">
      <alignment horizontal="right" vertical="center"/>
    </xf>
    <xf numFmtId="0" fontId="61" fillId="0" borderId="11" xfId="0" applyFont="1" applyBorder="1" applyAlignment="1">
      <alignment horizontal="right" vertical="center"/>
    </xf>
    <xf numFmtId="0" fontId="17" fillId="0" borderId="52" xfId="0" quotePrefix="1" applyFont="1" applyFill="1" applyBorder="1" applyAlignment="1">
      <alignment horizontal="center" vertical="center"/>
    </xf>
    <xf numFmtId="0" fontId="17" fillId="0" borderId="44" xfId="0" quotePrefix="1" applyFont="1" applyFill="1" applyBorder="1" applyAlignment="1">
      <alignment horizontal="center" vertical="center"/>
    </xf>
    <xf numFmtId="2" fontId="2" fillId="0" borderId="0" xfId="0" applyNumberFormat="1" applyFont="1"/>
    <xf numFmtId="39" fontId="0" fillId="5" borderId="0" xfId="0" applyNumberFormat="1" applyFill="1" applyBorder="1"/>
    <xf numFmtId="0" fontId="23" fillId="8" borderId="55" xfId="0" applyFont="1" applyFill="1" applyBorder="1" applyAlignment="1">
      <alignment horizontal="centerContinuous" vertical="center"/>
    </xf>
    <xf numFmtId="0" fontId="23" fillId="8" borderId="10" xfId="0" applyFont="1" applyFill="1" applyBorder="1" applyAlignment="1">
      <alignment horizontal="centerContinuous" vertical="center"/>
    </xf>
    <xf numFmtId="0" fontId="23" fillId="8" borderId="0" xfId="0" applyFont="1" applyFill="1" applyBorder="1" applyAlignment="1">
      <alignment horizontal="centerContinuous" vertical="center"/>
    </xf>
    <xf numFmtId="0" fontId="23" fillId="8" borderId="12" xfId="0" applyFont="1" applyFill="1" applyBorder="1" applyAlignment="1">
      <alignment horizontal="centerContinuous" vertical="center"/>
    </xf>
    <xf numFmtId="0" fontId="23" fillId="8" borderId="56" xfId="0" applyFont="1" applyFill="1" applyBorder="1" applyAlignment="1">
      <alignment horizontal="center" vertical="center"/>
    </xf>
    <xf numFmtId="0" fontId="23" fillId="8" borderId="0" xfId="0" applyFont="1" applyFill="1" applyBorder="1" applyAlignment="1">
      <alignment horizontal="center" vertical="center"/>
    </xf>
    <xf numFmtId="0" fontId="23" fillId="8" borderId="44" xfId="0" applyFont="1" applyFill="1" applyBorder="1" applyAlignment="1">
      <alignment horizontal="center" vertical="center"/>
    </xf>
    <xf numFmtId="5" fontId="2" fillId="8" borderId="50" xfId="67" applyNumberFormat="1" applyFont="1" applyFill="1" applyBorder="1" applyAlignment="1" applyProtection="1">
      <alignment vertical="center"/>
    </xf>
    <xf numFmtId="5" fontId="2" fillId="8" borderId="43" xfId="67" applyNumberFormat="1" applyFont="1" applyFill="1" applyBorder="1" applyAlignment="1" applyProtection="1">
      <alignment vertical="center"/>
    </xf>
    <xf numFmtId="164" fontId="44" fillId="0" borderId="0" xfId="0" quotePrefix="1" applyNumberFormat="1" applyFont="1" applyBorder="1" applyAlignment="1">
      <alignment vertical="center"/>
    </xf>
    <xf numFmtId="0" fontId="0" fillId="0" borderId="0" xfId="0" applyAlignment="1"/>
    <xf numFmtId="0" fontId="52" fillId="0" borderId="0" xfId="0" applyFont="1" applyAlignment="1">
      <alignment horizontal="left"/>
    </xf>
    <xf numFmtId="0" fontId="62" fillId="0" borderId="0" xfId="0" applyFont="1" applyFill="1" applyBorder="1" applyAlignment="1">
      <alignment horizontal="centerContinuous" vertical="center"/>
    </xf>
    <xf numFmtId="0" fontId="49" fillId="0" borderId="0" xfId="0" applyFont="1" applyFill="1" applyBorder="1" applyAlignment="1">
      <alignment horizontal="centerContinuous" vertical="center"/>
    </xf>
    <xf numFmtId="0" fontId="21" fillId="0" borderId="23" xfId="0" quotePrefix="1" applyFont="1" applyFill="1" applyBorder="1" applyAlignment="1">
      <alignment horizontal="left" vertical="center"/>
    </xf>
    <xf numFmtId="170" fontId="22" fillId="0" borderId="23" xfId="0" applyNumberFormat="1" applyFont="1" applyFill="1" applyBorder="1" applyAlignment="1" applyProtection="1">
      <alignment horizontal="right" vertical="center"/>
    </xf>
    <xf numFmtId="0" fontId="4" fillId="0" borderId="23" xfId="0" applyFont="1" applyFill="1" applyBorder="1" applyAlignment="1">
      <alignment vertical="center"/>
    </xf>
    <xf numFmtId="0" fontId="21" fillId="5" borderId="0" xfId="0" quotePrefix="1" applyFont="1" applyFill="1" applyBorder="1" applyAlignment="1">
      <alignment horizontal="left" vertical="center"/>
    </xf>
    <xf numFmtId="170" fontId="22" fillId="5" borderId="0" xfId="0" applyNumberFormat="1" applyFont="1" applyFill="1" applyBorder="1" applyAlignment="1" applyProtection="1">
      <alignment horizontal="right" vertical="center"/>
    </xf>
    <xf numFmtId="0" fontId="48" fillId="5" borderId="0" xfId="0" applyFont="1" applyFill="1" applyBorder="1" applyAlignment="1">
      <alignment horizontal="left" vertical="center"/>
    </xf>
    <xf numFmtId="0" fontId="35" fillId="5" borderId="0" xfId="0" applyFont="1" applyFill="1" applyBorder="1" applyAlignment="1">
      <alignment horizontal="left" vertical="center"/>
    </xf>
    <xf numFmtId="0" fontId="63" fillId="5" borderId="8" xfId="0" applyFont="1" applyFill="1" applyBorder="1"/>
    <xf numFmtId="170" fontId="22" fillId="5" borderId="10" xfId="0" applyNumberFormat="1" applyFont="1" applyFill="1" applyBorder="1" applyAlignment="1" applyProtection="1">
      <alignment horizontal="right" vertical="center"/>
    </xf>
    <xf numFmtId="170" fontId="22" fillId="5" borderId="25" xfId="0" applyNumberFormat="1" applyFont="1" applyFill="1" applyBorder="1" applyAlignment="1" applyProtection="1">
      <alignment horizontal="right" vertical="center"/>
    </xf>
    <xf numFmtId="0" fontId="63" fillId="5" borderId="7" xfId="0" applyFont="1" applyFill="1" applyBorder="1"/>
    <xf numFmtId="0" fontId="23" fillId="0" borderId="0" xfId="0" applyFont="1" applyBorder="1" applyAlignment="1">
      <alignment horizontal="left" vertical="center"/>
    </xf>
    <xf numFmtId="0" fontId="14" fillId="0" borderId="0" xfId="0" applyFont="1" applyAlignment="1">
      <alignment horizontal="left" vertical="center"/>
    </xf>
    <xf numFmtId="0" fontId="23" fillId="0" borderId="0" xfId="0" applyFont="1" applyFill="1" applyBorder="1" applyAlignment="1">
      <alignment horizontal="left" vertical="center"/>
    </xf>
    <xf numFmtId="1" fontId="9" fillId="8" borderId="27" xfId="0" applyNumberFormat="1" applyFont="1" applyFill="1" applyBorder="1" applyAlignment="1">
      <alignment horizontal="center" vertical="center"/>
    </xf>
    <xf numFmtId="1" fontId="9" fillId="9" borderId="14" xfId="0" applyNumberFormat="1" applyFont="1" applyFill="1" applyBorder="1" applyAlignment="1">
      <alignment horizontal="center" vertical="center"/>
    </xf>
    <xf numFmtId="0" fontId="14" fillId="5" borderId="44" xfId="0" applyFont="1" applyFill="1" applyBorder="1" applyAlignment="1">
      <alignment horizontal="center"/>
    </xf>
    <xf numFmtId="0" fontId="14" fillId="5" borderId="55" xfId="0" applyFont="1" applyFill="1" applyBorder="1" applyAlignment="1">
      <alignment horizontal="center"/>
    </xf>
    <xf numFmtId="0" fontId="14" fillId="5" borderId="76" xfId="0" applyFont="1" applyFill="1" applyBorder="1" applyAlignment="1">
      <alignment horizontal="centerContinuous"/>
    </xf>
    <xf numFmtId="0" fontId="14" fillId="5" borderId="70" xfId="0" applyFont="1" applyFill="1" applyBorder="1" applyAlignment="1">
      <alignment horizontal="centerContinuous"/>
    </xf>
    <xf numFmtId="0" fontId="14" fillId="5" borderId="16" xfId="0" applyFont="1" applyFill="1" applyBorder="1" applyAlignment="1">
      <alignment horizontal="centerContinuous"/>
    </xf>
    <xf numFmtId="0" fontId="2" fillId="0" borderId="21" xfId="0" applyFont="1" applyBorder="1" applyAlignment="1"/>
    <xf numFmtId="1" fontId="0" fillId="0" borderId="40" xfId="0" applyNumberFormat="1" applyBorder="1" applyAlignment="1">
      <alignment horizontal="center"/>
    </xf>
    <xf numFmtId="1" fontId="0" fillId="0" borderId="77" xfId="0" applyNumberFormat="1" applyBorder="1" applyAlignment="1">
      <alignment horizontal="center"/>
    </xf>
    <xf numFmtId="1" fontId="0" fillId="0" borderId="35" xfId="0" applyNumberFormat="1" applyBorder="1" applyAlignment="1">
      <alignment horizontal="center"/>
    </xf>
    <xf numFmtId="1" fontId="0" fillId="0" borderId="41" xfId="0" applyNumberFormat="1" applyBorder="1" applyAlignment="1">
      <alignment horizontal="center"/>
    </xf>
    <xf numFmtId="1" fontId="0" fillId="0" borderId="29" xfId="0" applyNumberFormat="1" applyBorder="1" applyAlignment="1">
      <alignment horizontal="center"/>
    </xf>
    <xf numFmtId="1" fontId="0" fillId="0" borderId="30" xfId="0" applyNumberFormat="1" applyBorder="1" applyAlignment="1">
      <alignment horizontal="center"/>
    </xf>
    <xf numFmtId="0" fontId="8" fillId="5" borderId="2" xfId="0" quotePrefix="1" applyFont="1" applyFill="1" applyBorder="1" applyAlignment="1">
      <alignment horizontal="left" vertical="center"/>
    </xf>
    <xf numFmtId="0" fontId="8" fillId="5" borderId="17" xfId="0" quotePrefix="1" applyFont="1" applyFill="1" applyBorder="1" applyAlignment="1">
      <alignment horizontal="left" vertical="center"/>
    </xf>
    <xf numFmtId="0" fontId="53" fillId="5" borderId="8" xfId="0" applyFont="1" applyFill="1" applyBorder="1" applyAlignment="1">
      <alignment horizontal="center"/>
    </xf>
    <xf numFmtId="0" fontId="2" fillId="5" borderId="10" xfId="0" applyFont="1" applyFill="1" applyBorder="1" applyAlignment="1">
      <alignment horizontal="centerContinuous"/>
    </xf>
    <xf numFmtId="0" fontId="64" fillId="5" borderId="9" xfId="0" applyFont="1" applyFill="1" applyBorder="1" applyAlignment="1">
      <alignment horizontal="right"/>
    </xf>
    <xf numFmtId="0" fontId="2" fillId="3" borderId="11" xfId="0" applyFont="1" applyFill="1" applyBorder="1" applyAlignment="1">
      <alignment horizontal="center"/>
    </xf>
    <xf numFmtId="174" fontId="0" fillId="9" borderId="67" xfId="0" applyNumberFormat="1" applyFill="1" applyBorder="1"/>
    <xf numFmtId="174" fontId="0" fillId="8" borderId="81" xfId="0" applyNumberFormat="1" applyFill="1" applyBorder="1"/>
    <xf numFmtId="0" fontId="17" fillId="0" borderId="78" xfId="0" applyFont="1" applyFill="1" applyBorder="1"/>
    <xf numFmtId="37" fontId="0" fillId="8" borderId="63" xfId="0" applyNumberFormat="1" applyFill="1" applyBorder="1"/>
    <xf numFmtId="0" fontId="17" fillId="0" borderId="79" xfId="0" applyFont="1" applyFill="1" applyBorder="1"/>
    <xf numFmtId="164" fontId="5" fillId="0" borderId="0" xfId="0" applyNumberFormat="1" applyFont="1" applyFill="1" applyBorder="1" applyAlignment="1">
      <alignment vertical="center"/>
    </xf>
    <xf numFmtId="0" fontId="7" fillId="0" borderId="0" xfId="0" quotePrefix="1" applyFont="1" applyFill="1" applyBorder="1" applyAlignment="1">
      <alignment horizontal="left" vertical="center"/>
    </xf>
    <xf numFmtId="0" fontId="8" fillId="0" borderId="0" xfId="0" applyFont="1" applyFill="1" applyBorder="1" applyAlignment="1">
      <alignment horizontal="left" vertical="center"/>
    </xf>
    <xf numFmtId="166" fontId="9" fillId="0" borderId="0" xfId="0" applyNumberFormat="1" applyFont="1" applyFill="1" applyBorder="1" applyAlignment="1" applyProtection="1">
      <alignment horizontal="center" vertical="center"/>
    </xf>
    <xf numFmtId="9" fontId="9" fillId="0" borderId="0" xfId="207" applyFont="1" applyFill="1" applyBorder="1" applyAlignment="1">
      <alignment horizontal="center" vertical="center"/>
    </xf>
    <xf numFmtId="164" fontId="5" fillId="5" borderId="25" xfId="0" applyNumberFormat="1" applyFont="1" applyFill="1" applyBorder="1" applyAlignment="1">
      <alignment vertical="center"/>
    </xf>
    <xf numFmtId="0" fontId="8" fillId="5" borderId="53" xfId="0" quotePrefix="1" applyFont="1" applyFill="1" applyBorder="1" applyAlignment="1">
      <alignment horizontal="left" vertical="center"/>
    </xf>
    <xf numFmtId="167" fontId="9" fillId="9" borderId="14" xfId="0" applyNumberFormat="1" applyFont="1" applyFill="1" applyBorder="1" applyAlignment="1">
      <alignment horizontal="center" vertical="center"/>
    </xf>
    <xf numFmtId="168" fontId="9" fillId="5" borderId="39" xfId="0" applyNumberFormat="1" applyFont="1" applyFill="1" applyBorder="1" applyAlignment="1">
      <alignment horizontal="center" vertical="center"/>
    </xf>
    <xf numFmtId="166" fontId="9" fillId="2" borderId="11" xfId="0" applyNumberFormat="1" applyFont="1" applyFill="1" applyBorder="1" applyAlignment="1" applyProtection="1">
      <alignment horizontal="center" vertical="center"/>
    </xf>
    <xf numFmtId="170" fontId="9" fillId="9" borderId="14" xfId="207" applyNumberFormat="1" applyFont="1" applyFill="1" applyBorder="1" applyAlignment="1">
      <alignment horizontal="center" vertical="center"/>
    </xf>
    <xf numFmtId="0" fontId="17" fillId="0" borderId="0" xfId="0" applyFont="1"/>
    <xf numFmtId="0" fontId="14" fillId="5" borderId="41" xfId="0" applyFont="1" applyFill="1" applyBorder="1" applyAlignment="1">
      <alignment horizontal="center"/>
    </xf>
    <xf numFmtId="0" fontId="14" fillId="5" borderId="30" xfId="0" applyFont="1" applyFill="1" applyBorder="1" applyAlignment="1">
      <alignment horizontal="center"/>
    </xf>
    <xf numFmtId="0" fontId="14" fillId="5" borderId="71" xfId="0" applyFont="1" applyFill="1" applyBorder="1" applyAlignment="1">
      <alignment horizontal="center"/>
    </xf>
    <xf numFmtId="0" fontId="14" fillId="5" borderId="72" xfId="0" applyFont="1" applyFill="1" applyBorder="1" applyAlignment="1">
      <alignment horizontal="center"/>
    </xf>
    <xf numFmtId="0" fontId="17" fillId="0" borderId="0" xfId="0" applyFont="1" applyFill="1" applyBorder="1" applyAlignment="1">
      <alignment horizontal="centerContinuous"/>
    </xf>
    <xf numFmtId="0" fontId="17" fillId="0" borderId="56" xfId="0" applyFont="1" applyBorder="1" applyAlignment="1">
      <alignment horizontal="center"/>
    </xf>
    <xf numFmtId="0" fontId="17" fillId="0" borderId="56" xfId="0" applyFont="1" applyBorder="1"/>
    <xf numFmtId="0" fontId="17" fillId="0" borderId="44" xfId="0" applyFont="1" applyBorder="1" applyAlignment="1">
      <alignment horizontal="center"/>
    </xf>
    <xf numFmtId="0" fontId="17" fillId="0" borderId="56" xfId="0" applyFont="1" applyBorder="1" applyAlignment="1"/>
    <xf numFmtId="0" fontId="17" fillId="0" borderId="44" xfId="0" applyFont="1" applyBorder="1" applyAlignment="1"/>
    <xf numFmtId="2" fontId="0" fillId="0" borderId="35" xfId="0" applyNumberFormat="1" applyBorder="1" applyAlignment="1">
      <alignment horizontal="center"/>
    </xf>
    <xf numFmtId="2" fontId="0" fillId="0" borderId="30" xfId="0" applyNumberFormat="1" applyBorder="1" applyAlignment="1">
      <alignment horizontal="center"/>
    </xf>
    <xf numFmtId="0" fontId="9" fillId="8" borderId="11" xfId="0" applyFont="1" applyFill="1" applyBorder="1" applyAlignment="1">
      <alignment horizontal="center"/>
    </xf>
    <xf numFmtId="0" fontId="9" fillId="8" borderId="27" xfId="0" applyFont="1" applyFill="1" applyBorder="1" applyAlignment="1">
      <alignment horizontal="center"/>
    </xf>
    <xf numFmtId="1" fontId="9" fillId="2" borderId="14" xfId="0" applyNumberFormat="1" applyFont="1" applyFill="1" applyBorder="1" applyAlignment="1">
      <alignment horizontal="center"/>
    </xf>
    <xf numFmtId="0" fontId="9" fillId="8" borderId="11" xfId="0" applyNumberFormat="1" applyFont="1" applyFill="1" applyBorder="1" applyAlignment="1">
      <alignment horizontal="center"/>
    </xf>
    <xf numFmtId="0" fontId="9" fillId="8" borderId="11" xfId="0" applyNumberFormat="1" applyFont="1" applyFill="1" applyBorder="1" applyAlignment="1" applyProtection="1">
      <alignment horizontal="center" vertical="center"/>
    </xf>
    <xf numFmtId="0" fontId="9" fillId="8" borderId="27" xfId="0" applyNumberFormat="1" applyFont="1" applyFill="1" applyBorder="1" applyAlignment="1">
      <alignment horizontal="center" vertical="center"/>
    </xf>
    <xf numFmtId="0" fontId="13" fillId="5" borderId="2" xfId="0" applyFont="1" applyFill="1" applyBorder="1"/>
    <xf numFmtId="9" fontId="0" fillId="9" borderId="11" xfId="207" applyFont="1" applyFill="1" applyBorder="1"/>
    <xf numFmtId="40" fontId="2" fillId="3" borderId="79" xfId="67" applyNumberFormat="1" applyFont="1" applyFill="1" applyBorder="1" applyAlignment="1">
      <alignment horizontal="right" vertical="center"/>
    </xf>
    <xf numFmtId="0" fontId="8" fillId="5" borderId="42" xfId="0" applyFont="1" applyFill="1" applyBorder="1" applyAlignment="1">
      <alignment horizontal="left" vertical="center"/>
    </xf>
    <xf numFmtId="9" fontId="9" fillId="8" borderId="14" xfId="207" applyFont="1" applyFill="1" applyBorder="1" applyAlignment="1">
      <alignment horizontal="center" vertical="center"/>
    </xf>
    <xf numFmtId="3" fontId="9" fillId="5" borderId="26" xfId="0" applyNumberFormat="1" applyFont="1" applyFill="1" applyBorder="1" applyAlignment="1">
      <alignment horizontal="center" vertical="center"/>
    </xf>
    <xf numFmtId="0" fontId="13" fillId="0" borderId="0" xfId="0" applyFont="1" applyFill="1" applyBorder="1"/>
    <xf numFmtId="1" fontId="9" fillId="0" borderId="0" xfId="0" applyNumberFormat="1" applyFont="1" applyFill="1" applyBorder="1" applyAlignment="1" applyProtection="1">
      <alignment horizontal="center" vertical="center"/>
    </xf>
    <xf numFmtId="1" fontId="9" fillId="0" borderId="0" xfId="0" applyNumberFormat="1" applyFont="1" applyFill="1" applyBorder="1" applyAlignment="1">
      <alignment horizontal="center" vertical="center"/>
    </xf>
    <xf numFmtId="0" fontId="11" fillId="5" borderId="3" xfId="0" applyFont="1" applyFill="1" applyBorder="1" applyAlignment="1">
      <alignment horizontal="left" vertical="center"/>
    </xf>
    <xf numFmtId="0" fontId="11" fillId="5" borderId="45" xfId="0" applyFont="1" applyFill="1" applyBorder="1"/>
    <xf numFmtId="0" fontId="13" fillId="5" borderId="8" xfId="0" applyFont="1" applyFill="1" applyBorder="1"/>
    <xf numFmtId="5" fontId="9" fillId="8" borderId="11" xfId="80" applyNumberFormat="1" applyFont="1" applyFill="1" applyBorder="1" applyAlignment="1" applyProtection="1">
      <alignment horizontal="center" vertical="center"/>
    </xf>
    <xf numFmtId="5" fontId="9" fillId="9" borderId="27" xfId="80" applyNumberFormat="1" applyFont="1" applyFill="1" applyBorder="1" applyAlignment="1">
      <alignment horizontal="center" vertical="center"/>
    </xf>
    <xf numFmtId="5" fontId="9" fillId="8" borderId="14" xfId="80" applyNumberFormat="1" applyFont="1" applyFill="1" applyBorder="1" applyAlignment="1" applyProtection="1">
      <alignment horizontal="center" vertical="center"/>
    </xf>
    <xf numFmtId="5" fontId="9" fillId="9" borderId="28" xfId="80" applyNumberFormat="1" applyFont="1" applyFill="1" applyBorder="1" applyAlignment="1">
      <alignment horizontal="center" vertical="center"/>
    </xf>
    <xf numFmtId="0" fontId="25" fillId="5" borderId="72" xfId="0" applyFont="1" applyFill="1" applyBorder="1" applyAlignment="1">
      <alignment horizontal="center" vertical="center"/>
    </xf>
    <xf numFmtId="5" fontId="2" fillId="9" borderId="0" xfId="0" applyNumberFormat="1" applyFont="1" applyFill="1" applyBorder="1" applyAlignment="1" applyProtection="1">
      <alignment vertical="center"/>
    </xf>
    <xf numFmtId="5" fontId="2" fillId="8" borderId="39" xfId="0" applyNumberFormat="1" applyFont="1" applyFill="1" applyBorder="1" applyAlignment="1" applyProtection="1">
      <alignment vertical="center"/>
    </xf>
    <xf numFmtId="186" fontId="2" fillId="9" borderId="45" xfId="0" applyNumberFormat="1" applyFont="1" applyFill="1" applyBorder="1" applyAlignment="1" applyProtection="1">
      <alignment vertical="center"/>
    </xf>
    <xf numFmtId="0" fontId="64" fillId="0" borderId="0" xfId="0" applyFont="1" applyBorder="1" applyAlignment="1">
      <alignment horizontal="centerContinuous"/>
    </xf>
    <xf numFmtId="0" fontId="0" fillId="0" borderId="0" xfId="0" applyBorder="1" applyAlignment="1"/>
    <xf numFmtId="37" fontId="0" fillId="8" borderId="58" xfId="0" applyNumberFormat="1" applyFill="1" applyBorder="1"/>
    <xf numFmtId="37" fontId="0" fillId="8" borderId="59" xfId="0" applyNumberFormat="1" applyFill="1" applyBorder="1"/>
    <xf numFmtId="174" fontId="0" fillId="8" borderId="67" xfId="0" applyNumberFormat="1" applyFill="1" applyBorder="1"/>
    <xf numFmtId="174" fontId="0" fillId="8" borderId="60" xfId="0" applyNumberFormat="1" applyFill="1" applyBorder="1"/>
    <xf numFmtId="0" fontId="2" fillId="5" borderId="8" xfId="0" applyFont="1" applyFill="1" applyBorder="1" applyAlignment="1"/>
    <xf numFmtId="0" fontId="2" fillId="5" borderId="0" xfId="0" applyFont="1" applyFill="1" applyBorder="1" applyAlignment="1"/>
    <xf numFmtId="0" fontId="2" fillId="5" borderId="3" xfId="0" applyFont="1" applyFill="1" applyBorder="1" applyAlignment="1"/>
    <xf numFmtId="0" fontId="2" fillId="0" borderId="0" xfId="0" applyFont="1" applyFill="1" applyBorder="1" applyAlignment="1"/>
    <xf numFmtId="0" fontId="0" fillId="0" borderId="0" xfId="0" applyFill="1" applyBorder="1" applyAlignment="1"/>
    <xf numFmtId="0" fontId="17" fillId="5" borderId="3" xfId="0" applyFont="1" applyFill="1" applyBorder="1" applyAlignment="1"/>
    <xf numFmtId="0" fontId="17" fillId="5" borderId="0" xfId="0" applyFont="1" applyFill="1" applyBorder="1" applyAlignment="1"/>
    <xf numFmtId="0" fontId="2" fillId="5" borderId="9" xfId="0" applyFont="1" applyFill="1" applyBorder="1" applyAlignment="1"/>
    <xf numFmtId="0" fontId="2" fillId="5" borderId="26" xfId="0" applyFont="1" applyFill="1" applyBorder="1" applyAlignment="1"/>
    <xf numFmtId="0" fontId="2" fillId="5" borderId="7" xfId="0" applyFont="1" applyFill="1" applyBorder="1" applyAlignment="1"/>
    <xf numFmtId="0" fontId="17" fillId="0" borderId="10" xfId="0" applyFont="1" applyFill="1" applyBorder="1"/>
    <xf numFmtId="0" fontId="14" fillId="5" borderId="7" xfId="0" applyFont="1" applyFill="1" applyBorder="1" applyAlignment="1">
      <alignment horizontal="center"/>
    </xf>
    <xf numFmtId="0" fontId="14" fillId="5" borderId="25" xfId="0" applyFont="1" applyFill="1" applyBorder="1" applyAlignment="1">
      <alignment horizontal="center"/>
    </xf>
    <xf numFmtId="0" fontId="14" fillId="5" borderId="29" xfId="0" applyFont="1" applyFill="1" applyBorder="1" applyAlignment="1">
      <alignment horizontal="center"/>
    </xf>
    <xf numFmtId="0" fontId="14" fillId="5" borderId="62" xfId="0" applyFont="1" applyFill="1" applyBorder="1" applyAlignment="1">
      <alignment horizontal="centerContinuous"/>
    </xf>
    <xf numFmtId="0" fontId="14" fillId="5" borderId="58" xfId="0" applyFont="1" applyFill="1" applyBorder="1" applyAlignment="1">
      <alignment horizontal="centerContinuous"/>
    </xf>
    <xf numFmtId="0" fontId="8" fillId="5" borderId="0" xfId="0" quotePrefix="1" applyFont="1" applyFill="1" applyBorder="1" applyAlignment="1">
      <alignment horizontal="left" vertical="center"/>
    </xf>
    <xf numFmtId="0" fontId="2" fillId="9" borderId="11" xfId="0" applyFont="1" applyFill="1" applyBorder="1" applyAlignment="1">
      <alignment horizontal="center"/>
    </xf>
    <xf numFmtId="167" fontId="2" fillId="8" borderId="11" xfId="0" applyNumberFormat="1" applyFont="1" applyFill="1" applyBorder="1" applyAlignment="1"/>
    <xf numFmtId="0" fontId="11" fillId="5" borderId="0" xfId="0" applyFont="1" applyFill="1" applyBorder="1" applyAlignment="1">
      <alignment horizontal="left" vertical="center"/>
    </xf>
    <xf numFmtId="164" fontId="5" fillId="5" borderId="10" xfId="0" applyNumberFormat="1" applyFont="1" applyFill="1" applyBorder="1" applyAlignment="1">
      <alignment vertical="center"/>
    </xf>
    <xf numFmtId="166" fontId="9" fillId="9" borderId="33" xfId="207" applyNumberFormat="1" applyFont="1" applyFill="1" applyBorder="1" applyAlignment="1">
      <alignment horizontal="center" vertical="center"/>
    </xf>
    <xf numFmtId="0" fontId="9" fillId="8" borderId="29" xfId="0" applyNumberFormat="1" applyFont="1" applyFill="1" applyBorder="1" applyAlignment="1" applyProtection="1">
      <alignment horizontal="center" vertical="center"/>
    </xf>
    <xf numFmtId="0" fontId="7" fillId="5" borderId="26" xfId="0" applyFont="1" applyFill="1" applyBorder="1" applyAlignment="1">
      <alignment horizontal="left" vertical="center"/>
    </xf>
    <xf numFmtId="2" fontId="0" fillId="9" borderId="35" xfId="0" applyNumberFormat="1" applyFill="1" applyBorder="1" applyAlignment="1">
      <alignment horizontal="center"/>
    </xf>
    <xf numFmtId="166" fontId="9" fillId="9" borderId="11" xfId="0" applyNumberFormat="1" applyFont="1" applyFill="1" applyBorder="1" applyAlignment="1" applyProtection="1">
      <alignment horizontal="center" vertical="center"/>
    </xf>
    <xf numFmtId="0" fontId="49" fillId="5" borderId="0" xfId="0" applyFont="1" applyFill="1" applyBorder="1" applyAlignment="1">
      <alignment horizontal="left" vertical="center"/>
    </xf>
    <xf numFmtId="0" fontId="35" fillId="5" borderId="53" xfId="0" applyFont="1" applyFill="1" applyBorder="1" applyAlignment="1">
      <alignment horizontal="left" vertical="center"/>
    </xf>
    <xf numFmtId="37" fontId="2" fillId="0" borderId="4" xfId="67" applyNumberFormat="1" applyFont="1" applyFill="1" applyBorder="1" applyAlignment="1" applyProtection="1">
      <alignment vertical="center"/>
    </xf>
    <xf numFmtId="37" fontId="2" fillId="8" borderId="4" xfId="67" applyNumberFormat="1" applyFont="1" applyFill="1" applyBorder="1" applyAlignment="1" applyProtection="1">
      <alignment vertical="center"/>
    </xf>
    <xf numFmtId="0" fontId="23" fillId="5" borderId="56" xfId="0" applyFont="1" applyFill="1" applyBorder="1" applyAlignment="1">
      <alignment horizontal="centerContinuous" vertical="center"/>
    </xf>
    <xf numFmtId="37" fontId="2" fillId="0" borderId="50" xfId="67" applyNumberFormat="1" applyFont="1" applyFill="1" applyBorder="1" applyAlignment="1" applyProtection="1">
      <alignment vertical="center"/>
    </xf>
    <xf numFmtId="37" fontId="23" fillId="0" borderId="4" xfId="67" applyNumberFormat="1" applyFont="1" applyFill="1" applyBorder="1" applyAlignment="1" applyProtection="1">
      <alignment vertical="center"/>
    </xf>
    <xf numFmtId="167" fontId="9" fillId="9" borderId="11" xfId="0" applyNumberFormat="1" applyFont="1" applyFill="1" applyBorder="1" applyAlignment="1" applyProtection="1">
      <alignment horizontal="center" vertical="center"/>
    </xf>
    <xf numFmtId="167" fontId="9" fillId="9" borderId="14" xfId="0" applyNumberFormat="1" applyFont="1" applyFill="1" applyBorder="1" applyAlignment="1" applyProtection="1">
      <alignment horizontal="center" vertical="center"/>
    </xf>
    <xf numFmtId="0" fontId="14" fillId="5" borderId="25" xfId="0" applyFont="1" applyFill="1" applyBorder="1" applyAlignment="1"/>
    <xf numFmtId="0" fontId="14" fillId="5" borderId="57" xfId="0" applyFont="1" applyFill="1" applyBorder="1" applyAlignment="1">
      <alignment horizontal="centerContinuous"/>
    </xf>
    <xf numFmtId="0" fontId="2" fillId="0" borderId="3" xfId="0" applyFont="1" applyBorder="1"/>
    <xf numFmtId="3" fontId="22" fillId="0" borderId="11" xfId="0" applyNumberFormat="1" applyFont="1" applyFill="1" applyBorder="1" applyAlignment="1" applyProtection="1">
      <alignment horizontal="right" vertical="center"/>
    </xf>
    <xf numFmtId="0" fontId="9" fillId="2" borderId="11" xfId="0" applyFont="1" applyFill="1" applyBorder="1" applyAlignment="1">
      <alignment horizontal="center"/>
    </xf>
    <xf numFmtId="0" fontId="60" fillId="5" borderId="8" xfId="0" applyFont="1" applyFill="1" applyBorder="1" applyAlignment="1">
      <alignment horizontal="center"/>
    </xf>
    <xf numFmtId="0" fontId="7" fillId="5" borderId="2" xfId="0" applyFont="1" applyFill="1" applyBorder="1" applyAlignment="1">
      <alignment horizontal="center"/>
    </xf>
    <xf numFmtId="0" fontId="8" fillId="5" borderId="45" xfId="0" applyFont="1" applyFill="1" applyBorder="1" applyAlignment="1">
      <alignment horizontal="left" vertical="center"/>
    </xf>
    <xf numFmtId="0" fontId="7" fillId="5" borderId="45" xfId="0" quotePrefix="1" applyFont="1" applyFill="1" applyBorder="1" applyAlignment="1">
      <alignment horizontal="left" vertical="center"/>
    </xf>
    <xf numFmtId="3" fontId="9" fillId="8" borderId="81" xfId="0" applyNumberFormat="1" applyFont="1" applyFill="1" applyBorder="1" applyAlignment="1">
      <alignment horizontal="center" vertical="center"/>
    </xf>
    <xf numFmtId="3" fontId="9" fillId="9" borderId="78" xfId="0" applyNumberFormat="1" applyFont="1" applyFill="1" applyBorder="1" applyAlignment="1">
      <alignment horizontal="center" vertical="center"/>
    </xf>
    <xf numFmtId="38" fontId="2" fillId="9" borderId="58" xfId="67" applyNumberFormat="1" applyFont="1" applyFill="1" applyBorder="1" applyAlignment="1">
      <alignment horizontal="right" vertical="center"/>
    </xf>
    <xf numFmtId="38" fontId="2" fillId="9" borderId="62" xfId="67" applyNumberFormat="1" applyFont="1" applyFill="1" applyBorder="1" applyAlignment="1">
      <alignment horizontal="right" vertical="center"/>
    </xf>
    <xf numFmtId="1" fontId="9" fillId="2" borderId="11" xfId="0" applyNumberFormat="1" applyFont="1" applyFill="1" applyBorder="1" applyAlignment="1">
      <alignment horizontal="center"/>
    </xf>
    <xf numFmtId="2" fontId="2" fillId="0" borderId="11" xfId="0" applyNumberFormat="1" applyFont="1" applyFill="1" applyBorder="1"/>
    <xf numFmtId="2" fontId="2" fillId="9" borderId="11" xfId="0" applyNumberFormat="1" applyFont="1" applyFill="1" applyBorder="1"/>
    <xf numFmtId="1" fontId="2" fillId="9" borderId="11" xfId="0" applyNumberFormat="1" applyFont="1" applyFill="1" applyBorder="1"/>
    <xf numFmtId="3" fontId="2" fillId="0" borderId="11" xfId="0" applyNumberFormat="1" applyFont="1" applyFill="1" applyBorder="1"/>
    <xf numFmtId="3" fontId="2" fillId="9" borderId="11" xfId="0" applyNumberFormat="1" applyFont="1" applyFill="1" applyBorder="1"/>
    <xf numFmtId="1" fontId="9" fillId="9" borderId="27" xfId="0" applyNumberFormat="1" applyFont="1" applyFill="1" applyBorder="1" applyAlignment="1">
      <alignment horizontal="center"/>
    </xf>
    <xf numFmtId="0" fontId="14" fillId="5" borderId="9" xfId="0" applyFont="1" applyFill="1" applyBorder="1"/>
    <xf numFmtId="0" fontId="17" fillId="0" borderId="55" xfId="0" applyFont="1" applyBorder="1" applyAlignment="1">
      <alignment horizontal="center"/>
    </xf>
    <xf numFmtId="0" fontId="14" fillId="5" borderId="59" xfId="0" applyFont="1" applyFill="1" applyBorder="1" applyAlignment="1">
      <alignment horizontal="centerContinuous"/>
    </xf>
    <xf numFmtId="0" fontId="14" fillId="5" borderId="11" xfId="0" applyFont="1" applyFill="1" applyBorder="1" applyAlignment="1">
      <alignment horizontal="centerContinuous"/>
    </xf>
    <xf numFmtId="0" fontId="14" fillId="5" borderId="60" xfId="0" applyFont="1" applyFill="1" applyBorder="1" applyAlignment="1">
      <alignment horizontal="center"/>
    </xf>
    <xf numFmtId="0" fontId="14" fillId="5" borderId="14" xfId="0" applyFont="1" applyFill="1" applyBorder="1" applyAlignment="1">
      <alignment horizontal="center"/>
    </xf>
    <xf numFmtId="0" fontId="14" fillId="5" borderId="28" xfId="0" applyFont="1" applyFill="1" applyBorder="1" applyAlignment="1">
      <alignment horizontal="center"/>
    </xf>
    <xf numFmtId="0" fontId="14" fillId="5" borderId="63" xfId="0" applyFont="1" applyFill="1" applyBorder="1" applyAlignment="1">
      <alignment horizontal="centerContinuous"/>
    </xf>
    <xf numFmtId="0" fontId="14" fillId="5" borderId="79" xfId="0" applyFont="1" applyFill="1" applyBorder="1" applyAlignment="1">
      <alignment horizontal="centerContinuous"/>
    </xf>
    <xf numFmtId="0" fontId="14" fillId="5" borderId="82" xfId="0" applyFont="1" applyFill="1" applyBorder="1"/>
    <xf numFmtId="170" fontId="2" fillId="0" borderId="71" xfId="0" applyNumberFormat="1" applyFont="1" applyBorder="1" applyAlignment="1">
      <alignment horizontal="center"/>
    </xf>
    <xf numFmtId="170" fontId="2" fillId="0" borderId="83" xfId="0" applyNumberFormat="1" applyFont="1" applyBorder="1" applyAlignment="1">
      <alignment horizontal="center"/>
    </xf>
    <xf numFmtId="170" fontId="2" fillId="0" borderId="72" xfId="0" applyNumberFormat="1" applyFont="1" applyBorder="1" applyAlignment="1">
      <alignment horizontal="center"/>
    </xf>
    <xf numFmtId="170" fontId="2" fillId="0" borderId="40" xfId="0" applyNumberFormat="1" applyFont="1" applyBorder="1" applyAlignment="1">
      <alignment horizontal="center"/>
    </xf>
    <xf numFmtId="170" fontId="2" fillId="0" borderId="77" xfId="0" applyNumberFormat="1" applyFont="1" applyBorder="1" applyAlignment="1">
      <alignment horizontal="center"/>
    </xf>
    <xf numFmtId="170" fontId="2" fillId="0" borderId="35" xfId="0" applyNumberFormat="1" applyFont="1" applyBorder="1" applyAlignment="1">
      <alignment horizontal="center"/>
    </xf>
    <xf numFmtId="170" fontId="2" fillId="0" borderId="41" xfId="0" applyNumberFormat="1" applyFont="1" applyBorder="1" applyAlignment="1">
      <alignment horizontal="center"/>
    </xf>
    <xf numFmtId="170" fontId="2" fillId="0" borderId="29" xfId="0" applyNumberFormat="1" applyFont="1" applyBorder="1" applyAlignment="1">
      <alignment horizontal="center"/>
    </xf>
    <xf numFmtId="170" fontId="2" fillId="0" borderId="30" xfId="0" applyNumberFormat="1" applyFont="1" applyBorder="1" applyAlignment="1">
      <alignment horizontal="center"/>
    </xf>
    <xf numFmtId="0" fontId="11" fillId="5" borderId="8" xfId="0" applyFont="1" applyFill="1" applyBorder="1"/>
    <xf numFmtId="170" fontId="2" fillId="9" borderId="11" xfId="0" applyNumberFormat="1" applyFont="1" applyFill="1" applyBorder="1"/>
    <xf numFmtId="7" fontId="2" fillId="0" borderId="0" xfId="0" applyNumberFormat="1" applyFont="1" applyFill="1" applyBorder="1" applyAlignment="1" applyProtection="1">
      <alignment horizontal="right" vertical="center"/>
    </xf>
    <xf numFmtId="7" fontId="2" fillId="0" borderId="0" xfId="0" applyNumberFormat="1" applyFont="1" applyFill="1" applyBorder="1" applyAlignment="1">
      <alignment horizontal="right" vertical="center"/>
    </xf>
    <xf numFmtId="0" fontId="2" fillId="0" borderId="0" xfId="0" quotePrefix="1" applyFont="1" applyFill="1" applyBorder="1" applyAlignment="1">
      <alignment horizontal="center" vertical="center"/>
    </xf>
    <xf numFmtId="0" fontId="2" fillId="0" borderId="4" xfId="0" applyFont="1" applyFill="1" applyBorder="1"/>
    <xf numFmtId="176" fontId="2" fillId="9" borderId="14" xfId="0" applyNumberFormat="1" applyFont="1" applyFill="1" applyBorder="1" applyAlignment="1"/>
    <xf numFmtId="176" fontId="2" fillId="9" borderId="28" xfId="0" applyNumberFormat="1" applyFont="1" applyFill="1" applyBorder="1" applyAlignment="1"/>
    <xf numFmtId="191" fontId="0" fillId="9" borderId="58" xfId="0" applyNumberFormat="1" applyFill="1" applyBorder="1"/>
    <xf numFmtId="191" fontId="0" fillId="8" borderId="62" xfId="0" applyNumberFormat="1" applyFill="1" applyBorder="1"/>
    <xf numFmtId="191" fontId="0" fillId="3" borderId="62" xfId="0" applyNumberFormat="1" applyFill="1" applyBorder="1"/>
    <xf numFmtId="191" fontId="0" fillId="9" borderId="59" xfId="0" applyNumberFormat="1" applyFill="1" applyBorder="1"/>
    <xf numFmtId="191" fontId="0" fillId="8" borderId="11" xfId="0" applyNumberFormat="1" applyFill="1" applyBorder="1"/>
    <xf numFmtId="191" fontId="0" fillId="3" borderId="11" xfId="0" applyNumberFormat="1" applyFill="1" applyBorder="1"/>
    <xf numFmtId="191" fontId="0" fillId="9" borderId="60" xfId="0" applyNumberFormat="1" applyFill="1" applyBorder="1"/>
    <xf numFmtId="191" fontId="0" fillId="8" borderId="14" xfId="0" applyNumberFormat="1" applyFill="1" applyBorder="1"/>
    <xf numFmtId="191" fontId="0" fillId="3" borderId="14" xfId="0" applyNumberFormat="1" applyFill="1" applyBorder="1"/>
    <xf numFmtId="176" fontId="2" fillId="9" borderId="76" xfId="0" applyNumberFormat="1" applyFont="1" applyFill="1" applyBorder="1" applyAlignment="1"/>
    <xf numFmtId="176" fontId="2" fillId="9" borderId="70" xfId="0" applyNumberFormat="1" applyFont="1" applyFill="1" applyBorder="1" applyAlignment="1"/>
    <xf numFmtId="176" fontId="2" fillId="9" borderId="16" xfId="0" applyNumberFormat="1" applyFont="1" applyFill="1" applyBorder="1" applyAlignment="1"/>
    <xf numFmtId="173" fontId="0" fillId="0" borderId="71" xfId="0" applyNumberFormat="1" applyBorder="1"/>
    <xf numFmtId="173" fontId="0" fillId="0" borderId="83" xfId="0" applyNumberFormat="1" applyBorder="1"/>
    <xf numFmtId="173" fontId="0" fillId="0" borderId="35" xfId="0" applyNumberFormat="1" applyBorder="1"/>
    <xf numFmtId="173" fontId="0" fillId="0" borderId="40" xfId="0" applyNumberFormat="1" applyBorder="1"/>
    <xf numFmtId="173" fontId="0" fillId="0" borderId="41" xfId="0" applyNumberFormat="1" applyBorder="1"/>
    <xf numFmtId="173" fontId="0" fillId="0" borderId="29" xfId="0" applyNumberFormat="1" applyBorder="1"/>
    <xf numFmtId="173" fontId="0" fillId="0" borderId="30" xfId="0" applyNumberFormat="1" applyBorder="1"/>
    <xf numFmtId="2" fontId="0" fillId="0" borderId="31" xfId="0" applyNumberFormat="1" applyBorder="1"/>
    <xf numFmtId="2" fontId="0" fillId="0" borderId="42" xfId="0" applyNumberFormat="1" applyBorder="1"/>
    <xf numFmtId="2" fontId="0" fillId="13" borderId="31" xfId="0" applyNumberFormat="1" applyFill="1" applyBorder="1"/>
    <xf numFmtId="2" fontId="0" fillId="13" borderId="42" xfId="0" applyNumberFormat="1" applyFill="1" applyBorder="1"/>
    <xf numFmtId="166" fontId="9" fillId="9" borderId="14" xfId="0" applyNumberFormat="1" applyFont="1" applyFill="1" applyBorder="1" applyAlignment="1" applyProtection="1">
      <alignment horizontal="center" vertical="center"/>
    </xf>
    <xf numFmtId="192" fontId="7" fillId="3" borderId="27" xfId="0" applyNumberFormat="1" applyFont="1" applyFill="1" applyBorder="1" applyAlignment="1">
      <alignment horizontal="center" vertical="center"/>
    </xf>
    <xf numFmtId="190" fontId="0" fillId="9" borderId="58" xfId="0" applyNumberFormat="1" applyFill="1" applyBorder="1"/>
    <xf numFmtId="190" fontId="0" fillId="8" borderId="62" xfId="0" applyNumberFormat="1" applyFill="1" applyBorder="1"/>
    <xf numFmtId="190" fontId="0" fillId="3" borderId="62" xfId="0" applyNumberFormat="1" applyFill="1" applyBorder="1"/>
    <xf numFmtId="39" fontId="0" fillId="9" borderId="59" xfId="0" applyNumberFormat="1" applyFill="1" applyBorder="1"/>
    <xf numFmtId="39" fontId="0" fillId="8" borderId="11" xfId="0" applyNumberFormat="1" applyFill="1" applyBorder="1"/>
    <xf numFmtId="39" fontId="0" fillId="3" borderId="11" xfId="0" applyNumberFormat="1" applyFill="1" applyBorder="1"/>
    <xf numFmtId="39" fontId="0" fillId="9" borderId="60" xfId="0" applyNumberFormat="1" applyFill="1" applyBorder="1"/>
    <xf numFmtId="39" fontId="0" fillId="8" borderId="14" xfId="0" applyNumberFormat="1" applyFill="1" applyBorder="1"/>
    <xf numFmtId="39" fontId="0" fillId="3" borderId="14" xfId="0" applyNumberFormat="1" applyFill="1" applyBorder="1"/>
    <xf numFmtId="190" fontId="0" fillId="3" borderId="4" xfId="0" applyNumberFormat="1" applyFill="1" applyBorder="1"/>
    <xf numFmtId="38" fontId="2" fillId="13" borderId="59" xfId="67" applyNumberFormat="1" applyFont="1" applyFill="1" applyBorder="1" applyAlignment="1">
      <alignment horizontal="right" vertical="center"/>
    </xf>
    <xf numFmtId="38" fontId="2" fillId="13" borderId="33" xfId="67" applyNumberFormat="1" applyFont="1" applyFill="1" applyBorder="1" applyAlignment="1">
      <alignment horizontal="right" vertical="center"/>
    </xf>
    <xf numFmtId="38" fontId="2" fillId="13" borderId="54" xfId="67" applyNumberFormat="1" applyFont="1" applyFill="1" applyBorder="1" applyAlignment="1">
      <alignment horizontal="right" vertical="center"/>
    </xf>
    <xf numFmtId="0" fontId="0" fillId="5" borderId="0" xfId="0" applyFill="1" applyBorder="1" applyAlignment="1"/>
    <xf numFmtId="0" fontId="14" fillId="0" borderId="0" xfId="0" applyFont="1" applyBorder="1"/>
    <xf numFmtId="38" fontId="2" fillId="5" borderId="0" xfId="0" applyNumberFormat="1" applyFont="1" applyFill="1" applyBorder="1"/>
    <xf numFmtId="37" fontId="0" fillId="9" borderId="57" xfId="0" applyNumberFormat="1" applyFill="1" applyBorder="1"/>
    <xf numFmtId="37" fontId="0" fillId="9" borderId="27" xfId="0" applyNumberFormat="1" applyFill="1" applyBorder="1"/>
    <xf numFmtId="37" fontId="0" fillId="9" borderId="60" xfId="0" applyNumberFormat="1" applyFill="1" applyBorder="1"/>
    <xf numFmtId="37" fontId="0" fillId="9" borderId="28" xfId="0" applyNumberFormat="1" applyFill="1" applyBorder="1"/>
    <xf numFmtId="37" fontId="0" fillId="3" borderId="75" xfId="0" applyNumberFormat="1" applyFill="1" applyBorder="1"/>
    <xf numFmtId="37" fontId="0" fillId="3" borderId="51" xfId="0" applyNumberFormat="1" applyFill="1" applyBorder="1"/>
    <xf numFmtId="0" fontId="0" fillId="0" borderId="20" xfId="0" applyNumberFormat="1" applyBorder="1"/>
    <xf numFmtId="0" fontId="0" fillId="0" borderId="22" xfId="0" applyNumberFormat="1" applyBorder="1"/>
    <xf numFmtId="0" fontId="0" fillId="0" borderId="23" xfId="0" applyNumberFormat="1" applyBorder="1"/>
    <xf numFmtId="0" fontId="0" fillId="5" borderId="10" xfId="0" applyNumberFormat="1" applyFill="1" applyBorder="1"/>
    <xf numFmtId="0" fontId="0" fillId="5" borderId="25" xfId="0" applyNumberFormat="1" applyFill="1" applyBorder="1"/>
    <xf numFmtId="0" fontId="0" fillId="0" borderId="20" xfId="0" applyNumberFormat="1" applyFill="1" applyBorder="1"/>
    <xf numFmtId="38" fontId="2" fillId="0" borderId="0" xfId="0" applyNumberFormat="1" applyFont="1" applyFill="1" applyBorder="1"/>
    <xf numFmtId="0" fontId="0" fillId="0" borderId="21" xfId="0" applyFill="1" applyBorder="1"/>
    <xf numFmtId="0" fontId="0" fillId="0" borderId="0" xfId="0" applyNumberFormat="1" applyFill="1" applyBorder="1"/>
    <xf numFmtId="0" fontId="0" fillId="0" borderId="0" xfId="0" applyFill="1" applyBorder="1"/>
    <xf numFmtId="38" fontId="2" fillId="5" borderId="3" xfId="0" applyNumberFormat="1" applyFont="1" applyFill="1" applyBorder="1"/>
    <xf numFmtId="37" fontId="0" fillId="9" borderId="76" xfId="0" applyNumberFormat="1" applyFill="1" applyBorder="1"/>
    <xf numFmtId="37" fontId="0" fillId="9" borderId="16" xfId="0" applyNumberFormat="1" applyFill="1" applyBorder="1"/>
    <xf numFmtId="37" fontId="0" fillId="3" borderId="4" xfId="0" applyNumberFormat="1" applyFill="1" applyBorder="1"/>
    <xf numFmtId="3" fontId="9" fillId="5" borderId="42" xfId="0" applyNumberFormat="1" applyFont="1" applyFill="1" applyBorder="1" applyAlignment="1">
      <alignment horizontal="center" vertical="center"/>
    </xf>
    <xf numFmtId="3" fontId="9" fillId="8" borderId="62" xfId="0" applyNumberFormat="1" applyFont="1" applyFill="1" applyBorder="1" applyAlignment="1">
      <alignment horizontal="center" vertical="center"/>
    </xf>
    <xf numFmtId="3" fontId="9" fillId="9" borderId="57" xfId="0" applyNumberFormat="1" applyFont="1" applyFill="1" applyBorder="1" applyAlignment="1">
      <alignment horizontal="center" vertical="center"/>
    </xf>
    <xf numFmtId="9" fontId="9" fillId="2" borderId="30" xfId="207" applyFont="1" applyFill="1" applyBorder="1" applyAlignment="1">
      <alignment horizontal="center" vertical="center"/>
    </xf>
    <xf numFmtId="0" fontId="11" fillId="5" borderId="0" xfId="0" applyFont="1" applyFill="1" applyBorder="1" applyAlignment="1">
      <alignment horizontal="left" indent="1"/>
    </xf>
    <xf numFmtId="0" fontId="11" fillId="5" borderId="3" xfId="0" applyFont="1" applyFill="1" applyBorder="1" applyAlignment="1">
      <alignment horizontal="left" indent="1"/>
    </xf>
    <xf numFmtId="172" fontId="2" fillId="0" borderId="9" xfId="0" applyNumberFormat="1" applyFont="1" applyFill="1" applyBorder="1"/>
    <xf numFmtId="172" fontId="2" fillId="0" borderId="7" xfId="0" applyNumberFormat="1" applyFont="1" applyFill="1" applyBorder="1"/>
    <xf numFmtId="172" fontId="2" fillId="0" borderId="12" xfId="0" applyNumberFormat="1" applyFont="1" applyFill="1" applyBorder="1"/>
    <xf numFmtId="172" fontId="2" fillId="0" borderId="10" xfId="0" applyNumberFormat="1" applyFont="1" applyFill="1" applyBorder="1"/>
    <xf numFmtId="172" fontId="2" fillId="0" borderId="26" xfId="0" applyNumberFormat="1" applyFont="1" applyFill="1" applyBorder="1"/>
    <xf numFmtId="172" fontId="2" fillId="0" borderId="25" xfId="0" applyNumberFormat="1" applyFont="1" applyFill="1" applyBorder="1"/>
    <xf numFmtId="5" fontId="2" fillId="9" borderId="75" xfId="67" applyNumberFormat="1" applyFont="1" applyFill="1" applyBorder="1" applyAlignment="1" applyProtection="1">
      <alignment vertical="center"/>
    </xf>
    <xf numFmtId="188" fontId="9" fillId="8" borderId="14" xfId="0" applyNumberFormat="1" applyFont="1" applyFill="1" applyBorder="1" applyAlignment="1">
      <alignment horizontal="center" vertical="center"/>
    </xf>
    <xf numFmtId="188" fontId="9" fillId="9" borderId="14" xfId="0" applyNumberFormat="1" applyFont="1" applyFill="1" applyBorder="1" applyAlignment="1" applyProtection="1">
      <alignment horizontal="center" vertical="center"/>
    </xf>
    <xf numFmtId="188" fontId="9" fillId="8" borderId="28" xfId="207" applyNumberFormat="1" applyFont="1" applyFill="1" applyBorder="1" applyAlignment="1">
      <alignment horizontal="center" vertical="center"/>
    </xf>
    <xf numFmtId="3" fontId="9" fillId="9" borderId="11" xfId="0" applyNumberFormat="1" applyFont="1" applyFill="1" applyBorder="1" applyAlignment="1" applyProtection="1">
      <alignment horizontal="center" vertical="center"/>
    </xf>
    <xf numFmtId="3" fontId="9" fillId="8" borderId="27" xfId="207" applyNumberFormat="1" applyFont="1" applyFill="1" applyBorder="1" applyAlignment="1">
      <alignment horizontal="center" vertical="center"/>
    </xf>
    <xf numFmtId="0" fontId="11" fillId="5" borderId="8" xfId="0" applyFont="1" applyFill="1" applyBorder="1" applyAlignment="1">
      <alignment horizontal="left" vertical="center"/>
    </xf>
    <xf numFmtId="3" fontId="9" fillId="9" borderId="14" xfId="0" applyNumberFormat="1" applyFont="1" applyFill="1" applyBorder="1" applyAlignment="1">
      <alignment horizontal="center" vertical="center"/>
    </xf>
    <xf numFmtId="3" fontId="9" fillId="9" borderId="28" xfId="0" applyNumberFormat="1" applyFont="1" applyFill="1" applyBorder="1" applyAlignment="1">
      <alignment horizontal="center" vertical="center"/>
    </xf>
    <xf numFmtId="1" fontId="9" fillId="9" borderId="11" xfId="0" applyNumberFormat="1" applyFont="1" applyFill="1" applyBorder="1" applyAlignment="1">
      <alignment horizontal="center"/>
    </xf>
    <xf numFmtId="3" fontId="2" fillId="0" borderId="41" xfId="0" applyNumberFormat="1" applyFont="1" applyFill="1" applyBorder="1" applyAlignment="1"/>
    <xf numFmtId="0" fontId="2" fillId="0" borderId="52" xfId="0" applyFont="1" applyBorder="1"/>
    <xf numFmtId="3" fontId="2" fillId="0" borderId="40" xfId="0" applyNumberFormat="1" applyFont="1" applyFill="1" applyBorder="1" applyAlignment="1"/>
    <xf numFmtId="194" fontId="2" fillId="9" borderId="63" xfId="0" applyNumberFormat="1" applyFont="1" applyFill="1" applyBorder="1" applyAlignment="1"/>
    <xf numFmtId="194" fontId="2" fillId="9" borderId="79" xfId="0" applyNumberFormat="1" applyFont="1" applyFill="1" applyBorder="1" applyAlignment="1"/>
    <xf numFmtId="3" fontId="2" fillId="0" borderId="76" xfId="0" applyNumberFormat="1" applyFont="1" applyFill="1" applyBorder="1" applyAlignment="1"/>
    <xf numFmtId="3" fontId="2" fillId="0" borderId="70" xfId="0" applyNumberFormat="1" applyFont="1" applyFill="1" applyBorder="1" applyAlignment="1"/>
    <xf numFmtId="3" fontId="2" fillId="0" borderId="16" xfId="0" applyNumberFormat="1" applyFont="1" applyFill="1" applyBorder="1" applyAlignment="1"/>
    <xf numFmtId="0" fontId="17" fillId="0" borderId="0" xfId="0" applyFont="1" applyBorder="1" applyAlignment="1">
      <alignment horizontal="center"/>
    </xf>
    <xf numFmtId="176" fontId="0" fillId="0" borderId="0" xfId="0" applyNumberFormat="1" applyBorder="1"/>
    <xf numFmtId="176" fontId="0" fillId="0" borderId="0" xfId="0" applyNumberFormat="1" applyBorder="1" applyAlignment="1">
      <alignment horizontal="right"/>
    </xf>
    <xf numFmtId="170" fontId="64" fillId="5" borderId="12" xfId="0" applyNumberFormat="1" applyFont="1" applyFill="1" applyBorder="1" applyAlignment="1" applyProtection="1">
      <alignment horizontal="right" vertical="center"/>
    </xf>
    <xf numFmtId="170" fontId="64" fillId="5" borderId="26" xfId="0" applyNumberFormat="1" applyFont="1" applyFill="1" applyBorder="1" applyAlignment="1" applyProtection="1">
      <alignment horizontal="right" vertical="center"/>
    </xf>
    <xf numFmtId="0" fontId="2" fillId="5" borderId="3" xfId="0" applyFont="1" applyFill="1" applyBorder="1" applyAlignment="1">
      <alignment horizontal="center" vertical="center"/>
    </xf>
    <xf numFmtId="0" fontId="10" fillId="5" borderId="45" xfId="0" applyFont="1" applyFill="1" applyBorder="1" applyAlignment="1">
      <alignment horizontal="center" vertical="center"/>
    </xf>
    <xf numFmtId="0" fontId="69" fillId="5" borderId="0" xfId="0" applyFont="1" applyFill="1" applyBorder="1" applyAlignment="1">
      <alignment horizontal="left" vertical="center" indent="2"/>
    </xf>
    <xf numFmtId="0" fontId="2" fillId="0" borderId="0" xfId="0" applyFont="1" applyFill="1" applyAlignment="1">
      <alignment horizontal="right" vertical="center"/>
    </xf>
    <xf numFmtId="172" fontId="2" fillId="0" borderId="0" xfId="0" applyNumberFormat="1" applyFont="1" applyFill="1" applyBorder="1" applyAlignment="1">
      <alignment vertical="center"/>
    </xf>
    <xf numFmtId="164" fontId="2" fillId="0" borderId="0" xfId="0" applyNumberFormat="1" applyFont="1" applyFill="1" applyBorder="1" applyAlignment="1"/>
    <xf numFmtId="0" fontId="2" fillId="5" borderId="0" xfId="0" applyFont="1" applyFill="1"/>
    <xf numFmtId="167" fontId="22" fillId="0" borderId="11" xfId="0" applyNumberFormat="1" applyFont="1" applyFill="1" applyBorder="1" applyAlignment="1" applyProtection="1">
      <alignment horizontal="right" vertical="center"/>
    </xf>
    <xf numFmtId="170" fontId="22" fillId="0" borderId="11" xfId="0" applyNumberFormat="1" applyFont="1" applyFill="1" applyBorder="1" applyAlignment="1" applyProtection="1">
      <alignment horizontal="right" vertical="center"/>
    </xf>
    <xf numFmtId="37" fontId="2" fillId="0" borderId="58" xfId="67" applyNumberFormat="1" applyFont="1" applyFill="1" applyBorder="1" applyAlignment="1" applyProtection="1">
      <alignment vertical="center"/>
    </xf>
    <xf numFmtId="37" fontId="2" fillId="0" borderId="60" xfId="67" applyNumberFormat="1" applyFont="1" applyFill="1" applyBorder="1" applyAlignment="1" applyProtection="1">
      <alignment vertical="center"/>
    </xf>
    <xf numFmtId="37" fontId="2" fillId="0" borderId="59" xfId="67" applyNumberFormat="1" applyFont="1" applyFill="1" applyBorder="1" applyAlignment="1" applyProtection="1">
      <alignment vertical="center"/>
    </xf>
    <xf numFmtId="37" fontId="23" fillId="0" borderId="76" xfId="67" applyNumberFormat="1" applyFont="1" applyFill="1" applyBorder="1" applyAlignment="1" applyProtection="1">
      <alignment vertical="center"/>
    </xf>
    <xf numFmtId="5" fontId="23" fillId="0" borderId="16" xfId="67" applyNumberFormat="1" applyFont="1" applyFill="1" applyBorder="1" applyAlignment="1" applyProtection="1">
      <alignment vertical="center"/>
    </xf>
    <xf numFmtId="5" fontId="2" fillId="8" borderId="4" xfId="67" applyNumberFormat="1" applyFont="1" applyFill="1" applyBorder="1" applyAlignment="1" applyProtection="1">
      <alignment vertical="center"/>
    </xf>
    <xf numFmtId="170" fontId="9" fillId="2" borderId="16" xfId="207" applyNumberFormat="1" applyFont="1" applyFill="1" applyBorder="1" applyAlignment="1">
      <alignment horizontal="center" vertical="center"/>
    </xf>
    <xf numFmtId="0" fontId="44" fillId="0" borderId="0" xfId="0" applyFont="1" applyAlignment="1">
      <alignment vertical="center"/>
    </xf>
    <xf numFmtId="0" fontId="60" fillId="0" borderId="0" xfId="0" applyFont="1"/>
    <xf numFmtId="170" fontId="9" fillId="8" borderId="11" xfId="207" applyNumberFormat="1" applyFont="1" applyFill="1" applyBorder="1" applyAlignment="1" applyProtection="1">
      <alignment horizontal="center" vertical="center"/>
    </xf>
    <xf numFmtId="170" fontId="9" fillId="8" borderId="27" xfId="207" applyNumberFormat="1" applyFont="1" applyFill="1" applyBorder="1" applyAlignment="1">
      <alignment horizontal="center" vertical="center"/>
    </xf>
    <xf numFmtId="170" fontId="9" fillId="8" borderId="14" xfId="207" applyNumberFormat="1" applyFont="1" applyFill="1" applyBorder="1" applyAlignment="1" applyProtection="1">
      <alignment horizontal="center" vertical="center"/>
    </xf>
    <xf numFmtId="170" fontId="9" fillId="8" borderId="28" xfId="207" applyNumberFormat="1" applyFont="1" applyFill="1" applyBorder="1" applyAlignment="1">
      <alignment horizontal="center" vertical="center"/>
    </xf>
    <xf numFmtId="166" fontId="9" fillId="5" borderId="49" xfId="207" applyNumberFormat="1" applyFont="1" applyFill="1" applyBorder="1" applyAlignment="1">
      <alignment horizontal="center" vertical="center"/>
    </xf>
    <xf numFmtId="0" fontId="2" fillId="0" borderId="0" xfId="203" applyFont="1" applyFill="1"/>
    <xf numFmtId="0" fontId="60" fillId="5" borderId="8" xfId="0" applyFont="1" applyFill="1" applyBorder="1" applyAlignment="1">
      <alignment horizontal="centerContinuous"/>
    </xf>
    <xf numFmtId="0" fontId="2" fillId="5" borderId="7" xfId="203" applyFont="1" applyFill="1" applyBorder="1"/>
    <xf numFmtId="0" fontId="66" fillId="5" borderId="9" xfId="203" applyFont="1" applyFill="1" applyBorder="1" applyAlignment="1">
      <alignment horizontal="center" vertical="center" wrapText="1"/>
    </xf>
    <xf numFmtId="0" fontId="2" fillId="5" borderId="10" xfId="203" applyFont="1" applyFill="1" applyBorder="1"/>
    <xf numFmtId="0" fontId="67" fillId="5" borderId="12" xfId="203" applyFont="1" applyFill="1" applyBorder="1" applyAlignment="1">
      <alignment horizontal="center" vertical="center"/>
    </xf>
    <xf numFmtId="0" fontId="17" fillId="5" borderId="12" xfId="203" applyFont="1" applyFill="1" applyBorder="1" applyAlignment="1">
      <alignment horizontal="center" vertical="center"/>
    </xf>
    <xf numFmtId="0" fontId="68" fillId="5" borderId="10" xfId="203" applyFont="1" applyFill="1" applyBorder="1" applyAlignment="1">
      <alignment horizontal="centerContinuous"/>
    </xf>
    <xf numFmtId="0" fontId="68" fillId="5" borderId="12" xfId="203" applyFont="1" applyFill="1" applyBorder="1" applyAlignment="1">
      <alignment horizontal="centerContinuous"/>
    </xf>
    <xf numFmtId="0" fontId="68" fillId="5" borderId="10" xfId="203" applyFont="1" applyFill="1" applyBorder="1" applyAlignment="1">
      <alignment horizontal="centerContinuous" vertical="top"/>
    </xf>
    <xf numFmtId="0" fontId="68" fillId="5" borderId="12" xfId="203" applyFont="1" applyFill="1" applyBorder="1" applyAlignment="1">
      <alignment horizontal="centerContinuous" vertical="top"/>
    </xf>
    <xf numFmtId="0" fontId="69" fillId="5" borderId="10" xfId="203" quotePrefix="1" applyFont="1" applyFill="1" applyBorder="1" applyAlignment="1">
      <alignment horizontal="centerContinuous" vertical="top"/>
    </xf>
    <xf numFmtId="0" fontId="71" fillId="5" borderId="12" xfId="203" applyFont="1" applyFill="1" applyBorder="1" applyAlignment="1">
      <alignment horizontal="centerContinuous" vertical="top"/>
    </xf>
    <xf numFmtId="0" fontId="2" fillId="5" borderId="25" xfId="203" applyFont="1" applyFill="1" applyBorder="1"/>
    <xf numFmtId="0" fontId="2" fillId="5" borderId="26" xfId="203" applyFont="1" applyFill="1" applyBorder="1"/>
    <xf numFmtId="5" fontId="2" fillId="62" borderId="4" xfId="67" applyNumberFormat="1" applyFont="1" applyFill="1" applyBorder="1" applyAlignment="1" applyProtection="1">
      <alignment vertical="center"/>
    </xf>
    <xf numFmtId="195" fontId="23" fillId="11" borderId="4" xfId="67" applyNumberFormat="1" applyFont="1" applyFill="1" applyBorder="1" applyAlignment="1" applyProtection="1">
      <alignment horizontal="center" vertical="center"/>
    </xf>
    <xf numFmtId="195" fontId="22" fillId="0" borderId="11" xfId="0" applyNumberFormat="1" applyFont="1" applyFill="1" applyBorder="1" applyAlignment="1" applyProtection="1">
      <alignment horizontal="right" vertical="center"/>
    </xf>
    <xf numFmtId="0" fontId="2" fillId="0" borderId="0" xfId="0" applyFont="1" applyAlignment="1">
      <alignment horizontal="left"/>
    </xf>
    <xf numFmtId="0" fontId="2" fillId="5" borderId="8" xfId="0" applyFont="1" applyFill="1" applyBorder="1" applyAlignment="1">
      <alignment horizontal="left"/>
    </xf>
    <xf numFmtId="2" fontId="2" fillId="63" borderId="17" xfId="0" applyNumberFormat="1" applyFont="1" applyFill="1" applyBorder="1"/>
    <xf numFmtId="173" fontId="2" fillId="0" borderId="11" xfId="68" applyNumberFormat="1" applyFont="1" applyFill="1" applyBorder="1" applyAlignment="1">
      <alignment horizontal="center" vertical="center"/>
    </xf>
    <xf numFmtId="173" fontId="2" fillId="0" borderId="27" xfId="68" applyNumberFormat="1" applyFont="1" applyFill="1" applyBorder="1" applyAlignment="1">
      <alignment horizontal="center" vertical="center"/>
    </xf>
    <xf numFmtId="10" fontId="2" fillId="0" borderId="73" xfId="220" applyNumberFormat="1" applyFont="1" applyFill="1" applyBorder="1" applyAlignment="1">
      <alignment horizontal="center"/>
    </xf>
    <xf numFmtId="10" fontId="2" fillId="0" borderId="57" xfId="220" applyNumberFormat="1" applyFont="1" applyFill="1" applyBorder="1" applyAlignment="1">
      <alignment horizontal="center"/>
    </xf>
    <xf numFmtId="189" fontId="2" fillId="0" borderId="73" xfId="68" applyNumberFormat="1" applyFont="1" applyFill="1" applyBorder="1" applyAlignment="1">
      <alignment horizontal="center"/>
    </xf>
    <xf numFmtId="189" fontId="2" fillId="0" borderId="62" xfId="68" applyNumberFormat="1" applyFont="1" applyFill="1" applyBorder="1" applyAlignment="1">
      <alignment horizontal="center"/>
    </xf>
    <xf numFmtId="189" fontId="2" fillId="0" borderId="57" xfId="68" applyNumberFormat="1" applyFont="1" applyFill="1" applyBorder="1" applyAlignment="1">
      <alignment horizontal="center"/>
    </xf>
    <xf numFmtId="0" fontId="2" fillId="5" borderId="3" xfId="0" applyFont="1" applyFill="1" applyBorder="1" applyAlignment="1">
      <alignment horizontal="left"/>
    </xf>
    <xf numFmtId="10" fontId="2" fillId="0" borderId="32" xfId="220" applyNumberFormat="1" applyFont="1" applyFill="1" applyBorder="1" applyAlignment="1">
      <alignment horizontal="center"/>
    </xf>
    <xf numFmtId="10" fontId="2" fillId="0" borderId="27" xfId="220" applyNumberFormat="1" applyFont="1" applyFill="1" applyBorder="1" applyAlignment="1">
      <alignment horizontal="center"/>
    </xf>
    <xf numFmtId="189" fontId="2" fillId="0" borderId="32" xfId="68" applyNumberFormat="1" applyFont="1" applyFill="1" applyBorder="1" applyAlignment="1">
      <alignment horizontal="center"/>
    </xf>
    <xf numFmtId="189" fontId="2" fillId="0" borderId="11" xfId="68" applyNumberFormat="1" applyFont="1" applyFill="1" applyBorder="1" applyAlignment="1">
      <alignment horizontal="center"/>
    </xf>
    <xf numFmtId="189" fontId="2" fillId="0" borderId="27" xfId="68" applyNumberFormat="1" applyFont="1" applyFill="1" applyBorder="1" applyAlignment="1">
      <alignment horizontal="center"/>
    </xf>
    <xf numFmtId="178" fontId="0" fillId="0" borderId="40" xfId="0" applyNumberFormat="1" applyBorder="1"/>
    <xf numFmtId="178" fontId="0" fillId="0" borderId="35" xfId="0" applyNumberFormat="1" applyBorder="1"/>
    <xf numFmtId="178" fontId="17" fillId="0" borderId="56" xfId="0" applyNumberFormat="1" applyFont="1" applyBorder="1" applyAlignment="1">
      <alignment horizontal="center"/>
    </xf>
    <xf numFmtId="193" fontId="0" fillId="0" borderId="40" xfId="68" applyNumberFormat="1" applyFont="1" applyBorder="1" applyAlignment="1">
      <alignment horizontal="center"/>
    </xf>
    <xf numFmtId="193" fontId="0" fillId="0" borderId="35" xfId="0" applyNumberFormat="1" applyBorder="1" applyAlignment="1">
      <alignment horizontal="center"/>
    </xf>
    <xf numFmtId="178" fontId="17" fillId="0" borderId="10" xfId="0" applyNumberFormat="1" applyFont="1" applyBorder="1" applyAlignment="1">
      <alignment horizontal="center"/>
    </xf>
    <xf numFmtId="2" fontId="2" fillId="0" borderId="40" xfId="0" applyNumberFormat="1" applyFont="1" applyBorder="1" applyAlignment="1">
      <alignment horizontal="center"/>
    </xf>
    <xf numFmtId="2" fontId="2" fillId="0" borderId="77" xfId="0" applyNumberFormat="1" applyFont="1" applyBorder="1" applyAlignment="1">
      <alignment horizontal="center"/>
    </xf>
    <xf numFmtId="4" fontId="0" fillId="0" borderId="77" xfId="68" applyNumberFormat="1" applyFont="1" applyBorder="1" applyAlignment="1">
      <alignment horizontal="center"/>
    </xf>
    <xf numFmtId="10" fontId="2" fillId="0" borderId="74" xfId="220" applyNumberFormat="1" applyFont="1" applyFill="1" applyBorder="1" applyAlignment="1">
      <alignment horizontal="center"/>
    </xf>
    <xf numFmtId="10" fontId="2" fillId="0" borderId="28" xfId="220" applyNumberFormat="1" applyFont="1" applyFill="1" applyBorder="1" applyAlignment="1">
      <alignment horizontal="center"/>
    </xf>
    <xf numFmtId="189" fontId="2" fillId="0" borderId="74" xfId="68" applyNumberFormat="1" applyFont="1" applyFill="1" applyBorder="1" applyAlignment="1">
      <alignment horizontal="center"/>
    </xf>
    <xf numFmtId="189" fontId="2" fillId="0" borderId="14" xfId="68" applyNumberFormat="1" applyFont="1" applyFill="1" applyBorder="1" applyAlignment="1">
      <alignment horizontal="center"/>
    </xf>
    <xf numFmtId="189" fontId="2" fillId="0" borderId="28" xfId="68" applyNumberFormat="1" applyFont="1" applyFill="1" applyBorder="1" applyAlignment="1">
      <alignment horizontal="center"/>
    </xf>
    <xf numFmtId="170" fontId="0" fillId="0" borderId="11" xfId="220" applyNumberFormat="1" applyFont="1" applyBorder="1"/>
    <xf numFmtId="0" fontId="12" fillId="63" borderId="7" xfId="0" applyFont="1" applyFill="1" applyBorder="1"/>
    <xf numFmtId="0" fontId="11" fillId="63" borderId="8" xfId="0" applyFont="1" applyFill="1" applyBorder="1"/>
    <xf numFmtId="0" fontId="8" fillId="63" borderId="8" xfId="0" applyFont="1" applyFill="1" applyBorder="1"/>
    <xf numFmtId="0" fontId="2" fillId="63" borderId="8" xfId="0" applyFont="1" applyFill="1" applyBorder="1" applyAlignment="1">
      <alignment horizontal="center"/>
    </xf>
    <xf numFmtId="0" fontId="2" fillId="63" borderId="8" xfId="0" applyFont="1" applyFill="1" applyBorder="1" applyAlignment="1">
      <alignment horizontal="left"/>
    </xf>
    <xf numFmtId="0" fontId="2" fillId="63" borderId="9" xfId="0" applyFont="1" applyFill="1" applyBorder="1" applyAlignment="1">
      <alignment horizontal="center"/>
    </xf>
    <xf numFmtId="0" fontId="2" fillId="63" borderId="10" xfId="0" applyFont="1" applyFill="1" applyBorder="1"/>
    <xf numFmtId="0" fontId="8" fillId="63" borderId="0" xfId="0" applyFont="1" applyFill="1" applyBorder="1"/>
    <xf numFmtId="0" fontId="2" fillId="63" borderId="0" xfId="0" applyFont="1" applyFill="1" applyBorder="1"/>
    <xf numFmtId="0" fontId="2" fillId="63" borderId="12" xfId="0" applyFont="1" applyFill="1" applyBorder="1" applyAlignment="1">
      <alignment horizontal="left"/>
    </xf>
    <xf numFmtId="0" fontId="26" fillId="63" borderId="0" xfId="0" applyFont="1" applyFill="1" applyBorder="1" applyAlignment="1">
      <alignment horizontal="center" vertical="center"/>
    </xf>
    <xf numFmtId="0" fontId="26" fillId="63" borderId="0" xfId="0" applyFont="1" applyFill="1" applyBorder="1" applyAlignment="1">
      <alignment horizontal="left" vertical="center"/>
    </xf>
    <xf numFmtId="0" fontId="2" fillId="63" borderId="12" xfId="0" applyFont="1" applyFill="1" applyBorder="1" applyAlignment="1">
      <alignment horizontal="center"/>
    </xf>
    <xf numFmtId="44" fontId="2" fillId="0" borderId="11" xfId="81" applyFont="1" applyFill="1" applyBorder="1"/>
    <xf numFmtId="0" fontId="26" fillId="5" borderId="12" xfId="0" applyFont="1" applyFill="1" applyBorder="1" applyAlignment="1">
      <alignment horizontal="center" vertical="center"/>
    </xf>
    <xf numFmtId="0" fontId="132" fillId="5" borderId="0" xfId="0" applyFont="1" applyFill="1" applyBorder="1"/>
    <xf numFmtId="0" fontId="2" fillId="63" borderId="0" xfId="0" applyFont="1" applyFill="1"/>
    <xf numFmtId="0" fontId="2" fillId="63" borderId="0" xfId="0" applyFont="1" applyFill="1" applyAlignment="1">
      <alignment horizontal="left"/>
    </xf>
    <xf numFmtId="185" fontId="2" fillId="0" borderId="11" xfId="68" applyNumberFormat="1" applyFont="1" applyFill="1" applyBorder="1"/>
    <xf numFmtId="0" fontId="8" fillId="63" borderId="53" xfId="0" applyFont="1" applyFill="1" applyBorder="1"/>
    <xf numFmtId="178" fontId="17" fillId="0" borderId="25" xfId="0" applyNumberFormat="1" applyFont="1" applyBorder="1" applyAlignment="1">
      <alignment horizontal="center"/>
    </xf>
    <xf numFmtId="2" fontId="2" fillId="0" borderId="41" xfId="0" applyNumberFormat="1" applyFont="1" applyBorder="1" applyAlignment="1">
      <alignment horizontal="center"/>
    </xf>
    <xf numFmtId="2" fontId="2" fillId="0" borderId="29" xfId="0" applyNumberFormat="1" applyFont="1" applyBorder="1" applyAlignment="1">
      <alignment horizontal="center"/>
    </xf>
    <xf numFmtId="4" fontId="0" fillId="0" borderId="29" xfId="68" applyNumberFormat="1" applyFont="1" applyBorder="1" applyAlignment="1">
      <alignment horizontal="center"/>
    </xf>
    <xf numFmtId="1" fontId="2" fillId="64" borderId="11" xfId="81" applyNumberFormat="1" applyFont="1" applyFill="1" applyBorder="1"/>
    <xf numFmtId="44" fontId="2" fillId="9" borderId="11" xfId="81" applyFont="1" applyFill="1" applyBorder="1"/>
    <xf numFmtId="2" fontId="2" fillId="64" borderId="11" xfId="81" applyNumberFormat="1" applyFont="1" applyFill="1" applyBorder="1"/>
    <xf numFmtId="182" fontId="2" fillId="0" borderId="70" xfId="68" applyNumberFormat="1" applyFont="1" applyFill="1" applyBorder="1" applyAlignment="1">
      <alignment horizontal="center"/>
    </xf>
    <xf numFmtId="182" fontId="2" fillId="0" borderId="16" xfId="68" applyNumberFormat="1" applyFont="1" applyFill="1" applyBorder="1" applyAlignment="1">
      <alignment horizontal="center"/>
    </xf>
    <xf numFmtId="176" fontId="2" fillId="9" borderId="73" xfId="81" applyNumberFormat="1" applyFont="1" applyFill="1" applyBorder="1" applyAlignment="1"/>
    <xf numFmtId="176" fontId="2" fillId="9" borderId="62" xfId="81" applyNumberFormat="1" applyFont="1" applyFill="1" applyBorder="1" applyAlignment="1"/>
    <xf numFmtId="176" fontId="2" fillId="9" borderId="57" xfId="81" applyNumberFormat="1" applyFont="1" applyFill="1" applyBorder="1" applyAlignment="1"/>
    <xf numFmtId="9" fontId="2" fillId="0" borderId="11" xfId="220" applyFont="1" applyFill="1" applyBorder="1" applyAlignment="1">
      <alignment horizontal="right" vertical="center"/>
    </xf>
    <xf numFmtId="178" fontId="0" fillId="0" borderId="41" xfId="0" applyNumberFormat="1" applyBorder="1"/>
    <xf numFmtId="178" fontId="0" fillId="0" borderId="30" xfId="0" applyNumberFormat="1" applyBorder="1"/>
    <xf numFmtId="170" fontId="2" fillId="0" borderId="11" xfId="220" applyNumberFormat="1" applyFont="1" applyFill="1" applyBorder="1"/>
    <xf numFmtId="9" fontId="52" fillId="0" borderId="0" xfId="220" applyFont="1" applyAlignment="1">
      <alignment horizontal="left"/>
    </xf>
    <xf numFmtId="182" fontId="2" fillId="0" borderId="62" xfId="68" applyNumberFormat="1" applyFont="1" applyFill="1" applyBorder="1" applyAlignment="1">
      <alignment horizontal="center"/>
    </xf>
    <xf numFmtId="182" fontId="2" fillId="0" borderId="57" xfId="68" applyNumberFormat="1" applyFont="1" applyFill="1" applyBorder="1" applyAlignment="1">
      <alignment horizontal="center"/>
    </xf>
    <xf numFmtId="182" fontId="2" fillId="0" borderId="14" xfId="68" applyNumberFormat="1" applyFont="1" applyFill="1" applyBorder="1" applyAlignment="1">
      <alignment horizontal="center"/>
    </xf>
    <xf numFmtId="182" fontId="2" fillId="0" borderId="28" xfId="68" applyNumberFormat="1" applyFont="1" applyFill="1" applyBorder="1" applyAlignment="1">
      <alignment horizontal="center"/>
    </xf>
    <xf numFmtId="0" fontId="133" fillId="65" borderId="10" xfId="0" applyFont="1" applyFill="1" applyBorder="1"/>
    <xf numFmtId="176" fontId="133" fillId="66" borderId="12" xfId="0" applyNumberFormat="1" applyFont="1" applyFill="1" applyBorder="1" applyAlignment="1">
      <alignment horizontal="center"/>
    </xf>
    <xf numFmtId="44" fontId="2" fillId="64" borderId="11" xfId="81" applyFont="1" applyFill="1" applyBorder="1"/>
    <xf numFmtId="178" fontId="17" fillId="0" borderId="10" xfId="0" applyNumberFormat="1" applyFont="1" applyBorder="1" applyAlignment="1">
      <alignment horizontal="left"/>
    </xf>
    <xf numFmtId="9" fontId="2" fillId="0" borderId="40" xfId="220" applyFont="1" applyBorder="1" applyAlignment="1">
      <alignment horizontal="center"/>
    </xf>
    <xf numFmtId="9" fontId="2" fillId="0" borderId="77" xfId="220" applyFont="1" applyBorder="1" applyAlignment="1">
      <alignment horizontal="center"/>
    </xf>
    <xf numFmtId="9" fontId="2" fillId="0" borderId="12" xfId="220" applyFont="1" applyBorder="1" applyAlignment="1">
      <alignment horizontal="center"/>
    </xf>
    <xf numFmtId="9" fontId="2" fillId="3" borderId="77" xfId="220" quotePrefix="1" applyFont="1" applyFill="1" applyBorder="1" applyAlignment="1">
      <alignment horizontal="center"/>
    </xf>
    <xf numFmtId="9" fontId="2" fillId="3" borderId="12" xfId="220" quotePrefix="1" applyFont="1" applyFill="1" applyBorder="1" applyAlignment="1">
      <alignment horizontal="center"/>
    </xf>
    <xf numFmtId="0" fontId="2" fillId="63" borderId="12" xfId="0" applyFont="1" applyFill="1" applyBorder="1"/>
    <xf numFmtId="178" fontId="17" fillId="0" borderId="25" xfId="0" applyNumberFormat="1" applyFont="1" applyBorder="1" applyAlignment="1">
      <alignment horizontal="left"/>
    </xf>
    <xf numFmtId="9" fontId="2" fillId="0" borderId="41" xfId="220" applyFont="1" applyBorder="1" applyAlignment="1">
      <alignment horizontal="center"/>
    </xf>
    <xf numFmtId="9" fontId="2" fillId="3" borderId="29" xfId="220" quotePrefix="1" applyFont="1" applyFill="1" applyBorder="1" applyAlignment="1">
      <alignment horizontal="center"/>
    </xf>
    <xf numFmtId="9" fontId="2" fillId="3" borderId="26" xfId="220" quotePrefix="1" applyFont="1" applyFill="1" applyBorder="1" applyAlignment="1">
      <alignment horizontal="center"/>
    </xf>
    <xf numFmtId="0" fontId="2" fillId="63" borderId="0" xfId="0" applyFont="1" applyFill="1" applyBorder="1" applyAlignment="1"/>
    <xf numFmtId="10" fontId="52" fillId="0" borderId="0" xfId="220" applyNumberFormat="1" applyFont="1" applyFill="1" applyBorder="1" applyAlignment="1">
      <alignment horizontal="left"/>
    </xf>
    <xf numFmtId="10" fontId="2" fillId="0" borderId="11" xfId="81" applyNumberFormat="1" applyFont="1" applyFill="1" applyBorder="1"/>
    <xf numFmtId="0" fontId="52" fillId="0" borderId="0" xfId="220" applyNumberFormat="1" applyFont="1" applyAlignment="1">
      <alignment horizontal="left"/>
    </xf>
    <xf numFmtId="43" fontId="2" fillId="64" borderId="11" xfId="68" applyNumberFormat="1" applyFont="1" applyFill="1" applyBorder="1"/>
    <xf numFmtId="0" fontId="8" fillId="63" borderId="32" xfId="0" applyFont="1" applyFill="1" applyBorder="1"/>
    <xf numFmtId="182" fontId="2" fillId="0" borderId="11" xfId="68" applyNumberFormat="1" applyFont="1" applyFill="1" applyBorder="1" applyAlignment="1">
      <alignment horizontal="center"/>
    </xf>
    <xf numFmtId="182" fontId="2" fillId="0" borderId="27" xfId="68" applyNumberFormat="1" applyFont="1" applyFill="1" applyBorder="1" applyAlignment="1">
      <alignment horizontal="center"/>
    </xf>
    <xf numFmtId="179" fontId="2" fillId="0" borderId="11" xfId="81" applyNumberFormat="1" applyFont="1" applyFill="1" applyBorder="1"/>
    <xf numFmtId="182" fontId="2" fillId="0" borderId="0" xfId="68" applyNumberFormat="1" applyFont="1" applyFill="1" applyBorder="1" applyAlignment="1">
      <alignment horizontal="center"/>
    </xf>
    <xf numFmtId="0" fontId="52" fillId="63" borderId="0" xfId="0" applyFont="1" applyFill="1" applyBorder="1"/>
    <xf numFmtId="0" fontId="2" fillId="63" borderId="0" xfId="0" applyFont="1" applyFill="1" applyBorder="1" applyAlignment="1">
      <alignment horizontal="left"/>
    </xf>
    <xf numFmtId="0" fontId="2" fillId="0" borderId="0" xfId="0" applyFont="1" applyFill="1" applyBorder="1" applyAlignment="1">
      <alignment horizontal="centerContinuous"/>
    </xf>
    <xf numFmtId="0" fontId="2" fillId="0" borderId="21" xfId="0" applyFont="1" applyFill="1" applyBorder="1" applyAlignment="1"/>
    <xf numFmtId="0" fontId="8" fillId="5" borderId="3" xfId="0" quotePrefix="1" applyFont="1" applyFill="1" applyBorder="1" applyAlignment="1">
      <alignment horizontal="left" vertical="center"/>
    </xf>
    <xf numFmtId="0" fontId="28" fillId="5" borderId="3" xfId="0" quotePrefix="1" applyFont="1" applyFill="1" applyBorder="1" applyAlignment="1">
      <alignment horizontal="left" vertical="center"/>
    </xf>
    <xf numFmtId="0" fontId="0" fillId="5" borderId="3" xfId="0" applyFill="1" applyBorder="1" applyAlignment="1"/>
    <xf numFmtId="0" fontId="11" fillId="0" borderId="0" xfId="0" applyFont="1" applyFill="1" applyBorder="1" applyAlignment="1">
      <alignment horizontal="centerContinuous"/>
    </xf>
    <xf numFmtId="196" fontId="2" fillId="0" borderId="11" xfId="68" applyNumberFormat="1" applyFont="1" applyFill="1" applyBorder="1"/>
    <xf numFmtId="0" fontId="2" fillId="0" borderId="0" xfId="0" applyFont="1" applyFill="1" applyBorder="1" applyAlignment="1">
      <alignment horizontal="center"/>
    </xf>
    <xf numFmtId="0" fontId="2" fillId="0" borderId="0" xfId="0" applyFont="1" applyFill="1" applyBorder="1" applyAlignment="1">
      <alignment horizontal="left"/>
    </xf>
    <xf numFmtId="196" fontId="2" fillId="0" borderId="11" xfId="220" applyNumberFormat="1" applyFont="1" applyFill="1" applyBorder="1"/>
    <xf numFmtId="0" fontId="2" fillId="63" borderId="55" xfId="0" applyFont="1" applyFill="1" applyBorder="1"/>
    <xf numFmtId="0" fontId="2" fillId="63" borderId="7" xfId="0" applyFont="1" applyFill="1" applyBorder="1"/>
    <xf numFmtId="0" fontId="2" fillId="63" borderId="9" xfId="0" applyFont="1" applyFill="1" applyBorder="1"/>
    <xf numFmtId="0" fontId="14" fillId="63" borderId="58" xfId="0" applyFont="1" applyFill="1" applyBorder="1" applyAlignment="1">
      <alignment horizontal="centerContinuous"/>
    </xf>
    <xf numFmtId="0" fontId="14" fillId="63" borderId="62" xfId="0" applyFont="1" applyFill="1" applyBorder="1" applyAlignment="1">
      <alignment horizontal="centerContinuous"/>
    </xf>
    <xf numFmtId="0" fontId="2" fillId="63" borderId="72" xfId="0" applyFont="1" applyFill="1" applyBorder="1"/>
    <xf numFmtId="0" fontId="14" fillId="63" borderId="44" xfId="0" applyFont="1" applyFill="1" applyBorder="1" applyAlignment="1">
      <alignment horizontal="left" wrapText="1"/>
    </xf>
    <xf numFmtId="0" fontId="14" fillId="63" borderId="25" xfId="0" applyFont="1" applyFill="1" applyBorder="1" applyAlignment="1">
      <alignment horizontal="left"/>
    </xf>
    <xf numFmtId="0" fontId="14" fillId="63" borderId="26" xfId="0" applyFont="1" applyFill="1" applyBorder="1" applyAlignment="1">
      <alignment horizontal="left"/>
    </xf>
    <xf numFmtId="0" fontId="14" fillId="63" borderId="41" xfId="0" applyFont="1" applyFill="1" applyBorder="1" applyAlignment="1">
      <alignment horizontal="center" vertical="center" wrapText="1"/>
    </xf>
    <xf numFmtId="0" fontId="14" fillId="63" borderId="29" xfId="0" applyFont="1" applyFill="1" applyBorder="1" applyAlignment="1">
      <alignment horizontal="center" vertical="center" wrapText="1"/>
    </xf>
    <xf numFmtId="0" fontId="14" fillId="63" borderId="30" xfId="0" applyFont="1" applyFill="1" applyBorder="1" applyAlignment="1">
      <alignment horizontal="center" vertical="center"/>
    </xf>
    <xf numFmtId="10" fontId="2" fillId="0" borderId="58" xfId="220" applyNumberFormat="1" applyFont="1" applyFill="1" applyBorder="1" applyAlignment="1">
      <alignment horizontal="center"/>
    </xf>
    <xf numFmtId="10" fontId="2" fillId="0" borderId="62" xfId="220" applyNumberFormat="1" applyFont="1" applyFill="1" applyBorder="1" applyAlignment="1">
      <alignment horizontal="center"/>
    </xf>
    <xf numFmtId="170" fontId="2" fillId="0" borderId="75" xfId="220" applyNumberFormat="1" applyFont="1" applyFill="1" applyBorder="1" applyAlignment="1"/>
    <xf numFmtId="0" fontId="2" fillId="0" borderId="84" xfId="0" applyFont="1" applyFill="1" applyBorder="1"/>
    <xf numFmtId="0" fontId="2" fillId="0" borderId="37" xfId="0" applyFont="1" applyBorder="1"/>
    <xf numFmtId="170" fontId="2" fillId="0" borderId="58" xfId="220" applyNumberFormat="1" applyFont="1" applyFill="1" applyBorder="1" applyAlignment="1">
      <alignment horizontal="center" vertical="center"/>
    </xf>
    <xf numFmtId="170" fontId="2" fillId="0" borderId="62" xfId="220" applyNumberFormat="1" applyFont="1" applyFill="1" applyBorder="1" applyAlignment="1">
      <alignment horizontal="center" vertical="center"/>
    </xf>
    <xf numFmtId="170" fontId="2" fillId="0" borderId="57" xfId="220" applyNumberFormat="1" applyFont="1" applyFill="1" applyBorder="1" applyAlignment="1">
      <alignment horizontal="center" vertical="center"/>
    </xf>
    <xf numFmtId="10" fontId="2" fillId="0" borderId="59" xfId="220" applyNumberFormat="1" applyFont="1" applyFill="1" applyBorder="1" applyAlignment="1">
      <alignment horizontal="center"/>
    </xf>
    <xf numFmtId="10" fontId="2" fillId="0" borderId="11" xfId="220" applyNumberFormat="1" applyFont="1" applyFill="1" applyBorder="1" applyAlignment="1">
      <alignment horizontal="center"/>
    </xf>
    <xf numFmtId="10" fontId="2" fillId="0" borderId="51" xfId="220" applyNumberFormat="1" applyFont="1" applyFill="1" applyBorder="1" applyAlignment="1"/>
    <xf numFmtId="0" fontId="2" fillId="0" borderId="68" xfId="0" applyFont="1" applyFill="1" applyBorder="1"/>
    <xf numFmtId="0" fontId="2" fillId="0" borderId="85" xfId="0" applyFont="1" applyBorder="1"/>
    <xf numFmtId="170" fontId="2" fillId="0" borderId="60" xfId="220" applyNumberFormat="1" applyFont="1" applyFill="1" applyBorder="1" applyAlignment="1">
      <alignment horizontal="center" vertical="center"/>
    </xf>
    <xf numFmtId="170" fontId="2" fillId="0" borderId="14" xfId="220" applyNumberFormat="1" applyFont="1" applyFill="1" applyBorder="1" applyAlignment="1">
      <alignment horizontal="center" vertical="center"/>
    </xf>
    <xf numFmtId="170" fontId="2" fillId="0" borderId="28" xfId="220" applyNumberFormat="1" applyFont="1" applyFill="1" applyBorder="1" applyAlignment="1">
      <alignment horizontal="center" vertical="center"/>
    </xf>
    <xf numFmtId="10" fontId="2" fillId="0" borderId="60" xfId="220" applyNumberFormat="1" applyFont="1" applyFill="1" applyBorder="1" applyAlignment="1">
      <alignment horizontal="center"/>
    </xf>
    <xf numFmtId="10" fontId="2" fillId="0" borderId="14" xfId="220" applyNumberFormat="1" applyFont="1" applyFill="1" applyBorder="1" applyAlignment="1">
      <alignment horizontal="center"/>
    </xf>
    <xf numFmtId="10" fontId="2" fillId="0" borderId="8" xfId="220" applyNumberFormat="1" applyFont="1" applyFill="1" applyBorder="1" applyAlignment="1">
      <alignment horizontal="center"/>
    </xf>
    <xf numFmtId="170" fontId="2" fillId="0" borderId="8" xfId="220" applyNumberFormat="1" applyFont="1" applyFill="1" applyBorder="1" applyAlignment="1">
      <alignment horizontal="center" vertical="center"/>
    </xf>
    <xf numFmtId="178" fontId="17" fillId="0" borderId="44" xfId="0" applyNumberFormat="1" applyFont="1" applyBorder="1" applyAlignment="1">
      <alignment horizontal="center"/>
    </xf>
    <xf numFmtId="193" fontId="0" fillId="0" borderId="41" xfId="68" applyNumberFormat="1" applyFont="1" applyBorder="1" applyAlignment="1">
      <alignment horizontal="center"/>
    </xf>
    <xf numFmtId="193" fontId="0" fillId="0" borderId="30" xfId="0" applyNumberFormat="1" applyBorder="1" applyAlignment="1">
      <alignment horizontal="center"/>
    </xf>
    <xf numFmtId="43" fontId="2" fillId="64" borderId="11" xfId="68" applyFont="1" applyFill="1" applyBorder="1"/>
    <xf numFmtId="0" fontId="8" fillId="65" borderId="10" xfId="0" applyFont="1" applyFill="1" applyBorder="1"/>
    <xf numFmtId="9" fontId="2" fillId="64" borderId="11" xfId="220" applyFont="1" applyFill="1" applyBorder="1"/>
    <xf numFmtId="0" fontId="134" fillId="63" borderId="12" xfId="0" applyFont="1" applyFill="1" applyBorder="1"/>
    <xf numFmtId="0" fontId="133" fillId="65" borderId="0" xfId="0" applyFont="1" applyFill="1" applyBorder="1"/>
    <xf numFmtId="0" fontId="134" fillId="65" borderId="0" xfId="0" applyFont="1" applyFill="1" applyBorder="1"/>
    <xf numFmtId="0" fontId="134" fillId="63" borderId="0" xfId="0" applyFont="1" applyFill="1" applyBorder="1" applyAlignment="1">
      <alignment horizontal="left"/>
    </xf>
    <xf numFmtId="170" fontId="2" fillId="0" borderId="55" xfId="220" applyNumberFormat="1" applyFont="1" applyFill="1" applyBorder="1" applyAlignment="1"/>
    <xf numFmtId="0" fontId="2" fillId="0" borderId="15" xfId="0" applyFont="1" applyBorder="1"/>
    <xf numFmtId="2" fontId="2" fillId="0" borderId="58" xfId="220" applyNumberFormat="1" applyFont="1" applyFill="1" applyBorder="1" applyAlignment="1">
      <alignment horizontal="center" vertical="center"/>
    </xf>
    <xf numFmtId="2" fontId="2" fillId="0" borderId="62" xfId="220" applyNumberFormat="1" applyFont="1" applyFill="1" applyBorder="1" applyAlignment="1">
      <alignment horizontal="center" vertical="center"/>
    </xf>
    <xf numFmtId="2" fontId="2" fillId="0" borderId="57" xfId="220" applyNumberFormat="1" applyFont="1" applyFill="1" applyBorder="1" applyAlignment="1">
      <alignment horizontal="center" vertical="center"/>
    </xf>
    <xf numFmtId="181" fontId="2" fillId="0" borderId="11" xfId="81" applyNumberFormat="1" applyFont="1" applyFill="1" applyBorder="1" applyAlignment="1">
      <alignment horizontal="center"/>
    </xf>
    <xf numFmtId="170" fontId="2" fillId="0" borderId="44" xfId="220" applyNumberFormat="1" applyFont="1" applyFill="1" applyBorder="1" applyAlignment="1"/>
    <xf numFmtId="0" fontId="2" fillId="0" borderId="69" xfId="0" applyFont="1" applyBorder="1"/>
    <xf numFmtId="2" fontId="2" fillId="0" borderId="60" xfId="220" applyNumberFormat="1" applyFont="1" applyFill="1" applyBorder="1" applyAlignment="1">
      <alignment horizontal="center" vertical="center"/>
    </xf>
    <xf numFmtId="2" fontId="2" fillId="0" borderId="14" xfId="220" applyNumberFormat="1" applyFont="1" applyFill="1" applyBorder="1" applyAlignment="1">
      <alignment horizontal="center" vertical="center"/>
    </xf>
    <xf numFmtId="2" fontId="2" fillId="0" borderId="28" xfId="220" applyNumberFormat="1" applyFont="1" applyFill="1" applyBorder="1" applyAlignment="1">
      <alignment horizontal="center" vertical="center"/>
    </xf>
    <xf numFmtId="170" fontId="2" fillId="67" borderId="11" xfId="68" applyNumberFormat="1" applyFont="1" applyFill="1" applyBorder="1"/>
    <xf numFmtId="10" fontId="2" fillId="0" borderId="55" xfId="220" applyNumberFormat="1" applyFont="1" applyFill="1" applyBorder="1" applyAlignment="1"/>
    <xf numFmtId="10" fontId="2" fillId="0" borderId="44" xfId="220" applyNumberFormat="1" applyFont="1" applyFill="1" applyBorder="1" applyAlignment="1"/>
    <xf numFmtId="181" fontId="0" fillId="0" borderId="11" xfId="81" applyNumberFormat="1" applyFont="1" applyFill="1" applyBorder="1" applyAlignment="1">
      <alignment horizontal="center"/>
    </xf>
    <xf numFmtId="176" fontId="2" fillId="9" borderId="58" xfId="81" applyNumberFormat="1" applyFont="1" applyFill="1" applyBorder="1" applyAlignment="1"/>
    <xf numFmtId="170" fontId="0" fillId="0" borderId="62" xfId="220" applyNumberFormat="1" applyFont="1" applyBorder="1" applyAlignment="1">
      <alignment horizontal="center"/>
    </xf>
    <xf numFmtId="170" fontId="0" fillId="0" borderId="57" xfId="220" applyNumberFormat="1" applyFont="1" applyBorder="1" applyAlignment="1">
      <alignment horizontal="center"/>
    </xf>
    <xf numFmtId="176" fontId="2" fillId="9" borderId="59" xfId="81" applyNumberFormat="1" applyFont="1" applyFill="1" applyBorder="1" applyAlignment="1"/>
    <xf numFmtId="176" fontId="2" fillId="9" borderId="11" xfId="81" applyNumberFormat="1" applyFont="1" applyFill="1" applyBorder="1" applyAlignment="1"/>
    <xf numFmtId="176" fontId="2" fillId="9" borderId="27" xfId="81" applyNumberFormat="1" applyFont="1" applyFill="1" applyBorder="1" applyAlignment="1"/>
    <xf numFmtId="170" fontId="0" fillId="0" borderId="11" xfId="220" applyNumberFormat="1" applyFont="1" applyBorder="1" applyAlignment="1">
      <alignment horizontal="center"/>
    </xf>
    <xf numFmtId="170" fontId="0" fillId="0" borderId="27" xfId="220" applyNumberFormat="1" applyFont="1" applyBorder="1" applyAlignment="1">
      <alignment horizontal="center"/>
    </xf>
    <xf numFmtId="176" fontId="2" fillId="9" borderId="60" xfId="81" applyNumberFormat="1" applyFont="1" applyFill="1" applyBorder="1" applyAlignment="1"/>
    <xf numFmtId="176" fontId="2" fillId="9" borderId="14" xfId="81" applyNumberFormat="1" applyFont="1" applyFill="1" applyBorder="1" applyAlignment="1"/>
    <xf numFmtId="176" fontId="2" fillId="9" borderId="28" xfId="81" applyNumberFormat="1" applyFont="1" applyFill="1" applyBorder="1" applyAlignment="1"/>
    <xf numFmtId="170" fontId="0" fillId="0" borderId="14" xfId="220" applyNumberFormat="1" applyFont="1" applyBorder="1" applyAlignment="1">
      <alignment horizontal="center"/>
    </xf>
    <xf numFmtId="170" fontId="0" fillId="0" borderId="28" xfId="220" applyNumberFormat="1" applyFont="1" applyBorder="1" applyAlignment="1">
      <alignment horizontal="center"/>
    </xf>
    <xf numFmtId="176" fontId="2" fillId="9" borderId="76" xfId="81" applyNumberFormat="1" applyFont="1" applyFill="1" applyBorder="1" applyAlignment="1"/>
    <xf numFmtId="176" fontId="2" fillId="9" borderId="70" xfId="81" applyNumberFormat="1" applyFont="1" applyFill="1" applyBorder="1" applyAlignment="1"/>
    <xf numFmtId="176" fontId="2" fillId="9" borderId="16" xfId="81" applyNumberFormat="1" applyFont="1" applyFill="1" applyBorder="1" applyAlignment="1"/>
    <xf numFmtId="1" fontId="2" fillId="0" borderId="11" xfId="68" applyNumberFormat="1" applyFont="1" applyFill="1" applyBorder="1"/>
    <xf numFmtId="0" fontId="133" fillId="63" borderId="25" xfId="156" applyFont="1" applyFill="1" applyBorder="1" applyAlignment="1"/>
    <xf numFmtId="0" fontId="134" fillId="63" borderId="3" xfId="156" applyFont="1" applyFill="1" applyBorder="1"/>
    <xf numFmtId="0" fontId="134" fillId="63" borderId="3" xfId="0" applyFont="1" applyFill="1" applyBorder="1" applyAlignment="1">
      <alignment horizontal="left"/>
    </xf>
    <xf numFmtId="0" fontId="133" fillId="63" borderId="26" xfId="156" applyFont="1" applyFill="1" applyBorder="1" applyAlignment="1">
      <alignment horizontal="center" wrapText="1"/>
    </xf>
    <xf numFmtId="181" fontId="2" fillId="9" borderId="11" xfId="81" applyNumberFormat="1" applyFont="1" applyFill="1" applyBorder="1"/>
    <xf numFmtId="10" fontId="2" fillId="0" borderId="56" xfId="220" applyNumberFormat="1" applyFont="1" applyFill="1" applyBorder="1" applyAlignment="1"/>
    <xf numFmtId="0" fontId="2" fillId="0" borderId="36" xfId="0" applyFont="1" applyFill="1" applyBorder="1"/>
    <xf numFmtId="0" fontId="2" fillId="0" borderId="33" xfId="0" applyFont="1" applyBorder="1"/>
    <xf numFmtId="173" fontId="2" fillId="0" borderId="81" xfId="68" applyNumberFormat="1" applyFont="1" applyFill="1" applyBorder="1" applyAlignment="1">
      <alignment horizontal="center" vertical="center"/>
    </xf>
    <xf numFmtId="173" fontId="2" fillId="0" borderId="78" xfId="68" applyNumberFormat="1" applyFont="1" applyFill="1" applyBorder="1" applyAlignment="1">
      <alignment horizontal="center" vertical="center"/>
    </xf>
    <xf numFmtId="0" fontId="2" fillId="0" borderId="66" xfId="0" applyFont="1" applyFill="1" applyBorder="1"/>
    <xf numFmtId="0" fontId="2" fillId="0" borderId="39" xfId="0" applyFont="1" applyBorder="1"/>
    <xf numFmtId="170" fontId="2" fillId="0" borderId="56" xfId="220" applyNumberFormat="1" applyFont="1" applyFill="1" applyBorder="1" applyAlignment="1"/>
    <xf numFmtId="187" fontId="2" fillId="0" borderId="11" xfId="68" applyNumberFormat="1" applyFont="1" applyFill="1" applyBorder="1"/>
    <xf numFmtId="170" fontId="2" fillId="0" borderId="86" xfId="220" applyNumberFormat="1" applyFont="1" applyFill="1" applyBorder="1" applyAlignment="1">
      <alignment horizontal="center" vertical="center"/>
    </xf>
    <xf numFmtId="0" fontId="2" fillId="0" borderId="24" xfId="0" applyFont="1" applyBorder="1" applyAlignment="1"/>
    <xf numFmtId="173" fontId="2" fillId="0" borderId="14" xfId="68" applyNumberFormat="1" applyFont="1" applyFill="1" applyBorder="1" applyAlignment="1">
      <alignment horizontal="center" vertical="center"/>
    </xf>
    <xf numFmtId="173" fontId="2" fillId="0" borderId="28" xfId="68" applyNumberFormat="1" applyFont="1" applyFill="1" applyBorder="1" applyAlignment="1">
      <alignment horizontal="center" vertical="center"/>
    </xf>
    <xf numFmtId="43" fontId="2" fillId="0" borderId="11" xfId="68" applyNumberFormat="1" applyFont="1" applyFill="1" applyBorder="1"/>
    <xf numFmtId="43" fontId="2" fillId="0" borderId="11" xfId="68" applyFont="1" applyFill="1" applyBorder="1"/>
    <xf numFmtId="43" fontId="2" fillId="0" borderId="0" xfId="0" applyNumberFormat="1" applyFont="1"/>
    <xf numFmtId="0" fontId="135" fillId="0" borderId="0" xfId="0" applyFont="1" applyBorder="1"/>
    <xf numFmtId="0" fontId="136" fillId="0" borderId="0" xfId="0" applyFont="1" applyBorder="1"/>
    <xf numFmtId="0" fontId="76" fillId="0" borderId="0" xfId="0" applyFont="1" applyBorder="1"/>
    <xf numFmtId="0" fontId="135" fillId="0" borderId="0" xfId="0" applyFont="1" applyBorder="1" applyAlignment="1">
      <alignment horizontal="center" vertical="center"/>
    </xf>
    <xf numFmtId="0" fontId="134" fillId="0" borderId="0" xfId="0" applyFont="1" applyAlignment="1"/>
    <xf numFmtId="0" fontId="135" fillId="0" borderId="0" xfId="156" applyFont="1" applyBorder="1"/>
    <xf numFmtId="0" fontId="2" fillId="0" borderId="0" xfId="156"/>
    <xf numFmtId="44" fontId="2" fillId="0" borderId="0" xfId="0" applyNumberFormat="1" applyFont="1" applyAlignment="1"/>
    <xf numFmtId="167" fontId="2" fillId="0" borderId="0" xfId="0" applyNumberFormat="1" applyFont="1" applyFill="1"/>
    <xf numFmtId="170" fontId="2" fillId="0" borderId="0" xfId="0" applyNumberFormat="1" applyFont="1" applyFill="1"/>
    <xf numFmtId="2" fontId="2" fillId="0" borderId="0" xfId="0" applyNumberFormat="1" applyFont="1" applyFill="1"/>
    <xf numFmtId="0" fontId="21" fillId="0" borderId="0" xfId="0" quotePrefix="1" applyFont="1" applyFill="1" applyBorder="1" applyAlignment="1">
      <alignment horizontal="left" vertical="center"/>
    </xf>
    <xf numFmtId="170" fontId="22" fillId="0" borderId="0" xfId="0" applyNumberFormat="1" applyFont="1" applyFill="1" applyBorder="1" applyAlignment="1" applyProtection="1">
      <alignment horizontal="right" vertical="center"/>
    </xf>
    <xf numFmtId="0" fontId="2" fillId="63" borderId="7" xfId="156" applyFont="1" applyFill="1" applyBorder="1"/>
    <xf numFmtId="0" fontId="2" fillId="63" borderId="10" xfId="156" applyFont="1" applyFill="1" applyBorder="1"/>
    <xf numFmtId="0" fontId="4" fillId="63" borderId="10" xfId="156" applyFont="1" applyFill="1" applyBorder="1" applyAlignment="1">
      <alignment vertical="center"/>
    </xf>
    <xf numFmtId="0" fontId="2" fillId="63" borderId="25" xfId="156" applyFont="1" applyFill="1" applyBorder="1"/>
    <xf numFmtId="0" fontId="2" fillId="63" borderId="8" xfId="156" applyFont="1" applyFill="1" applyBorder="1"/>
    <xf numFmtId="0" fontId="2" fillId="63" borderId="0" xfId="156" applyFont="1" applyFill="1" applyBorder="1"/>
    <xf numFmtId="0" fontId="35" fillId="5" borderId="0" xfId="156" applyFont="1" applyFill="1" applyBorder="1"/>
    <xf numFmtId="0" fontId="49" fillId="63" borderId="2" xfId="156" applyFont="1" applyFill="1" applyBorder="1" applyAlignment="1">
      <alignment horizontal="left" vertical="center"/>
    </xf>
    <xf numFmtId="0" fontId="49" fillId="63" borderId="17" xfId="156" applyFont="1" applyFill="1" applyBorder="1" applyAlignment="1">
      <alignment horizontal="left" vertical="center"/>
    </xf>
    <xf numFmtId="0" fontId="2" fillId="63" borderId="3" xfId="156" applyFont="1" applyFill="1" applyBorder="1"/>
    <xf numFmtId="0" fontId="35" fillId="63" borderId="2" xfId="156" applyFont="1" applyFill="1" applyBorder="1" applyAlignment="1">
      <alignment horizontal="left" vertical="center"/>
    </xf>
    <xf numFmtId="0" fontId="35" fillId="63" borderId="17" xfId="156" applyFont="1" applyFill="1" applyBorder="1" applyAlignment="1">
      <alignment horizontal="left" vertical="center"/>
    </xf>
    <xf numFmtId="0" fontId="35" fillId="63" borderId="53" xfId="156" applyFont="1" applyFill="1" applyBorder="1" applyAlignment="1">
      <alignment horizontal="left" vertical="center"/>
    </xf>
    <xf numFmtId="0" fontId="35" fillId="63" borderId="32" xfId="156" applyFont="1" applyFill="1" applyBorder="1" applyAlignment="1">
      <alignment horizontal="left" vertical="center"/>
    </xf>
    <xf numFmtId="0" fontId="138" fillId="63" borderId="8" xfId="156" applyFont="1" applyFill="1" applyBorder="1" applyAlignment="1">
      <alignment horizontal="centerContinuous"/>
    </xf>
    <xf numFmtId="0" fontId="60" fillId="63" borderId="0" xfId="156" applyFont="1" applyFill="1" applyBorder="1" applyAlignment="1">
      <alignment horizontal="center"/>
    </xf>
    <xf numFmtId="3" fontId="22" fillId="0" borderId="11" xfId="156" applyNumberFormat="1" applyFont="1" applyFill="1" applyBorder="1" applyAlignment="1" applyProtection="1">
      <alignment horizontal="right" vertical="center"/>
    </xf>
    <xf numFmtId="0" fontId="2" fillId="63" borderId="8" xfId="156" applyFont="1" applyFill="1" applyBorder="1" applyAlignment="1">
      <alignment horizontal="centerContinuous"/>
    </xf>
    <xf numFmtId="169" fontId="22" fillId="0" borderId="11" xfId="156" applyNumberFormat="1" applyFont="1" applyFill="1" applyBorder="1" applyAlignment="1" applyProtection="1">
      <alignment horizontal="right" vertical="center"/>
    </xf>
    <xf numFmtId="169" fontId="22" fillId="63" borderId="64" xfId="156" applyNumberFormat="1" applyFont="1" applyFill="1" applyBorder="1" applyAlignment="1" applyProtection="1">
      <alignment horizontal="right" vertical="center"/>
    </xf>
    <xf numFmtId="169" fontId="22" fillId="63" borderId="17" xfId="156" applyNumberFormat="1" applyFont="1" applyFill="1" applyBorder="1" applyAlignment="1" applyProtection="1">
      <alignment horizontal="right" vertical="center"/>
    </xf>
    <xf numFmtId="0" fontId="2" fillId="63" borderId="9" xfId="156" applyFont="1" applyFill="1" applyBorder="1"/>
    <xf numFmtId="0" fontId="2" fillId="63" borderId="12" xfId="156" applyFont="1" applyFill="1" applyBorder="1"/>
    <xf numFmtId="0" fontId="2" fillId="63" borderId="26" xfId="156" applyFont="1" applyFill="1" applyBorder="1"/>
    <xf numFmtId="5" fontId="2" fillId="0" borderId="0" xfId="0" applyNumberFormat="1" applyFont="1"/>
    <xf numFmtId="5" fontId="2" fillId="0" borderId="0" xfId="0" applyNumberFormat="1" applyFont="1" applyAlignment="1">
      <alignment horizontal="center"/>
    </xf>
    <xf numFmtId="5" fontId="2" fillId="0" borderId="13" xfId="67" applyNumberFormat="1" applyFont="1" applyFill="1" applyBorder="1" applyAlignment="1" applyProtection="1">
      <alignment vertical="center"/>
    </xf>
    <xf numFmtId="0" fontId="11" fillId="5" borderId="10" xfId="0" applyFont="1" applyFill="1" applyBorder="1" applyAlignment="1">
      <alignment horizontal="centerContinuous" vertical="center"/>
    </xf>
    <xf numFmtId="0" fontId="11" fillId="5" borderId="0" xfId="0" applyFont="1" applyFill="1" applyBorder="1" applyAlignment="1">
      <alignment horizontal="centerContinuous" vertical="center"/>
    </xf>
    <xf numFmtId="0" fontId="29" fillId="5" borderId="80" xfId="0" applyFont="1" applyFill="1" applyBorder="1" applyAlignment="1">
      <alignment horizontal="center" vertical="center"/>
    </xf>
    <xf numFmtId="0" fontId="29" fillId="5" borderId="97" xfId="0" applyFont="1" applyFill="1" applyBorder="1" applyAlignment="1">
      <alignment horizontal="center" vertical="center"/>
    </xf>
    <xf numFmtId="0" fontId="25" fillId="5" borderId="9" xfId="0" applyFont="1" applyFill="1" applyBorder="1" applyAlignment="1">
      <alignment horizontal="centerContinuous" vertical="center"/>
    </xf>
    <xf numFmtId="0" fontId="11" fillId="5" borderId="12" xfId="0" applyFont="1" applyFill="1" applyBorder="1" applyAlignment="1">
      <alignment horizontal="centerContinuous" vertical="center"/>
    </xf>
    <xf numFmtId="0" fontId="14" fillId="5" borderId="98" xfId="0" applyFont="1" applyFill="1" applyBorder="1" applyAlignment="1">
      <alignment horizontal="center"/>
    </xf>
    <xf numFmtId="173" fontId="0" fillId="0" borderId="80" xfId="0" applyNumberFormat="1" applyBorder="1"/>
    <xf numFmtId="173" fontId="0" fillId="0" borderId="97" xfId="0" applyNumberFormat="1" applyBorder="1"/>
    <xf numFmtId="173" fontId="0" fillId="0" borderId="72" xfId="0" applyNumberFormat="1" applyBorder="1"/>
    <xf numFmtId="37" fontId="2" fillId="0" borderId="62" xfId="67" applyNumberFormat="1" applyFont="1" applyFill="1" applyBorder="1" applyAlignment="1" applyProtection="1">
      <alignment vertical="center"/>
    </xf>
    <xf numFmtId="37" fontId="2" fillId="0" borderId="14" xfId="67" applyNumberFormat="1" applyFont="1" applyFill="1" applyBorder="1" applyAlignment="1" applyProtection="1">
      <alignment vertical="center"/>
    </xf>
    <xf numFmtId="37" fontId="2" fillId="0" borderId="57" xfId="67" applyNumberFormat="1" applyFont="1" applyFill="1" applyBorder="1" applyAlignment="1" applyProtection="1">
      <alignment vertical="center"/>
    </xf>
    <xf numFmtId="37" fontId="2" fillId="0" borderId="11" xfId="67" applyNumberFormat="1" applyFont="1" applyFill="1" applyBorder="1" applyAlignment="1" applyProtection="1">
      <alignment vertical="center"/>
    </xf>
    <xf numFmtId="37" fontId="2" fillId="0" borderId="27" xfId="67" applyNumberFormat="1" applyFont="1" applyFill="1" applyBorder="1" applyAlignment="1" applyProtection="1">
      <alignment vertical="center"/>
    </xf>
    <xf numFmtId="37" fontId="2" fillId="0" borderId="28" xfId="67" applyNumberFormat="1" applyFont="1" applyFill="1" applyBorder="1" applyAlignment="1" applyProtection="1">
      <alignment vertical="center"/>
    </xf>
    <xf numFmtId="37" fontId="23" fillId="0" borderId="70" xfId="67" applyNumberFormat="1" applyFont="1" applyFill="1" applyBorder="1" applyAlignment="1" applyProtection="1">
      <alignment vertical="center"/>
    </xf>
    <xf numFmtId="37" fontId="23" fillId="0" borderId="16" xfId="67" applyNumberFormat="1" applyFont="1" applyFill="1" applyBorder="1" applyAlignment="1" applyProtection="1">
      <alignment vertical="center"/>
    </xf>
    <xf numFmtId="37" fontId="2" fillId="0" borderId="99" xfId="67" applyNumberFormat="1" applyFont="1" applyFill="1" applyBorder="1" applyAlignment="1" applyProtection="1">
      <alignment vertical="center"/>
    </xf>
    <xf numFmtId="37" fontId="2" fillId="0" borderId="100" xfId="67" applyNumberFormat="1" applyFont="1" applyFill="1" applyBorder="1" applyAlignment="1" applyProtection="1">
      <alignment vertical="center"/>
    </xf>
    <xf numFmtId="5" fontId="2" fillId="0" borderId="62" xfId="0" applyNumberFormat="1" applyFont="1" applyBorder="1" applyAlignment="1" applyProtection="1">
      <alignment vertical="center"/>
    </xf>
    <xf numFmtId="5" fontId="2" fillId="0" borderId="14" xfId="0" applyNumberFormat="1" applyFont="1" applyBorder="1" applyAlignment="1" applyProtection="1">
      <alignment vertical="center"/>
    </xf>
    <xf numFmtId="5" fontId="2" fillId="0" borderId="11" xfId="0" applyNumberFormat="1" applyFont="1" applyBorder="1" applyAlignment="1" applyProtection="1">
      <alignment vertical="center"/>
    </xf>
    <xf numFmtId="5" fontId="23" fillId="0" borderId="76" xfId="67" applyNumberFormat="1" applyFont="1" applyFill="1" applyBorder="1" applyAlignment="1" applyProtection="1">
      <alignment vertical="center"/>
    </xf>
    <xf numFmtId="5" fontId="23" fillId="0" borderId="70" xfId="67" applyNumberFormat="1" applyFont="1" applyFill="1" applyBorder="1" applyAlignment="1" applyProtection="1">
      <alignment vertical="center"/>
    </xf>
    <xf numFmtId="0" fontId="1" fillId="5" borderId="0" xfId="0" applyFont="1" applyFill="1" applyBorder="1"/>
    <xf numFmtId="0" fontId="17" fillId="0" borderId="0" xfId="0" applyFont="1" applyFill="1" applyBorder="1" applyAlignment="1"/>
    <xf numFmtId="0" fontId="17" fillId="0" borderId="0" xfId="0" applyFont="1" applyFill="1" applyBorder="1" applyAlignment="1">
      <alignment horizontal="center"/>
    </xf>
    <xf numFmtId="2" fontId="0" fillId="0" borderId="0" xfId="0" applyNumberFormat="1" applyFill="1" applyBorder="1"/>
    <xf numFmtId="2" fontId="0" fillId="0" borderId="40" xfId="0" applyNumberFormat="1" applyFill="1" applyBorder="1"/>
    <xf numFmtId="2" fontId="0" fillId="0" borderId="41" xfId="0" applyNumberFormat="1" applyFill="1" applyBorder="1"/>
    <xf numFmtId="3" fontId="0" fillId="13" borderId="31" xfId="0" applyNumberFormat="1" applyFill="1" applyBorder="1"/>
    <xf numFmtId="3" fontId="0" fillId="13" borderId="42" xfId="0" applyNumberFormat="1" applyFill="1" applyBorder="1"/>
    <xf numFmtId="0" fontId="1" fillId="0" borderId="0" xfId="0" applyFont="1" applyFill="1" applyBorder="1"/>
    <xf numFmtId="3" fontId="1" fillId="0" borderId="0" xfId="0" applyNumberFormat="1" applyFont="1" applyFill="1" applyBorder="1"/>
    <xf numFmtId="2" fontId="1" fillId="0" borderId="0" xfId="0" applyNumberFormat="1" applyFont="1" applyFill="1" applyBorder="1" applyAlignment="1">
      <alignment horizontal="right"/>
    </xf>
    <xf numFmtId="1" fontId="1" fillId="0" borderId="11" xfId="0" applyNumberFormat="1" applyFont="1" applyFill="1" applyBorder="1"/>
    <xf numFmtId="2" fontId="1" fillId="0" borderId="0" xfId="0" applyNumberFormat="1" applyFont="1" applyFill="1" applyBorder="1"/>
    <xf numFmtId="0" fontId="2" fillId="0" borderId="21" xfId="0" applyFont="1" applyBorder="1" applyAlignment="1">
      <alignment horizontal="centerContinuous"/>
    </xf>
    <xf numFmtId="2" fontId="1" fillId="0" borderId="11" xfId="207" applyNumberFormat="1" applyFont="1" applyFill="1" applyBorder="1" applyAlignment="1">
      <alignment horizontal="right" vertical="center"/>
    </xf>
    <xf numFmtId="2" fontId="1" fillId="5" borderId="0" xfId="207" applyNumberFormat="1" applyFont="1" applyFill="1" applyBorder="1" applyAlignment="1">
      <alignment horizontal="left"/>
    </xf>
    <xf numFmtId="0" fontId="52" fillId="0" borderId="0" xfId="281" applyFont="1"/>
    <xf numFmtId="0" fontId="1" fillId="0" borderId="0" xfId="281" applyFont="1"/>
    <xf numFmtId="0" fontId="52" fillId="0" borderId="0" xfId="281" applyFont="1" applyFill="1"/>
    <xf numFmtId="0" fontId="14" fillId="0" borderId="0" xfId="281" applyFont="1"/>
    <xf numFmtId="0" fontId="52" fillId="0" borderId="0" xfId="281" applyFont="1" applyFill="1" applyBorder="1"/>
    <xf numFmtId="0" fontId="1" fillId="0" borderId="0" xfId="281" applyFont="1" applyFill="1" applyBorder="1"/>
    <xf numFmtId="0" fontId="1" fillId="0" borderId="0" xfId="281" applyFont="1" applyFill="1" applyBorder="1" applyAlignment="1">
      <alignment horizontal="centerContinuous"/>
    </xf>
    <xf numFmtId="0" fontId="140" fillId="0" borderId="0" xfId="0" applyFont="1" applyAlignment="1">
      <alignment vertical="center"/>
    </xf>
    <xf numFmtId="164" fontId="59" fillId="0" borderId="0" xfId="188" applyNumberFormat="1" applyFont="1" applyBorder="1" applyAlignment="1">
      <alignment horizontal="left" vertical="center"/>
    </xf>
    <xf numFmtId="0" fontId="0" fillId="0" borderId="80" xfId="0" applyBorder="1"/>
    <xf numFmtId="0" fontId="0" fillId="0" borderId="77" xfId="0" applyBorder="1"/>
    <xf numFmtId="173" fontId="0" fillId="0" borderId="31" xfId="0" applyNumberFormat="1" applyBorder="1"/>
    <xf numFmtId="173" fontId="0" fillId="0" borderId="42" xfId="0" applyNumberFormat="1" applyBorder="1"/>
    <xf numFmtId="173" fontId="0" fillId="0" borderId="38" xfId="0" applyNumberFormat="1" applyBorder="1"/>
    <xf numFmtId="0" fontId="1" fillId="0" borderId="0" xfId="0" applyFont="1"/>
    <xf numFmtId="0" fontId="1" fillId="0" borderId="18" xfId="0" applyFont="1" applyBorder="1"/>
    <xf numFmtId="0" fontId="1" fillId="0" borderId="6" xfId="0" applyFont="1" applyBorder="1"/>
    <xf numFmtId="0" fontId="1" fillId="0" borderId="19" xfId="0" applyFont="1" applyBorder="1"/>
    <xf numFmtId="0" fontId="1" fillId="0" borderId="20" xfId="0" applyFont="1" applyBorder="1"/>
    <xf numFmtId="0" fontId="1" fillId="0" borderId="21" xfId="0" applyFont="1" applyBorder="1"/>
    <xf numFmtId="0" fontId="51" fillId="0" borderId="0" xfId="0" applyFont="1" applyAlignment="1">
      <alignment horizontal="centerContinuous"/>
    </xf>
    <xf numFmtId="0" fontId="17" fillId="0" borderId="0" xfId="0" applyFont="1" applyAlignment="1">
      <alignment horizontal="centerContinuous"/>
    </xf>
    <xf numFmtId="0" fontId="14" fillId="5" borderId="76" xfId="0" applyFont="1" applyFill="1" applyBorder="1" applyAlignment="1">
      <alignment horizontal="center" vertical="center"/>
    </xf>
    <xf numFmtId="0" fontId="14" fillId="5" borderId="48" xfId="0" applyFont="1" applyFill="1" applyBorder="1" applyAlignment="1">
      <alignment horizontal="center" vertical="center"/>
    </xf>
    <xf numFmtId="0" fontId="1" fillId="0" borderId="76" xfId="0" applyFont="1" applyBorder="1" applyAlignment="1">
      <alignment horizontal="center"/>
    </xf>
    <xf numFmtId="0" fontId="1" fillId="0" borderId="98" xfId="0" applyFont="1" applyBorder="1" applyAlignment="1">
      <alignment horizontal="center"/>
    </xf>
    <xf numFmtId="0" fontId="1" fillId="0" borderId="16" xfId="0" applyFont="1" applyBorder="1" applyAlignment="1">
      <alignment horizontal="center"/>
    </xf>
    <xf numFmtId="0" fontId="1" fillId="0" borderId="22" xfId="0" applyFont="1" applyBorder="1"/>
    <xf numFmtId="0" fontId="1" fillId="0" borderId="23" xfId="0" applyFont="1" applyBorder="1"/>
    <xf numFmtId="0" fontId="1" fillId="0" borderId="24" xfId="0" applyFont="1" applyBorder="1"/>
    <xf numFmtId="172" fontId="1" fillId="0" borderId="0" xfId="0" applyNumberFormat="1" applyFont="1"/>
    <xf numFmtId="37" fontId="1" fillId="0" borderId="0" xfId="0" applyNumberFormat="1" applyFont="1"/>
    <xf numFmtId="164" fontId="1" fillId="0" borderId="0" xfId="0" applyNumberFormat="1" applyFont="1"/>
    <xf numFmtId="164" fontId="40" fillId="0" borderId="0" xfId="0" applyNumberFormat="1" applyFont="1" applyAlignment="1">
      <alignment horizontal="left" vertical="center"/>
    </xf>
    <xf numFmtId="0" fontId="1" fillId="0" borderId="0" xfId="0" applyFont="1" applyAlignment="1">
      <alignment vertical="center"/>
    </xf>
    <xf numFmtId="164" fontId="1" fillId="0" borderId="0" xfId="0" applyNumberFormat="1" applyFont="1" applyAlignment="1">
      <alignment vertical="center"/>
    </xf>
    <xf numFmtId="0" fontId="1" fillId="0" borderId="3" xfId="0" applyFont="1" applyBorder="1" applyAlignment="1">
      <alignment vertical="center"/>
    </xf>
    <xf numFmtId="164" fontId="1" fillId="0" borderId="3" xfId="0" applyNumberFormat="1" applyFont="1" applyBorder="1" applyAlignment="1">
      <alignment vertical="center"/>
    </xf>
    <xf numFmtId="0" fontId="1" fillId="5" borderId="8" xfId="0" applyFont="1" applyFill="1" applyBorder="1"/>
    <xf numFmtId="0" fontId="1" fillId="5" borderId="8" xfId="0" applyFont="1" applyFill="1" applyBorder="1" applyAlignment="1">
      <alignment vertical="center"/>
    </xf>
    <xf numFmtId="164" fontId="1" fillId="5" borderId="8" xfId="0" applyNumberFormat="1" applyFont="1" applyFill="1" applyBorder="1" applyAlignment="1">
      <alignment vertical="center"/>
    </xf>
    <xf numFmtId="0" fontId="1" fillId="5" borderId="9" xfId="0" applyFont="1" applyFill="1" applyBorder="1" applyAlignment="1">
      <alignment vertical="center"/>
    </xf>
    <xf numFmtId="164" fontId="42" fillId="0" borderId="0" xfId="0" applyNumberFormat="1" applyFont="1" applyAlignment="1">
      <alignment horizontal="left" vertical="center"/>
    </xf>
    <xf numFmtId="0" fontId="1" fillId="5" borderId="0" xfId="0" applyFont="1" applyFill="1"/>
    <xf numFmtId="0" fontId="1" fillId="5" borderId="0" xfId="0" applyFont="1" applyFill="1" applyAlignment="1">
      <alignment vertical="center"/>
    </xf>
    <xf numFmtId="164" fontId="1" fillId="5" borderId="0" xfId="0" applyNumberFormat="1" applyFont="1" applyFill="1" applyAlignment="1">
      <alignment vertical="center"/>
    </xf>
    <xf numFmtId="0" fontId="1" fillId="8" borderId="64" xfId="0" applyFont="1" applyFill="1" applyBorder="1" applyAlignment="1">
      <alignment horizontal="left" vertical="center"/>
    </xf>
    <xf numFmtId="164" fontId="1" fillId="8" borderId="32" xfId="0" applyNumberFormat="1" applyFont="1" applyFill="1" applyBorder="1"/>
    <xf numFmtId="0" fontId="1" fillId="8" borderId="17" xfId="0" applyFont="1" applyFill="1" applyBorder="1" applyAlignment="1">
      <alignment vertical="center"/>
    </xf>
    <xf numFmtId="0" fontId="1" fillId="8" borderId="32" xfId="0" applyFont="1" applyFill="1" applyBorder="1"/>
    <xf numFmtId="0" fontId="1" fillId="5" borderId="12" xfId="0" applyFont="1" applyFill="1" applyBorder="1" applyAlignment="1">
      <alignment vertical="center"/>
    </xf>
    <xf numFmtId="164" fontId="41" fillId="0" borderId="0" xfId="0" applyNumberFormat="1" applyFont="1" applyAlignment="1">
      <alignment horizontal="left" vertical="center"/>
    </xf>
    <xf numFmtId="164" fontId="1" fillId="8" borderId="36" xfId="0" applyNumberFormat="1" applyFont="1" applyFill="1" applyBorder="1" applyAlignment="1">
      <alignment horizontal="left" vertical="center"/>
    </xf>
    <xf numFmtId="164" fontId="1" fillId="8" borderId="17" xfId="0" applyNumberFormat="1" applyFont="1" applyFill="1" applyBorder="1" applyAlignment="1">
      <alignment vertical="center"/>
    </xf>
    <xf numFmtId="0" fontId="1" fillId="8" borderId="32" xfId="0" applyFont="1" applyFill="1" applyBorder="1" applyAlignment="1">
      <alignment vertical="center"/>
    </xf>
    <xf numFmtId="164" fontId="38" fillId="5" borderId="0" xfId="0" applyNumberFormat="1" applyFont="1" applyFill="1" applyAlignment="1">
      <alignment horizontal="left" vertical="center"/>
    </xf>
    <xf numFmtId="0" fontId="38" fillId="5" borderId="0" xfId="0" applyFont="1" applyFill="1" applyAlignment="1">
      <alignment horizontal="right" vertical="center"/>
    </xf>
    <xf numFmtId="0" fontId="1" fillId="5" borderId="45" xfId="0" applyFont="1" applyFill="1" applyBorder="1" applyAlignment="1">
      <alignment vertical="center"/>
    </xf>
    <xf numFmtId="164" fontId="1" fillId="0" borderId="0" xfId="0" applyNumberFormat="1" applyFont="1" applyAlignment="1">
      <alignment horizontal="left" vertical="center"/>
    </xf>
    <xf numFmtId="164" fontId="38" fillId="0" borderId="0" xfId="0" applyNumberFormat="1" applyFont="1" applyAlignment="1">
      <alignment horizontal="left" vertical="center"/>
    </xf>
    <xf numFmtId="172" fontId="1" fillId="63" borderId="65" xfId="0" applyNumberFormat="1" applyFont="1" applyFill="1" applyBorder="1"/>
    <xf numFmtId="172" fontId="1" fillId="63" borderId="45" xfId="0" applyNumberFormat="1" applyFont="1" applyFill="1" applyBorder="1"/>
    <xf numFmtId="37" fontId="1" fillId="63" borderId="45" xfId="0" applyNumberFormat="1" applyFont="1" applyFill="1" applyBorder="1"/>
    <xf numFmtId="0" fontId="1" fillId="5" borderId="3" xfId="0" applyFont="1" applyFill="1" applyBorder="1" applyAlignment="1">
      <alignment vertical="center"/>
    </xf>
    <xf numFmtId="0" fontId="1" fillId="5" borderId="3" xfId="0" applyFont="1" applyFill="1" applyBorder="1"/>
    <xf numFmtId="0" fontId="1" fillId="5" borderId="26" xfId="0" applyFont="1" applyFill="1" applyBorder="1"/>
    <xf numFmtId="164" fontId="38" fillId="0" borderId="0" xfId="0" quotePrefix="1" applyNumberFormat="1" applyFont="1" applyAlignment="1">
      <alignment horizontal="left" vertical="center"/>
    </xf>
    <xf numFmtId="0" fontId="1" fillId="0" borderId="0" xfId="0" applyFont="1" applyAlignment="1">
      <alignment horizontal="center"/>
    </xf>
    <xf numFmtId="164" fontId="44" fillId="0" borderId="0" xfId="0" quotePrefix="1" applyNumberFormat="1" applyFont="1" applyAlignment="1">
      <alignment horizontal="centerContinuous" vertical="center"/>
    </xf>
    <xf numFmtId="164" fontId="44" fillId="0" borderId="0" xfId="0" quotePrefix="1" applyNumberFormat="1" applyFont="1" applyAlignment="1">
      <alignment vertical="center"/>
    </xf>
    <xf numFmtId="164" fontId="14" fillId="0" borderId="0" xfId="0" quotePrefix="1" applyNumberFormat="1" applyFont="1" applyAlignment="1">
      <alignment horizontal="center" vertical="center"/>
    </xf>
    <xf numFmtId="164" fontId="1" fillId="0" borderId="0" xfId="0" quotePrefix="1" applyNumberFormat="1" applyFont="1" applyAlignment="1">
      <alignment horizontal="left" vertical="center"/>
    </xf>
    <xf numFmtId="0" fontId="1" fillId="0" borderId="0" xfId="0" applyFont="1" applyAlignment="1">
      <alignment horizontal="left" vertical="center"/>
    </xf>
    <xf numFmtId="0" fontId="1" fillId="0" borderId="0" xfId="0" applyFont="1" applyAlignment="1">
      <alignment horizontal="right" vertical="center"/>
    </xf>
    <xf numFmtId="205" fontId="1" fillId="0" borderId="0" xfId="0" applyNumberFormat="1" applyFont="1" applyAlignment="1">
      <alignment vertical="center"/>
    </xf>
    <xf numFmtId="164" fontId="17" fillId="0" borderId="0" xfId="0" applyNumberFormat="1" applyFont="1" applyAlignment="1">
      <alignment vertical="center"/>
    </xf>
    <xf numFmtId="0" fontId="1" fillId="5" borderId="55" xfId="0" applyFont="1" applyFill="1" applyBorder="1" applyAlignment="1">
      <alignment vertical="center"/>
    </xf>
    <xf numFmtId="0" fontId="1" fillId="5" borderId="9" xfId="0" applyFont="1" applyFill="1" applyBorder="1" applyAlignment="1">
      <alignment horizontal="centerContinuous" vertical="center"/>
    </xf>
    <xf numFmtId="0" fontId="1" fillId="5" borderId="8" xfId="0" applyFont="1" applyFill="1" applyBorder="1" applyAlignment="1">
      <alignment horizontal="centerContinuous" vertical="center"/>
    </xf>
    <xf numFmtId="0" fontId="1" fillId="3" borderId="55" xfId="0" applyFont="1" applyFill="1" applyBorder="1" applyAlignment="1">
      <alignment vertical="center"/>
    </xf>
    <xf numFmtId="0" fontId="14" fillId="0" borderId="56" xfId="0" applyFont="1" applyBorder="1" applyAlignment="1">
      <alignment horizontal="center" vertical="center"/>
    </xf>
    <xf numFmtId="0" fontId="23" fillId="0" borderId="0" xfId="0" applyFont="1" applyAlignment="1">
      <alignment horizontal="centerContinuous" vertical="center"/>
    </xf>
    <xf numFmtId="0" fontId="1" fillId="5" borderId="56" xfId="0" applyFont="1" applyFill="1" applyBorder="1"/>
    <xf numFmtId="0" fontId="39" fillId="5" borderId="0" xfId="0" applyFont="1" applyFill="1" applyAlignment="1">
      <alignment horizontal="centerContinuous" vertical="center"/>
    </xf>
    <xf numFmtId="0" fontId="39" fillId="5" borderId="0" xfId="0" quotePrefix="1" applyFont="1" applyFill="1" applyAlignment="1">
      <alignment horizontal="centerContinuous" vertical="center"/>
    </xf>
    <xf numFmtId="0" fontId="25" fillId="5" borderId="10" xfId="0" applyFont="1" applyFill="1" applyBorder="1" applyAlignment="1">
      <alignment horizontal="centerContinuous" vertical="center"/>
    </xf>
    <xf numFmtId="0" fontId="1" fillId="3" borderId="10" xfId="0" applyFont="1" applyFill="1" applyBorder="1" applyAlignment="1">
      <alignment vertical="center"/>
    </xf>
    <xf numFmtId="0" fontId="1" fillId="3" borderId="56" xfId="0" applyFont="1" applyFill="1" applyBorder="1" applyAlignment="1">
      <alignment vertical="center"/>
    </xf>
    <xf numFmtId="0" fontId="23" fillId="5" borderId="0" xfId="0" applyFont="1" applyFill="1" applyAlignment="1">
      <alignment horizontal="centerContinuous" vertical="center"/>
    </xf>
    <xf numFmtId="0" fontId="29" fillId="5" borderId="0" xfId="0" applyFont="1" applyFill="1" applyAlignment="1">
      <alignment horizontal="center" vertical="center"/>
    </xf>
    <xf numFmtId="0" fontId="23" fillId="5" borderId="0" xfId="0" applyFont="1" applyFill="1" applyAlignment="1">
      <alignment horizontal="center" vertical="center"/>
    </xf>
    <xf numFmtId="0" fontId="23" fillId="0" borderId="0" xfId="0" applyFont="1" applyAlignment="1">
      <alignment horizontal="center" vertical="center"/>
    </xf>
    <xf numFmtId="166" fontId="1" fillId="0" borderId="36" xfId="0" applyNumberFormat="1" applyFont="1" applyBorder="1" applyAlignment="1">
      <alignment horizontal="center" vertical="center"/>
    </xf>
    <xf numFmtId="38" fontId="1" fillId="9" borderId="59" xfId="67" applyNumberFormat="1" applyFont="1" applyFill="1" applyBorder="1" applyAlignment="1">
      <alignment horizontal="right" vertical="center"/>
    </xf>
    <xf numFmtId="38" fontId="1" fillId="9" borderId="33" xfId="67" applyNumberFormat="1" applyFont="1" applyFill="1" applyBorder="1" applyAlignment="1">
      <alignment horizontal="right" vertical="center"/>
    </xf>
    <xf numFmtId="175" fontId="1" fillId="9" borderId="59" xfId="67" applyNumberFormat="1" applyFont="1" applyFill="1" applyBorder="1" applyAlignment="1">
      <alignment horizontal="right" vertical="center"/>
    </xf>
    <xf numFmtId="175" fontId="1" fillId="9" borderId="33" xfId="67" applyNumberFormat="1" applyFont="1" applyFill="1" applyBorder="1" applyAlignment="1">
      <alignment horizontal="right" vertical="center"/>
    </xf>
    <xf numFmtId="205" fontId="1" fillId="13" borderId="59" xfId="67" applyNumberFormat="1" applyFont="1" applyFill="1" applyBorder="1" applyAlignment="1">
      <alignment horizontal="right" vertical="center"/>
    </xf>
    <xf numFmtId="205" fontId="1" fillId="13" borderId="33" xfId="67" applyNumberFormat="1" applyFont="1" applyFill="1" applyBorder="1" applyAlignment="1">
      <alignment horizontal="right" vertical="center"/>
    </xf>
    <xf numFmtId="3" fontId="1" fillId="0" borderId="58" xfId="0" applyNumberFormat="1" applyFont="1" applyBorder="1" applyAlignment="1">
      <alignment vertical="center"/>
    </xf>
    <xf numFmtId="3" fontId="1" fillId="0" borderId="57" xfId="0" applyNumberFormat="1" applyFont="1" applyBorder="1" applyAlignment="1">
      <alignment vertical="center"/>
    </xf>
    <xf numFmtId="5" fontId="1" fillId="3" borderId="36" xfId="0" applyNumberFormat="1" applyFont="1" applyFill="1" applyBorder="1" applyAlignment="1">
      <alignment vertical="center"/>
    </xf>
    <xf numFmtId="5" fontId="1" fillId="3" borderId="50" xfId="67" applyNumberFormat="1" applyFont="1" applyFill="1" applyBorder="1" applyAlignment="1" applyProtection="1">
      <alignment vertical="center"/>
    </xf>
    <xf numFmtId="38" fontId="1" fillId="9" borderId="11" xfId="67" applyNumberFormat="1" applyFont="1" applyFill="1" applyBorder="1" applyAlignment="1">
      <alignment horizontal="right" vertical="center"/>
    </xf>
    <xf numFmtId="38" fontId="1" fillId="9" borderId="27" xfId="67" applyNumberFormat="1" applyFont="1" applyFill="1" applyBorder="1" applyAlignment="1">
      <alignment horizontal="right" vertical="center"/>
    </xf>
    <xf numFmtId="205" fontId="1" fillId="0" borderId="58" xfId="67" applyNumberFormat="1" applyFont="1" applyBorder="1" applyAlignment="1">
      <alignment horizontal="right" vertical="center"/>
    </xf>
    <xf numFmtId="205" fontId="1" fillId="0" borderId="62" xfId="67" applyNumberFormat="1" applyFont="1" applyBorder="1" applyAlignment="1">
      <alignment horizontal="right" vertical="center"/>
    </xf>
    <xf numFmtId="205" fontId="1" fillId="0" borderId="79" xfId="67" applyNumberFormat="1" applyFont="1" applyFill="1" applyBorder="1" applyAlignment="1">
      <alignment horizontal="right" vertical="center"/>
    </xf>
    <xf numFmtId="38" fontId="1" fillId="0" borderId="58" xfId="67" applyNumberFormat="1" applyFont="1" applyBorder="1" applyAlignment="1">
      <alignment horizontal="right" vertical="center"/>
    </xf>
    <xf numFmtId="38" fontId="1" fillId="0" borderId="62" xfId="67" applyNumberFormat="1" applyFont="1" applyBorder="1" applyAlignment="1">
      <alignment horizontal="right" vertical="center"/>
    </xf>
    <xf numFmtId="37" fontId="1" fillId="0" borderId="57" xfId="0" applyNumberFormat="1" applyFont="1" applyBorder="1" applyAlignment="1">
      <alignment vertical="center"/>
    </xf>
    <xf numFmtId="5" fontId="1" fillId="0" borderId="50" xfId="67" applyNumberFormat="1" applyFont="1" applyFill="1" applyBorder="1" applyAlignment="1" applyProtection="1">
      <alignment vertical="center"/>
    </xf>
    <xf numFmtId="5" fontId="1" fillId="0" borderId="56" xfId="67" applyNumberFormat="1" applyFont="1" applyFill="1" applyBorder="1" applyAlignment="1" applyProtection="1">
      <alignment vertical="center"/>
    </xf>
    <xf numFmtId="37" fontId="1" fillId="0" borderId="0" xfId="67" applyNumberFormat="1" applyFont="1" applyFill="1" applyBorder="1" applyAlignment="1" applyProtection="1">
      <alignment vertical="center"/>
    </xf>
    <xf numFmtId="166" fontId="1" fillId="0" borderId="65" xfId="0" applyNumberFormat="1" applyFont="1" applyBorder="1" applyAlignment="1">
      <alignment horizontal="center" vertical="center"/>
    </xf>
    <xf numFmtId="38" fontId="1" fillId="9" borderId="67" xfId="67" applyNumberFormat="1" applyFont="1" applyFill="1" applyBorder="1" applyAlignment="1">
      <alignment horizontal="right" vertical="center"/>
    </xf>
    <xf numFmtId="38" fontId="1" fillId="9" borderId="28" xfId="67" applyNumberFormat="1" applyFont="1" applyFill="1" applyBorder="1" applyAlignment="1">
      <alignment horizontal="right" vertical="center"/>
    </xf>
    <xf numFmtId="175" fontId="1" fillId="9" borderId="67" xfId="67" applyNumberFormat="1" applyFont="1" applyFill="1" applyBorder="1" applyAlignment="1">
      <alignment horizontal="right" vertical="center"/>
    </xf>
    <xf numFmtId="175" fontId="1" fillId="9" borderId="28" xfId="67" applyNumberFormat="1" applyFont="1" applyFill="1" applyBorder="1" applyAlignment="1">
      <alignment horizontal="right" vertical="center"/>
    </xf>
    <xf numFmtId="3" fontId="1" fillId="0" borderId="60" xfId="0" applyNumberFormat="1" applyFont="1" applyBorder="1" applyAlignment="1">
      <alignment vertical="center"/>
    </xf>
    <xf numFmtId="3" fontId="1" fillId="0" borderId="28" xfId="0" applyNumberFormat="1" applyFont="1" applyBorder="1" applyAlignment="1">
      <alignment vertical="center"/>
    </xf>
    <xf numFmtId="38" fontId="1" fillId="9" borderId="60" xfId="67" applyNumberFormat="1" applyFont="1" applyFill="1" applyBorder="1" applyAlignment="1">
      <alignment horizontal="right" vertical="center"/>
    </xf>
    <xf numFmtId="38" fontId="1" fillId="9" borderId="14" xfId="67" applyNumberFormat="1" applyFont="1" applyFill="1" applyBorder="1" applyAlignment="1">
      <alignment horizontal="right" vertical="center"/>
    </xf>
    <xf numFmtId="205" fontId="1" fillId="0" borderId="101" xfId="67" applyNumberFormat="1" applyFont="1" applyBorder="1" applyAlignment="1">
      <alignment horizontal="right" vertical="center"/>
    </xf>
    <xf numFmtId="205" fontId="1" fillId="0" borderId="11" xfId="67" applyNumberFormat="1" applyFont="1" applyBorder="1" applyAlignment="1">
      <alignment horizontal="right" vertical="center"/>
    </xf>
    <xf numFmtId="38" fontId="1" fillId="0" borderId="59" xfId="67" applyNumberFormat="1" applyFont="1" applyBorder="1" applyAlignment="1">
      <alignment horizontal="right" vertical="center"/>
    </xf>
    <xf numFmtId="38" fontId="1" fillId="0" borderId="11" xfId="67" applyNumberFormat="1" applyFont="1" applyBorder="1" applyAlignment="1">
      <alignment horizontal="right" vertical="center"/>
    </xf>
    <xf numFmtId="37" fontId="1" fillId="0" borderId="28" xfId="0" applyNumberFormat="1" applyFont="1" applyBorder="1" applyAlignment="1">
      <alignment vertical="center"/>
    </xf>
    <xf numFmtId="166" fontId="1" fillId="0" borderId="54" xfId="0" applyNumberFormat="1" applyFont="1" applyBorder="1" applyAlignment="1">
      <alignment horizontal="center" vertical="center"/>
    </xf>
    <xf numFmtId="38" fontId="1" fillId="0" borderId="54" xfId="67" applyNumberFormat="1" applyFont="1" applyFill="1" applyBorder="1" applyAlignment="1">
      <alignment horizontal="right" vertical="center"/>
    </xf>
    <xf numFmtId="175" fontId="1" fillId="0" borderId="54" xfId="67" applyNumberFormat="1" applyFont="1" applyFill="1" applyBorder="1" applyAlignment="1">
      <alignment horizontal="right" vertical="center"/>
    </xf>
    <xf numFmtId="205" fontId="1" fillId="13" borderId="54" xfId="67" applyNumberFormat="1" applyFont="1" applyFill="1" applyBorder="1" applyAlignment="1">
      <alignment horizontal="right" vertical="center"/>
    </xf>
    <xf numFmtId="38" fontId="1" fillId="13" borderId="54" xfId="67" applyNumberFormat="1" applyFont="1" applyFill="1" applyBorder="1" applyAlignment="1">
      <alignment horizontal="right" vertical="center"/>
    </xf>
    <xf numFmtId="3" fontId="1" fillId="0" borderId="54" xfId="0" applyNumberFormat="1" applyFont="1" applyBorder="1" applyAlignment="1">
      <alignment vertical="center"/>
    </xf>
    <xf numFmtId="37" fontId="1" fillId="0" borderId="54" xfId="0" applyNumberFormat="1" applyFont="1" applyBorder="1" applyAlignment="1">
      <alignment vertical="center"/>
    </xf>
    <xf numFmtId="38" fontId="1" fillId="0" borderId="54" xfId="67" applyNumberFormat="1" applyFont="1" applyFill="1" applyBorder="1" applyAlignment="1" applyProtection="1">
      <alignment vertical="center"/>
    </xf>
    <xf numFmtId="0" fontId="1" fillId="0" borderId="54" xfId="67" applyNumberFormat="1" applyFont="1" applyFill="1" applyBorder="1" applyAlignment="1">
      <alignment horizontal="right" vertical="center"/>
    </xf>
    <xf numFmtId="38" fontId="1" fillId="0" borderId="0" xfId="67" applyNumberFormat="1" applyFont="1" applyFill="1" applyBorder="1" applyAlignment="1" applyProtection="1">
      <alignment vertical="center"/>
    </xf>
    <xf numFmtId="166" fontId="1" fillId="0" borderId="66" xfId="0" applyNumberFormat="1" applyFont="1" applyBorder="1" applyAlignment="1">
      <alignment horizontal="center" vertical="center"/>
    </xf>
    <xf numFmtId="38" fontId="1" fillId="0" borderId="57" xfId="67" applyNumberFormat="1" applyFont="1" applyBorder="1" applyAlignment="1">
      <alignment horizontal="right" vertical="center"/>
    </xf>
    <xf numFmtId="175" fontId="1" fillId="0" borderId="58" xfId="67" applyNumberFormat="1" applyFont="1" applyBorder="1" applyAlignment="1">
      <alignment horizontal="right" vertical="center"/>
    </xf>
    <xf numFmtId="175" fontId="1" fillId="0" borderId="57" xfId="67" applyNumberFormat="1" applyFont="1" applyBorder="1" applyAlignment="1">
      <alignment horizontal="right" vertical="center"/>
    </xf>
    <xf numFmtId="38" fontId="1" fillId="0" borderId="27" xfId="67" applyNumberFormat="1" applyFont="1" applyFill="1" applyBorder="1" applyAlignment="1">
      <alignment horizontal="right" vertical="center"/>
    </xf>
    <xf numFmtId="38" fontId="1" fillId="0" borderId="27" xfId="67" applyNumberFormat="1" applyFont="1" applyBorder="1" applyAlignment="1">
      <alignment horizontal="right" vertical="center"/>
    </xf>
    <xf numFmtId="175" fontId="1" fillId="0" borderId="59" xfId="67" applyNumberFormat="1" applyFont="1" applyBorder="1" applyAlignment="1">
      <alignment horizontal="right" vertical="center"/>
    </xf>
    <xf numFmtId="175" fontId="1" fillId="0" borderId="27" xfId="67" applyNumberFormat="1" applyFont="1" applyBorder="1" applyAlignment="1">
      <alignment horizontal="right" vertical="center"/>
    </xf>
    <xf numFmtId="3" fontId="1" fillId="0" borderId="59" xfId="0" applyNumberFormat="1" applyFont="1" applyBorder="1" applyAlignment="1">
      <alignment vertical="center"/>
    </xf>
    <xf numFmtId="3" fontId="1" fillId="0" borderId="27" xfId="0" applyNumberFormat="1" applyFont="1" applyBorder="1" applyAlignment="1">
      <alignment vertical="center"/>
    </xf>
    <xf numFmtId="205" fontId="1" fillId="0" borderId="59" xfId="67" applyNumberFormat="1" applyFont="1" applyBorder="1" applyAlignment="1">
      <alignment horizontal="right" vertical="center"/>
    </xf>
    <xf numFmtId="37" fontId="1" fillId="0" borderId="59" xfId="0" applyNumberFormat="1" applyFont="1" applyBorder="1" applyAlignment="1">
      <alignment horizontal="right" vertical="center"/>
    </xf>
    <xf numFmtId="37" fontId="1" fillId="0" borderId="11" xfId="0" applyNumberFormat="1" applyFont="1" applyBorder="1" applyAlignment="1">
      <alignment horizontal="right" vertical="center"/>
    </xf>
    <xf numFmtId="37" fontId="1" fillId="0" borderId="27" xfId="0" applyNumberFormat="1" applyFont="1" applyBorder="1" applyAlignment="1">
      <alignment vertical="center"/>
    </xf>
    <xf numFmtId="166" fontId="1" fillId="0" borderId="68" xfId="0" applyNumberFormat="1" applyFont="1" applyBorder="1" applyAlignment="1">
      <alignment horizontal="center" vertical="center"/>
    </xf>
    <xf numFmtId="38" fontId="1" fillId="0" borderId="60" xfId="67" applyNumberFormat="1" applyFont="1" applyBorder="1" applyAlignment="1">
      <alignment horizontal="right" vertical="center"/>
    </xf>
    <xf numFmtId="38" fontId="1" fillId="0" borderId="28" xfId="67" applyNumberFormat="1" applyFont="1" applyBorder="1" applyAlignment="1">
      <alignment horizontal="right" vertical="center"/>
    </xf>
    <xf numFmtId="175" fontId="1" fillId="0" borderId="60" xfId="67" applyNumberFormat="1" applyFont="1" applyBorder="1" applyAlignment="1">
      <alignment horizontal="right" vertical="center"/>
    </xf>
    <xf numFmtId="175" fontId="1" fillId="0" borderId="28" xfId="67" applyNumberFormat="1" applyFont="1" applyBorder="1" applyAlignment="1">
      <alignment horizontal="right" vertical="center"/>
    </xf>
    <xf numFmtId="38" fontId="1" fillId="0" borderId="14" xfId="67" applyNumberFormat="1" applyFont="1" applyBorder="1" applyAlignment="1">
      <alignment horizontal="right" vertical="center"/>
    </xf>
    <xf numFmtId="205" fontId="1" fillId="0" borderId="60" xfId="67" applyNumberFormat="1" applyFont="1" applyBorder="1" applyAlignment="1">
      <alignment horizontal="right" vertical="center"/>
    </xf>
    <xf numFmtId="205" fontId="1" fillId="0" borderId="14" xfId="67" applyNumberFormat="1" applyFont="1" applyBorder="1" applyAlignment="1">
      <alignment horizontal="right" vertical="center"/>
    </xf>
    <xf numFmtId="37" fontId="1" fillId="0" borderId="60" xfId="0" applyNumberFormat="1" applyFont="1" applyBorder="1" applyAlignment="1">
      <alignment horizontal="right" vertical="center"/>
    </xf>
    <xf numFmtId="38" fontId="1" fillId="0" borderId="54" xfId="67" applyNumberFormat="1" applyFont="1" applyBorder="1" applyAlignment="1">
      <alignment vertical="center"/>
    </xf>
    <xf numFmtId="0" fontId="1" fillId="0" borderId="54" xfId="0" applyFont="1" applyBorder="1" applyAlignment="1">
      <alignment vertical="center"/>
    </xf>
    <xf numFmtId="5" fontId="1" fillId="0" borderId="54" xfId="0" applyNumberFormat="1" applyFont="1" applyBorder="1" applyAlignment="1">
      <alignment vertical="center"/>
    </xf>
    <xf numFmtId="37" fontId="23" fillId="0" borderId="0" xfId="67" applyNumberFormat="1" applyFont="1" applyFill="1" applyBorder="1" applyAlignment="1" applyProtection="1">
      <alignment vertical="center"/>
    </xf>
    <xf numFmtId="3" fontId="1" fillId="0" borderId="0" xfId="0" applyNumberFormat="1" applyFont="1" applyAlignment="1">
      <alignment vertical="center"/>
    </xf>
    <xf numFmtId="178" fontId="1" fillId="0" borderId="0" xfId="0" applyNumberFormat="1" applyFont="1"/>
    <xf numFmtId="164" fontId="14" fillId="0" borderId="0" xfId="0" applyNumberFormat="1" applyFont="1" applyAlignment="1">
      <alignment vertical="center"/>
    </xf>
    <xf numFmtId="172" fontId="1" fillId="0" borderId="0" xfId="0" applyNumberFormat="1" applyFont="1" applyAlignment="1">
      <alignment horizontal="centerContinuous" vertical="center"/>
    </xf>
    <xf numFmtId="0" fontId="1" fillId="0" borderId="0" xfId="0" applyFont="1" applyAlignment="1">
      <alignment horizontal="centerContinuous" vertical="center"/>
    </xf>
    <xf numFmtId="172" fontId="32" fillId="0" borderId="0" xfId="0" applyNumberFormat="1" applyFont="1" applyAlignment="1">
      <alignment horizontal="centerContinuous" vertical="center"/>
    </xf>
    <xf numFmtId="38" fontId="1" fillId="9" borderId="58" xfId="67" applyNumberFormat="1" applyFont="1" applyFill="1" applyBorder="1" applyAlignment="1">
      <alignment horizontal="right" vertical="center"/>
    </xf>
    <xf numFmtId="38" fontId="1" fillId="9" borderId="62" xfId="67" applyNumberFormat="1" applyFont="1" applyFill="1" applyBorder="1" applyAlignment="1">
      <alignment horizontal="right" vertical="center"/>
    </xf>
    <xf numFmtId="37" fontId="1" fillId="0" borderId="58" xfId="0" applyNumberFormat="1" applyFont="1" applyBorder="1" applyAlignment="1">
      <alignment horizontal="right" vertical="center"/>
    </xf>
    <xf numFmtId="190" fontId="1" fillId="0" borderId="54" xfId="0" applyNumberFormat="1" applyFont="1" applyBorder="1" applyAlignment="1">
      <alignment vertical="center"/>
    </xf>
    <xf numFmtId="2" fontId="1" fillId="0" borderId="54" xfId="67" applyNumberFormat="1" applyFont="1" applyFill="1" applyBorder="1" applyAlignment="1">
      <alignment horizontal="right" vertical="center"/>
    </xf>
    <xf numFmtId="37" fontId="1" fillId="0" borderId="54" xfId="0" applyNumberFormat="1" applyFont="1" applyBorder="1" applyAlignment="1">
      <alignment horizontal="right" vertical="center"/>
    </xf>
    <xf numFmtId="0" fontId="25" fillId="0" borderId="0" xfId="0" applyFont="1" applyAlignment="1">
      <alignment horizontal="centerContinuous" vertical="center"/>
    </xf>
    <xf numFmtId="0" fontId="4" fillId="0" borderId="0" xfId="0" applyFont="1" applyAlignment="1">
      <alignment horizontal="center" vertical="center"/>
    </xf>
    <xf numFmtId="0" fontId="39" fillId="0" borderId="0" xfId="0" applyFont="1" applyAlignment="1">
      <alignment horizontal="centerContinuous" vertical="center"/>
    </xf>
    <xf numFmtId="0" fontId="39" fillId="0" borderId="0" xfId="0" quotePrefix="1" applyFont="1" applyAlignment="1">
      <alignment horizontal="centerContinuous" vertical="center"/>
    </xf>
    <xf numFmtId="0" fontId="14" fillId="0" borderId="0" xfId="0" applyFont="1" applyAlignment="1">
      <alignment horizontal="center" vertical="center"/>
    </xf>
    <xf numFmtId="0" fontId="29" fillId="0" borderId="0" xfId="0" applyFont="1" applyAlignment="1">
      <alignment horizontal="center" vertical="center"/>
    </xf>
    <xf numFmtId="0" fontId="37" fillId="0" borderId="0" xfId="0" applyFont="1" applyAlignment="1">
      <alignment vertical="center"/>
    </xf>
    <xf numFmtId="166" fontId="1" fillId="0" borderId="0" xfId="0" applyNumberFormat="1" applyFont="1" applyAlignment="1">
      <alignment horizontal="center" vertical="center"/>
    </xf>
    <xf numFmtId="38" fontId="1" fillId="0" borderId="0" xfId="67" applyNumberFormat="1" applyFont="1" applyFill="1" applyBorder="1" applyAlignment="1">
      <alignment horizontal="right" vertical="center"/>
    </xf>
    <xf numFmtId="175" fontId="1" fillId="0" borderId="0" xfId="67" applyNumberFormat="1" applyFont="1" applyFill="1" applyBorder="1" applyAlignment="1">
      <alignment horizontal="right" vertical="center"/>
    </xf>
    <xf numFmtId="37" fontId="1" fillId="0" borderId="0" xfId="0" applyNumberFormat="1" applyFont="1" applyAlignment="1">
      <alignment vertical="center"/>
    </xf>
    <xf numFmtId="5" fontId="1" fillId="0" borderId="0" xfId="0" applyNumberFormat="1" applyFont="1" applyAlignment="1">
      <alignment vertical="center"/>
    </xf>
    <xf numFmtId="5" fontId="1" fillId="0" borderId="0" xfId="67" applyNumberFormat="1" applyFont="1" applyFill="1" applyBorder="1" applyAlignment="1" applyProtection="1">
      <alignment vertical="center"/>
    </xf>
    <xf numFmtId="205" fontId="1" fillId="0" borderId="54" xfId="67" applyNumberFormat="1" applyFont="1" applyFill="1" applyBorder="1" applyAlignment="1">
      <alignment horizontal="right" vertical="center"/>
    </xf>
    <xf numFmtId="38" fontId="1" fillId="0" borderId="0" xfId="67" applyNumberFormat="1" applyFont="1" applyFill="1" applyBorder="1" applyAlignment="1">
      <alignment vertical="center"/>
    </xf>
    <xf numFmtId="190" fontId="1" fillId="0" borderId="59" xfId="0" applyNumberFormat="1" applyFont="1" applyBorder="1" applyAlignment="1">
      <alignment horizontal="right" vertical="center"/>
    </xf>
    <xf numFmtId="190" fontId="1" fillId="0" borderId="57" xfId="0" applyNumberFormat="1" applyFont="1" applyBorder="1" applyAlignment="1">
      <alignment horizontal="right" vertical="center"/>
    </xf>
    <xf numFmtId="190" fontId="1" fillId="0" borderId="28" xfId="0" applyNumberFormat="1" applyFont="1" applyBorder="1" applyAlignment="1">
      <alignment horizontal="right" vertical="center"/>
    </xf>
    <xf numFmtId="204" fontId="1" fillId="0" borderId="0" xfId="0" applyNumberFormat="1" applyFont="1" applyAlignment="1">
      <alignment horizontal="center" vertical="center"/>
    </xf>
    <xf numFmtId="206" fontId="1" fillId="0" borderId="0" xfId="0" applyNumberFormat="1" applyFont="1" applyAlignment="1">
      <alignment horizontal="center" vertical="center"/>
    </xf>
    <xf numFmtId="164" fontId="141" fillId="0" borderId="0" xfId="0" applyNumberFormat="1" applyFont="1" applyAlignment="1">
      <alignment vertical="center"/>
    </xf>
    <xf numFmtId="9" fontId="1" fillId="0" borderId="0" xfId="207" applyFont="1" applyFill="1" applyBorder="1"/>
    <xf numFmtId="170" fontId="1" fillId="0" borderId="0" xfId="207" applyNumberFormat="1" applyFont="1" applyFill="1" applyBorder="1"/>
    <xf numFmtId="170" fontId="1" fillId="0" borderId="0" xfId="207" applyNumberFormat="1" applyFont="1" applyBorder="1"/>
    <xf numFmtId="2" fontId="1" fillId="0" borderId="0" xfId="207" applyNumberFormat="1" applyFont="1" applyBorder="1"/>
    <xf numFmtId="10" fontId="1" fillId="0" borderId="0" xfId="207" applyNumberFormat="1" applyFont="1" applyBorder="1"/>
    <xf numFmtId="10" fontId="1" fillId="0" borderId="0" xfId="207" applyNumberFormat="1" applyFont="1" applyFill="1" applyBorder="1"/>
    <xf numFmtId="2" fontId="1" fillId="0" borderId="0" xfId="0" applyNumberFormat="1" applyFont="1"/>
    <xf numFmtId="175" fontId="1" fillId="9" borderId="17" xfId="67" applyNumberFormat="1" applyFont="1" applyFill="1" applyBorder="1" applyAlignment="1">
      <alignment horizontal="right" vertical="center"/>
    </xf>
    <xf numFmtId="175" fontId="1" fillId="9" borderId="45" xfId="67" applyNumberFormat="1" applyFont="1" applyFill="1" applyBorder="1" applyAlignment="1">
      <alignment horizontal="right" vertical="center"/>
    </xf>
    <xf numFmtId="172" fontId="1" fillId="5" borderId="61" xfId="0" applyNumberFormat="1" applyFont="1" applyFill="1" applyBorder="1" applyAlignment="1">
      <alignment horizontal="centerContinuous" vertical="center"/>
    </xf>
    <xf numFmtId="0" fontId="1" fillId="5" borderId="45" xfId="0" applyFont="1" applyFill="1" applyBorder="1" applyAlignment="1">
      <alignment horizontal="centerContinuous" vertical="center"/>
    </xf>
    <xf numFmtId="172" fontId="1" fillId="5" borderId="46" xfId="0" applyNumberFormat="1" applyFont="1" applyFill="1" applyBorder="1" applyAlignment="1">
      <alignment horizontal="centerContinuous" vertical="center"/>
    </xf>
    <xf numFmtId="0" fontId="1" fillId="5" borderId="34" xfId="0" applyFont="1" applyFill="1" applyBorder="1" applyAlignment="1">
      <alignment vertical="center"/>
    </xf>
    <xf numFmtId="172" fontId="1" fillId="5" borderId="2" xfId="0" applyNumberFormat="1" applyFont="1" applyFill="1" applyBorder="1" applyAlignment="1">
      <alignment horizontal="centerContinuous" vertical="center"/>
    </xf>
    <xf numFmtId="172" fontId="1" fillId="5" borderId="53" xfId="0" applyNumberFormat="1" applyFont="1" applyFill="1" applyBorder="1" applyAlignment="1">
      <alignment horizontal="centerContinuous" vertical="center"/>
    </xf>
    <xf numFmtId="0" fontId="1" fillId="0" borderId="0" xfId="0" applyFont="1" applyAlignment="1">
      <alignment horizontal="center" vertical="center"/>
    </xf>
    <xf numFmtId="0" fontId="3" fillId="0" borderId="0" xfId="0" applyFont="1" applyAlignment="1">
      <alignment horizontal="centerContinuous" vertical="center"/>
    </xf>
    <xf numFmtId="0" fontId="64" fillId="0" borderId="0" xfId="0" applyFont="1" applyAlignment="1">
      <alignment horizontal="centerContinuous"/>
    </xf>
    <xf numFmtId="0" fontId="23" fillId="0" borderId="0" xfId="0" applyFont="1" applyAlignment="1">
      <alignment horizontal="center" wrapText="1"/>
    </xf>
    <xf numFmtId="0" fontId="23" fillId="0" borderId="0" xfId="0" applyFont="1"/>
    <xf numFmtId="0" fontId="0" fillId="63" borderId="8" xfId="0" applyFill="1" applyBorder="1"/>
    <xf numFmtId="0" fontId="0" fillId="63" borderId="9" xfId="0" applyFill="1" applyBorder="1"/>
    <xf numFmtId="0" fontId="14" fillId="5" borderId="0" xfId="0" applyFont="1" applyFill="1"/>
    <xf numFmtId="0" fontId="32" fillId="5" borderId="0" xfId="0" applyFont="1" applyFill="1"/>
    <xf numFmtId="0" fontId="17" fillId="5" borderId="0" xfId="0" applyFont="1" applyFill="1"/>
    <xf numFmtId="0" fontId="0" fillId="63" borderId="0" xfId="0" applyFill="1"/>
    <xf numFmtId="0" fontId="0" fillId="63" borderId="12" xfId="0" applyFill="1" applyBorder="1"/>
    <xf numFmtId="2" fontId="0" fillId="67" borderId="58" xfId="0" applyNumberFormat="1" applyFill="1" applyBorder="1"/>
    <xf numFmtId="2" fontId="0" fillId="62" borderId="62" xfId="0" applyNumberFormat="1" applyFill="1" applyBorder="1"/>
    <xf numFmtId="39" fontId="0" fillId="3" borderId="62" xfId="0" applyNumberFormat="1" applyFill="1" applyBorder="1"/>
    <xf numFmtId="0" fontId="17" fillId="0" borderId="57" xfId="0" applyFont="1" applyBorder="1"/>
    <xf numFmtId="2" fontId="0" fillId="67" borderId="59" xfId="0" applyNumberFormat="1" applyFill="1" applyBorder="1"/>
    <xf numFmtId="2" fontId="0" fillId="62" borderId="11" xfId="0" applyNumberFormat="1" applyFill="1" applyBorder="1"/>
    <xf numFmtId="0" fontId="17" fillId="0" borderId="27" xfId="0" applyFont="1" applyBorder="1"/>
    <xf numFmtId="2" fontId="0" fillId="67" borderId="60" xfId="0" applyNumberFormat="1" applyFill="1" applyBorder="1"/>
    <xf numFmtId="2" fontId="0" fillId="62" borderId="14" xfId="0" applyNumberFormat="1" applyFill="1" applyBorder="1"/>
    <xf numFmtId="0" fontId="17" fillId="0" borderId="28" xfId="0" applyFont="1" applyBorder="1"/>
    <xf numFmtId="2" fontId="0" fillId="63" borderId="0" xfId="0" applyNumberFormat="1" applyFill="1"/>
    <xf numFmtId="0" fontId="0" fillId="63" borderId="10" xfId="0" applyFill="1" applyBorder="1"/>
    <xf numFmtId="0" fontId="14" fillId="63" borderId="10" xfId="0" applyFont="1" applyFill="1" applyBorder="1"/>
    <xf numFmtId="39" fontId="0" fillId="63" borderId="0" xfId="0" applyNumberFormat="1" applyFill="1"/>
    <xf numFmtId="0" fontId="17" fillId="63" borderId="0" xfId="0" applyFont="1" applyFill="1"/>
    <xf numFmtId="0" fontId="0" fillId="63" borderId="25" xfId="0" applyFill="1" applyBorder="1"/>
    <xf numFmtId="0" fontId="0" fillId="63" borderId="3" xfId="0" applyFill="1" applyBorder="1"/>
    <xf numFmtId="2" fontId="0" fillId="63" borderId="3" xfId="0" applyNumberFormat="1" applyFill="1" applyBorder="1"/>
    <xf numFmtId="0" fontId="0" fillId="63" borderId="26" xfId="0" applyFill="1" applyBorder="1"/>
    <xf numFmtId="0" fontId="23" fillId="0" borderId="0" xfId="0" applyFont="1" applyAlignment="1">
      <alignment horizontal="center"/>
    </xf>
    <xf numFmtId="0" fontId="49" fillId="5" borderId="2" xfId="0" applyFont="1" applyFill="1" applyBorder="1" applyAlignment="1">
      <alignment horizontal="left" vertical="center" indent="2"/>
    </xf>
    <xf numFmtId="169" fontId="22" fillId="0" borderId="11" xfId="0" applyNumberFormat="1" applyFont="1" applyBorder="1" applyAlignment="1">
      <alignment horizontal="right" vertical="center"/>
    </xf>
    <xf numFmtId="164" fontId="2" fillId="0" borderId="8" xfId="0" applyNumberFormat="1" applyFont="1" applyFill="1" applyBorder="1" applyAlignment="1">
      <alignment horizontal="center"/>
    </xf>
    <xf numFmtId="164" fontId="2" fillId="0" borderId="0" xfId="0" applyNumberFormat="1" applyFont="1" applyFill="1" applyBorder="1" applyAlignment="1">
      <alignment horizontal="center"/>
    </xf>
    <xf numFmtId="164" fontId="2" fillId="0" borderId="3" xfId="0" applyNumberFormat="1" applyFont="1" applyFill="1" applyBorder="1" applyAlignment="1">
      <alignment horizontal="center"/>
    </xf>
    <xf numFmtId="0" fontId="23" fillId="8" borderId="0" xfId="0" applyFont="1" applyFill="1" applyAlignment="1">
      <alignment horizontal="center" vertical="center"/>
    </xf>
    <xf numFmtId="5" fontId="1" fillId="0" borderId="4" xfId="67" applyNumberFormat="1" applyFont="1" applyFill="1" applyBorder="1" applyAlignment="1" applyProtection="1">
      <alignment vertical="center"/>
    </xf>
    <xf numFmtId="0" fontId="49" fillId="5" borderId="12" xfId="0" applyFont="1" applyFill="1" applyBorder="1" applyAlignment="1">
      <alignment horizontal="left" vertical="center"/>
    </xf>
    <xf numFmtId="0" fontId="1" fillId="0" borderId="0" xfId="0" applyFont="1" applyFill="1"/>
    <xf numFmtId="0" fontId="17" fillId="0" borderId="0" xfId="0" applyFont="1" applyFill="1" applyAlignment="1">
      <alignment horizontal="left" indent="3"/>
    </xf>
    <xf numFmtId="0" fontId="17" fillId="0" borderId="0" xfId="0" applyFont="1" applyFill="1" applyAlignment="1">
      <alignment horizontal="centerContinuous"/>
    </xf>
    <xf numFmtId="0" fontId="17" fillId="0" borderId="0" xfId="0" applyFont="1" applyFill="1" applyAlignment="1">
      <alignment horizontal="left"/>
    </xf>
    <xf numFmtId="0" fontId="51" fillId="0" borderId="0" xfId="0" applyFont="1" applyAlignment="1">
      <alignment horizontal="left" indent="2"/>
    </xf>
    <xf numFmtId="0" fontId="0" fillId="0" borderId="72" xfId="0" applyBorder="1" applyAlignment="1">
      <alignment horizontal="center"/>
    </xf>
    <xf numFmtId="0" fontId="0" fillId="0" borderId="30" xfId="0" applyBorder="1" applyAlignment="1">
      <alignment horizontal="center"/>
    </xf>
    <xf numFmtId="170" fontId="2" fillId="0" borderId="59" xfId="220" applyNumberFormat="1" applyFont="1" applyFill="1" applyBorder="1" applyAlignment="1">
      <alignment horizontal="center" vertical="center"/>
    </xf>
    <xf numFmtId="170" fontId="2" fillId="0" borderId="11" xfId="220" applyNumberFormat="1" applyFont="1" applyFill="1" applyBorder="1" applyAlignment="1">
      <alignment horizontal="center" vertical="center"/>
    </xf>
    <xf numFmtId="170" fontId="2" fillId="0" borderId="27" xfId="220" applyNumberFormat="1" applyFont="1" applyFill="1" applyBorder="1" applyAlignment="1">
      <alignment horizontal="center" vertical="center"/>
    </xf>
    <xf numFmtId="170" fontId="2" fillId="0" borderId="67" xfId="220" applyNumberFormat="1" applyFont="1" applyFill="1" applyBorder="1" applyAlignment="1">
      <alignment horizontal="center" vertical="center"/>
    </xf>
    <xf numFmtId="170" fontId="2" fillId="0" borderId="81" xfId="220" applyNumberFormat="1" applyFont="1" applyFill="1" applyBorder="1" applyAlignment="1">
      <alignment horizontal="center" vertical="center"/>
    </xf>
    <xf numFmtId="170" fontId="2" fillId="0" borderId="78" xfId="220" applyNumberFormat="1" applyFont="1" applyFill="1" applyBorder="1" applyAlignment="1">
      <alignment horizontal="center" vertical="center"/>
    </xf>
    <xf numFmtId="0" fontId="52" fillId="0" borderId="0" xfId="0" applyFont="1" applyFill="1" applyBorder="1" applyAlignment="1">
      <alignment vertical="center"/>
    </xf>
    <xf numFmtId="176" fontId="2" fillId="0" borderId="74" xfId="0" applyNumberFormat="1" applyFont="1" applyFill="1" applyBorder="1" applyAlignment="1"/>
    <xf numFmtId="176" fontId="2" fillId="0" borderId="14" xfId="0" applyNumberFormat="1" applyFont="1" applyFill="1" applyBorder="1" applyAlignment="1"/>
    <xf numFmtId="176" fontId="2" fillId="0" borderId="28" xfId="0" applyNumberFormat="1" applyFont="1" applyFill="1" applyBorder="1" applyAlignment="1"/>
    <xf numFmtId="197" fontId="12" fillId="63" borderId="7" xfId="177" applyFont="1" applyFill="1" applyBorder="1"/>
    <xf numFmtId="197" fontId="12" fillId="63" borderId="10" xfId="177" applyFont="1" applyFill="1" applyBorder="1"/>
    <xf numFmtId="197" fontId="91" fillId="63" borderId="10" xfId="177" applyFill="1" applyBorder="1"/>
    <xf numFmtId="197" fontId="91" fillId="63" borderId="25" xfId="177" applyFill="1" applyBorder="1"/>
    <xf numFmtId="197" fontId="11" fillId="63" borderId="8" xfId="177" applyFont="1" applyFill="1" applyBorder="1"/>
    <xf numFmtId="197" fontId="91" fillId="63" borderId="0" xfId="177" applyFill="1"/>
    <xf numFmtId="197" fontId="11" fillId="63" borderId="0" xfId="177" applyFont="1" applyFill="1"/>
    <xf numFmtId="197" fontId="91" fillId="63" borderId="3" xfId="177" applyFill="1" applyBorder="1"/>
    <xf numFmtId="197" fontId="8" fillId="63" borderId="9" xfId="177" applyFont="1" applyFill="1" applyBorder="1"/>
    <xf numFmtId="197" fontId="91" fillId="63" borderId="12" xfId="177" applyFill="1" applyBorder="1"/>
    <xf numFmtId="197" fontId="8" fillId="63" borderId="12" xfId="177" applyFont="1" applyFill="1" applyBorder="1"/>
    <xf numFmtId="197" fontId="91" fillId="63" borderId="26" xfId="177" applyFill="1" applyBorder="1"/>
    <xf numFmtId="0" fontId="1" fillId="5" borderId="0" xfId="0" applyFont="1" applyFill="1" applyBorder="1" applyAlignment="1">
      <alignment horizontal="center"/>
    </xf>
    <xf numFmtId="0" fontId="1" fillId="0" borderId="4" xfId="0" applyFont="1" applyBorder="1"/>
    <xf numFmtId="0" fontId="1" fillId="0" borderId="75" xfId="0" applyFont="1" applyBorder="1"/>
    <xf numFmtId="0" fontId="1" fillId="0" borderId="51" xfId="0" applyFont="1" applyBorder="1"/>
    <xf numFmtId="0" fontId="1" fillId="0" borderId="50" xfId="0" applyFont="1" applyBorder="1"/>
    <xf numFmtId="164" fontId="142" fillId="0" borderId="0" xfId="282" applyNumberFormat="1" applyBorder="1" applyAlignment="1">
      <alignment vertical="center"/>
    </xf>
    <xf numFmtId="0" fontId="17" fillId="8" borderId="64" xfId="0" applyFont="1" applyFill="1" applyBorder="1" applyAlignment="1">
      <alignment horizontal="left"/>
    </xf>
    <xf numFmtId="0" fontId="17" fillId="8" borderId="17" xfId="0" applyFont="1" applyFill="1" applyBorder="1" applyAlignment="1">
      <alignment horizontal="left"/>
    </xf>
    <xf numFmtId="0" fontId="17" fillId="8" borderId="33" xfId="0" applyFont="1" applyFill="1" applyBorder="1" applyAlignment="1">
      <alignment horizontal="left"/>
    </xf>
    <xf numFmtId="0" fontId="25" fillId="8" borderId="64" xfId="0" applyFont="1" applyFill="1" applyBorder="1" applyAlignment="1">
      <alignment horizontal="left" vertical="center"/>
    </xf>
    <xf numFmtId="0" fontId="25" fillId="8" borderId="17" xfId="0" applyFont="1" applyFill="1" applyBorder="1" applyAlignment="1">
      <alignment horizontal="left" vertical="center"/>
    </xf>
    <xf numFmtId="0" fontId="25" fillId="8" borderId="32" xfId="0" applyFont="1" applyFill="1" applyBorder="1" applyAlignment="1">
      <alignment horizontal="left" vertical="center"/>
    </xf>
  </cellXfs>
  <cellStyles count="28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20% - Accent6 3" xfId="7" xr:uid="{00000000-0005-0000-0000-000006000000}"/>
    <cellStyle name="40% - Accent1 2" xfId="8" xr:uid="{00000000-0005-0000-0000-000007000000}"/>
    <cellStyle name="40% - Accent2 2" xfId="9" xr:uid="{00000000-0005-0000-0000-000008000000}"/>
    <cellStyle name="40% - Accent2 2 2" xfId="10" xr:uid="{00000000-0005-0000-0000-000009000000}"/>
    <cellStyle name="40% - Accent2 2 3" xfId="11" xr:uid="{00000000-0005-0000-0000-00000A000000}"/>
    <cellStyle name="40% - Accent2 2 4" xfId="12" xr:uid="{00000000-0005-0000-0000-00000B000000}"/>
    <cellStyle name="40% - Accent3 2" xfId="13" xr:uid="{00000000-0005-0000-0000-00000C000000}"/>
    <cellStyle name="40% - Accent4 2" xfId="14" xr:uid="{00000000-0005-0000-0000-00000D000000}"/>
    <cellStyle name="40% - Accent5 2" xfId="15" xr:uid="{00000000-0005-0000-0000-00000E000000}"/>
    <cellStyle name="40% - Accent6 2" xfId="16" xr:uid="{00000000-0005-0000-0000-00000F000000}"/>
    <cellStyle name="508Table-Start" xfId="17" xr:uid="{00000000-0005-0000-0000-000010000000}"/>
    <cellStyle name="508Table-Stop" xfId="18" xr:uid="{00000000-0005-0000-0000-000011000000}"/>
    <cellStyle name="60% - Accent1 2" xfId="19" xr:uid="{00000000-0005-0000-0000-000012000000}"/>
    <cellStyle name="60% - Accent2 2" xfId="20" xr:uid="{00000000-0005-0000-0000-000013000000}"/>
    <cellStyle name="60% - Accent3 2" xfId="21" xr:uid="{00000000-0005-0000-0000-000014000000}"/>
    <cellStyle name="60% - Accent4 2" xfId="22" xr:uid="{00000000-0005-0000-0000-000015000000}"/>
    <cellStyle name="60% - Accent5 2" xfId="23" xr:uid="{00000000-0005-0000-0000-000016000000}"/>
    <cellStyle name="60% - Accent6 2" xfId="24" xr:uid="{00000000-0005-0000-0000-000017000000}"/>
    <cellStyle name="Accent1 2" xfId="25" xr:uid="{00000000-0005-0000-0000-000018000000}"/>
    <cellStyle name="Accent1 2 2" xfId="26" xr:uid="{00000000-0005-0000-0000-000019000000}"/>
    <cellStyle name="Accent1 2 3" xfId="27" xr:uid="{00000000-0005-0000-0000-00001A000000}"/>
    <cellStyle name="Accent1 2 4" xfId="28" xr:uid="{00000000-0005-0000-0000-00001B000000}"/>
    <cellStyle name="Accent1 2 5" xfId="29" xr:uid="{00000000-0005-0000-0000-00001C000000}"/>
    <cellStyle name="Accent1 2 6" xfId="30" xr:uid="{00000000-0005-0000-0000-00001D000000}"/>
    <cellStyle name="Accent1 3" xfId="31" xr:uid="{00000000-0005-0000-0000-00001E000000}"/>
    <cellStyle name="Accent1 4" xfId="32" xr:uid="{00000000-0005-0000-0000-00001F000000}"/>
    <cellStyle name="Accent2 2" xfId="33" xr:uid="{00000000-0005-0000-0000-000020000000}"/>
    <cellStyle name="Accent2 2 2" xfId="34" xr:uid="{00000000-0005-0000-0000-000021000000}"/>
    <cellStyle name="Accent2 2 3" xfId="35" xr:uid="{00000000-0005-0000-0000-000022000000}"/>
    <cellStyle name="Accent2 2 4" xfId="36" xr:uid="{00000000-0005-0000-0000-000023000000}"/>
    <cellStyle name="Accent2 2 5" xfId="37" xr:uid="{00000000-0005-0000-0000-000024000000}"/>
    <cellStyle name="Accent2 3" xfId="38" xr:uid="{00000000-0005-0000-0000-000025000000}"/>
    <cellStyle name="Accent2 4" xfId="39" xr:uid="{00000000-0005-0000-0000-000026000000}"/>
    <cellStyle name="Accent2 5" xfId="40" xr:uid="{00000000-0005-0000-0000-000027000000}"/>
    <cellStyle name="Accent3 2" xfId="41" xr:uid="{00000000-0005-0000-0000-000028000000}"/>
    <cellStyle name="Accent3 2 2" xfId="42" xr:uid="{00000000-0005-0000-0000-000029000000}"/>
    <cellStyle name="Accent3 2 3" xfId="43" xr:uid="{00000000-0005-0000-0000-00002A000000}"/>
    <cellStyle name="Accent3 2 4" xfId="44" xr:uid="{00000000-0005-0000-0000-00002B000000}"/>
    <cellStyle name="Accent3 3" xfId="45" xr:uid="{00000000-0005-0000-0000-00002C000000}"/>
    <cellStyle name="Accent3 4" xfId="46" xr:uid="{00000000-0005-0000-0000-00002D000000}"/>
    <cellStyle name="Accent4 2" xfId="47" xr:uid="{00000000-0005-0000-0000-00002E000000}"/>
    <cellStyle name="Accent4 2 2" xfId="48" xr:uid="{00000000-0005-0000-0000-00002F000000}"/>
    <cellStyle name="Accent4 2 3" xfId="49" xr:uid="{00000000-0005-0000-0000-000030000000}"/>
    <cellStyle name="Accent4 2 4" xfId="50" xr:uid="{00000000-0005-0000-0000-000031000000}"/>
    <cellStyle name="Accent5 2" xfId="51" xr:uid="{00000000-0005-0000-0000-000032000000}"/>
    <cellStyle name="Accent6 2" xfId="52" xr:uid="{00000000-0005-0000-0000-000033000000}"/>
    <cellStyle name="Arial 11" xfId="53" xr:uid="{00000000-0005-0000-0000-000034000000}"/>
    <cellStyle name="Bad 2" xfId="54" xr:uid="{00000000-0005-0000-0000-000035000000}"/>
    <cellStyle name="Bad 3" xfId="55" xr:uid="{00000000-0005-0000-0000-000036000000}"/>
    <cellStyle name="Body: normal cell" xfId="56" xr:uid="{00000000-0005-0000-0000-000037000000}"/>
    <cellStyle name="Calculation 2" xfId="57" xr:uid="{00000000-0005-0000-0000-000038000000}"/>
    <cellStyle name="Calculation 2 2" xfId="58" xr:uid="{00000000-0005-0000-0000-000039000000}"/>
    <cellStyle name="Calculation 3" xfId="59" xr:uid="{00000000-0005-0000-0000-00003A000000}"/>
    <cellStyle name="Calculation 4" xfId="60" xr:uid="{00000000-0005-0000-0000-00003B000000}"/>
    <cellStyle name="Check Cell 2" xfId="61" xr:uid="{00000000-0005-0000-0000-00003C000000}"/>
    <cellStyle name="CHlevel1" xfId="62" xr:uid="{00000000-0005-0000-0000-00003D000000}"/>
    <cellStyle name="CHlevel2" xfId="63" xr:uid="{00000000-0005-0000-0000-00003E000000}"/>
    <cellStyle name="CHlevel3" xfId="64" xr:uid="{00000000-0005-0000-0000-00003F000000}"/>
    <cellStyle name="CHlevel4" xfId="65" xr:uid="{00000000-0005-0000-0000-000040000000}"/>
    <cellStyle name="Column heading" xfId="66" xr:uid="{00000000-0005-0000-0000-000041000000}"/>
    <cellStyle name="Comma" xfId="67" builtinId="3"/>
    <cellStyle name="Comma 2" xfId="68" xr:uid="{00000000-0005-0000-0000-000043000000}"/>
    <cellStyle name="Comma 2 2" xfId="69" xr:uid="{00000000-0005-0000-0000-000044000000}"/>
    <cellStyle name="Comma 2 3" xfId="70" xr:uid="{00000000-0005-0000-0000-000045000000}"/>
    <cellStyle name="Comma 3" xfId="71" xr:uid="{00000000-0005-0000-0000-000046000000}"/>
    <cellStyle name="Comma 3 2" xfId="72" xr:uid="{00000000-0005-0000-0000-000047000000}"/>
    <cellStyle name="Comma 4" xfId="73" xr:uid="{00000000-0005-0000-0000-000048000000}"/>
    <cellStyle name="Comma 4 2" xfId="74" xr:uid="{00000000-0005-0000-0000-000049000000}"/>
    <cellStyle name="Comma 5" xfId="75" xr:uid="{00000000-0005-0000-0000-00004A000000}"/>
    <cellStyle name="Comma 6" xfId="76" xr:uid="{00000000-0005-0000-0000-00004B000000}"/>
    <cellStyle name="Comma 7" xfId="77" xr:uid="{00000000-0005-0000-0000-00004C000000}"/>
    <cellStyle name="Comma0" xfId="78" xr:uid="{00000000-0005-0000-0000-00004D000000}"/>
    <cellStyle name="Corner heading" xfId="79" xr:uid="{00000000-0005-0000-0000-00004E000000}"/>
    <cellStyle name="Currency" xfId="80" builtinId="4"/>
    <cellStyle name="Currency 2" xfId="81" xr:uid="{00000000-0005-0000-0000-000050000000}"/>
    <cellStyle name="Currency 2 2" xfId="82" xr:uid="{00000000-0005-0000-0000-000051000000}"/>
    <cellStyle name="Currency 2 2 2" xfId="83" xr:uid="{00000000-0005-0000-0000-000052000000}"/>
    <cellStyle name="Currency 2 3" xfId="84" xr:uid="{00000000-0005-0000-0000-000053000000}"/>
    <cellStyle name="Currency 3" xfId="85" xr:uid="{00000000-0005-0000-0000-000054000000}"/>
    <cellStyle name="Currency 4" xfId="86" xr:uid="{00000000-0005-0000-0000-000055000000}"/>
    <cellStyle name="Currency 5" xfId="87" xr:uid="{00000000-0005-0000-0000-000056000000}"/>
    <cellStyle name="Currency 6" xfId="88" xr:uid="{00000000-0005-0000-0000-000057000000}"/>
    <cellStyle name="Currency 7" xfId="89" xr:uid="{00000000-0005-0000-0000-000058000000}"/>
    <cellStyle name="Currency0" xfId="90" xr:uid="{00000000-0005-0000-0000-000059000000}"/>
    <cellStyle name="Data" xfId="91" xr:uid="{00000000-0005-0000-0000-00005A000000}"/>
    <cellStyle name="Data 2" xfId="92" xr:uid="{00000000-0005-0000-0000-00005B000000}"/>
    <cellStyle name="Data no deci" xfId="93" xr:uid="{00000000-0005-0000-0000-00005C000000}"/>
    <cellStyle name="Data Superscript" xfId="94" xr:uid="{00000000-0005-0000-0000-00005D000000}"/>
    <cellStyle name="Data_1-1A-Regular" xfId="95" xr:uid="{00000000-0005-0000-0000-00005E000000}"/>
    <cellStyle name="Data-one deci" xfId="96" xr:uid="{00000000-0005-0000-0000-00005F000000}"/>
    <cellStyle name="Date" xfId="97" xr:uid="{00000000-0005-0000-0000-000060000000}"/>
    <cellStyle name="Explanatory Text 2" xfId="98" xr:uid="{00000000-0005-0000-0000-000061000000}"/>
    <cellStyle name="Fixed" xfId="99" xr:uid="{00000000-0005-0000-0000-000062000000}"/>
    <cellStyle name="Good 2" xfId="100" xr:uid="{00000000-0005-0000-0000-000063000000}"/>
    <cellStyle name="Grey" xfId="101" xr:uid="{00000000-0005-0000-0000-000064000000}"/>
    <cellStyle name="Heading 1 2" xfId="102" xr:uid="{00000000-0005-0000-0000-000065000000}"/>
    <cellStyle name="Heading 2 2" xfId="103" xr:uid="{00000000-0005-0000-0000-000066000000}"/>
    <cellStyle name="Heading 2 2 2" xfId="104" xr:uid="{00000000-0005-0000-0000-000067000000}"/>
    <cellStyle name="Heading 2 3" xfId="105" xr:uid="{00000000-0005-0000-0000-000068000000}"/>
    <cellStyle name="Heading 2 4" xfId="106" xr:uid="{00000000-0005-0000-0000-000069000000}"/>
    <cellStyle name="Heading 3 2" xfId="107" xr:uid="{00000000-0005-0000-0000-00006A000000}"/>
    <cellStyle name="Heading 4 2" xfId="108" xr:uid="{00000000-0005-0000-0000-00006B000000}"/>
    <cellStyle name="Hed Side" xfId="109" xr:uid="{00000000-0005-0000-0000-00006C000000}"/>
    <cellStyle name="Hed Side 2" xfId="110" xr:uid="{00000000-0005-0000-0000-00006D000000}"/>
    <cellStyle name="Hed Side bold" xfId="111" xr:uid="{00000000-0005-0000-0000-00006E000000}"/>
    <cellStyle name="Hed Side Indent" xfId="112" xr:uid="{00000000-0005-0000-0000-00006F000000}"/>
    <cellStyle name="Hed Side Regular" xfId="113" xr:uid="{00000000-0005-0000-0000-000070000000}"/>
    <cellStyle name="Hed Side_1-1A-Regular" xfId="114" xr:uid="{00000000-0005-0000-0000-000071000000}"/>
    <cellStyle name="Hed Top" xfId="115" xr:uid="{00000000-0005-0000-0000-000072000000}"/>
    <cellStyle name="Hed Top - SECTION" xfId="116" xr:uid="{00000000-0005-0000-0000-000073000000}"/>
    <cellStyle name="Hed Top 2" xfId="117" xr:uid="{00000000-0005-0000-0000-000074000000}"/>
    <cellStyle name="Hed Top_3-new4" xfId="118" xr:uid="{00000000-0005-0000-0000-000075000000}"/>
    <cellStyle name="Hyperlink" xfId="282" builtinId="8"/>
    <cellStyle name="Hyperlink 2" xfId="119" xr:uid="{00000000-0005-0000-0000-000076000000}"/>
    <cellStyle name="Hyperlink 2 2" xfId="120" xr:uid="{00000000-0005-0000-0000-000077000000}"/>
    <cellStyle name="Hyperlink 3" xfId="121" xr:uid="{00000000-0005-0000-0000-000078000000}"/>
    <cellStyle name="Hyperlink 4" xfId="122" xr:uid="{00000000-0005-0000-0000-000079000000}"/>
    <cellStyle name="Input [yellow]" xfId="123" xr:uid="{00000000-0005-0000-0000-00007A000000}"/>
    <cellStyle name="Input 10" xfId="124" xr:uid="{00000000-0005-0000-0000-00007B000000}"/>
    <cellStyle name="Input 11" xfId="125" xr:uid="{00000000-0005-0000-0000-00007C000000}"/>
    <cellStyle name="Input 12" xfId="126" xr:uid="{00000000-0005-0000-0000-00007D000000}"/>
    <cellStyle name="Input 13" xfId="127" xr:uid="{00000000-0005-0000-0000-00007E000000}"/>
    <cellStyle name="Input 14" xfId="128" xr:uid="{00000000-0005-0000-0000-00007F000000}"/>
    <cellStyle name="Input 15" xfId="129" xr:uid="{00000000-0005-0000-0000-000080000000}"/>
    <cellStyle name="Input 2" xfId="130" xr:uid="{00000000-0005-0000-0000-000081000000}"/>
    <cellStyle name="Input 2 2" xfId="131" xr:uid="{00000000-0005-0000-0000-000082000000}"/>
    <cellStyle name="Input 2 3" xfId="132" xr:uid="{00000000-0005-0000-0000-000083000000}"/>
    <cellStyle name="Input 2 4" xfId="133" xr:uid="{00000000-0005-0000-0000-000084000000}"/>
    <cellStyle name="Input 2 5" xfId="134" xr:uid="{00000000-0005-0000-0000-000085000000}"/>
    <cellStyle name="Input 2 6" xfId="135" xr:uid="{00000000-0005-0000-0000-000086000000}"/>
    <cellStyle name="Input 3" xfId="136" xr:uid="{00000000-0005-0000-0000-000087000000}"/>
    <cellStyle name="Input 4" xfId="137" xr:uid="{00000000-0005-0000-0000-000088000000}"/>
    <cellStyle name="Input 5" xfId="138" xr:uid="{00000000-0005-0000-0000-000089000000}"/>
    <cellStyle name="Input 6" xfId="139" xr:uid="{00000000-0005-0000-0000-00008A000000}"/>
    <cellStyle name="Input 7" xfId="140" xr:uid="{00000000-0005-0000-0000-00008B000000}"/>
    <cellStyle name="Input 8" xfId="141" xr:uid="{00000000-0005-0000-0000-00008C000000}"/>
    <cellStyle name="Input 9" xfId="142" xr:uid="{00000000-0005-0000-0000-00008D000000}"/>
    <cellStyle name="Linked Cell 2" xfId="143" xr:uid="{00000000-0005-0000-0000-00008E000000}"/>
    <cellStyle name="Neutral 2" xfId="144" xr:uid="{00000000-0005-0000-0000-00008F000000}"/>
    <cellStyle name="Normal" xfId="0" builtinId="0"/>
    <cellStyle name="Normal - Style1" xfId="145" xr:uid="{00000000-0005-0000-0000-000091000000}"/>
    <cellStyle name="Normal 10" xfId="146" xr:uid="{00000000-0005-0000-0000-000092000000}"/>
    <cellStyle name="Normal 11" xfId="147" xr:uid="{00000000-0005-0000-0000-000093000000}"/>
    <cellStyle name="Normal 12" xfId="148" xr:uid="{00000000-0005-0000-0000-000094000000}"/>
    <cellStyle name="Normal 13" xfId="149" xr:uid="{00000000-0005-0000-0000-000095000000}"/>
    <cellStyle name="Normal 14" xfId="150" xr:uid="{00000000-0005-0000-0000-000096000000}"/>
    <cellStyle name="Normal 15" xfId="151" xr:uid="{00000000-0005-0000-0000-000097000000}"/>
    <cellStyle name="Normal 16" xfId="152" xr:uid="{00000000-0005-0000-0000-000098000000}"/>
    <cellStyle name="Normal 17" xfId="153" xr:uid="{00000000-0005-0000-0000-000099000000}"/>
    <cellStyle name="Normal 18" xfId="154" xr:uid="{00000000-0005-0000-0000-00009A000000}"/>
    <cellStyle name="Normal 19" xfId="155" xr:uid="{00000000-0005-0000-0000-00009B000000}"/>
    <cellStyle name="Normal 2" xfId="156" xr:uid="{00000000-0005-0000-0000-00009C000000}"/>
    <cellStyle name="Normal 2 2" xfId="157" xr:uid="{00000000-0005-0000-0000-00009D000000}"/>
    <cellStyle name="Normal 2 2 2" xfId="158" xr:uid="{00000000-0005-0000-0000-00009E000000}"/>
    <cellStyle name="Normal 2 2 2 2" xfId="281" xr:uid="{00000000-0005-0000-0000-00009F000000}"/>
    <cellStyle name="Normal 2 3" xfId="159" xr:uid="{00000000-0005-0000-0000-0000A0000000}"/>
    <cellStyle name="Normal 2 4" xfId="160" xr:uid="{00000000-0005-0000-0000-0000A1000000}"/>
    <cellStyle name="Normal 2 5" xfId="161" xr:uid="{00000000-0005-0000-0000-0000A2000000}"/>
    <cellStyle name="Normal 2 6" xfId="162" xr:uid="{00000000-0005-0000-0000-0000A3000000}"/>
    <cellStyle name="Normal 2 7" xfId="163" xr:uid="{00000000-0005-0000-0000-0000A4000000}"/>
    <cellStyle name="Normal 2 8" xfId="164" xr:uid="{00000000-0005-0000-0000-0000A5000000}"/>
    <cellStyle name="Normal 2_steeplechaseconcept4" xfId="165" xr:uid="{00000000-0005-0000-0000-0000A6000000}"/>
    <cellStyle name="Normal 20" xfId="166" xr:uid="{00000000-0005-0000-0000-0000A7000000}"/>
    <cellStyle name="Normal 21" xfId="167" xr:uid="{00000000-0005-0000-0000-0000A8000000}"/>
    <cellStyle name="Normal 22" xfId="168" xr:uid="{00000000-0005-0000-0000-0000A9000000}"/>
    <cellStyle name="Normal 23" xfId="169" xr:uid="{00000000-0005-0000-0000-0000AA000000}"/>
    <cellStyle name="Normal 24" xfId="170" xr:uid="{00000000-0005-0000-0000-0000AB000000}"/>
    <cellStyle name="Normal 24 2" xfId="171" xr:uid="{00000000-0005-0000-0000-0000AC000000}"/>
    <cellStyle name="Normal 25" xfId="172" xr:uid="{00000000-0005-0000-0000-0000AD000000}"/>
    <cellStyle name="Normal 26" xfId="173" xr:uid="{00000000-0005-0000-0000-0000AE000000}"/>
    <cellStyle name="Normal 27" xfId="174" xr:uid="{00000000-0005-0000-0000-0000AF000000}"/>
    <cellStyle name="Normal 28" xfId="175" xr:uid="{00000000-0005-0000-0000-0000B0000000}"/>
    <cellStyle name="Normal 29" xfId="176" xr:uid="{00000000-0005-0000-0000-0000B1000000}"/>
    <cellStyle name="Normal 3" xfId="177" xr:uid="{00000000-0005-0000-0000-0000B2000000}"/>
    <cellStyle name="Normal 3 2" xfId="178" xr:uid="{00000000-0005-0000-0000-0000B3000000}"/>
    <cellStyle name="Normal 3 3" xfId="179" xr:uid="{00000000-0005-0000-0000-0000B4000000}"/>
    <cellStyle name="Normal 3 4" xfId="180" xr:uid="{00000000-0005-0000-0000-0000B5000000}"/>
    <cellStyle name="Normal 3 5" xfId="181" xr:uid="{00000000-0005-0000-0000-0000B6000000}"/>
    <cellStyle name="Normal 30" xfId="182" xr:uid="{00000000-0005-0000-0000-0000B7000000}"/>
    <cellStyle name="Normal 31" xfId="183" xr:uid="{00000000-0005-0000-0000-0000B8000000}"/>
    <cellStyle name="Normal 32" xfId="184" xr:uid="{00000000-0005-0000-0000-0000B9000000}"/>
    <cellStyle name="Normal 33" xfId="185" xr:uid="{00000000-0005-0000-0000-0000BA000000}"/>
    <cellStyle name="Normal 34" xfId="186" xr:uid="{00000000-0005-0000-0000-0000BB000000}"/>
    <cellStyle name="Normal 35" xfId="187" xr:uid="{00000000-0005-0000-0000-0000BC000000}"/>
    <cellStyle name="Normal 4" xfId="188" xr:uid="{00000000-0005-0000-0000-0000BD000000}"/>
    <cellStyle name="Normal 4 2" xfId="189" xr:uid="{00000000-0005-0000-0000-0000BE000000}"/>
    <cellStyle name="Normal 5" xfId="190" xr:uid="{00000000-0005-0000-0000-0000BF000000}"/>
    <cellStyle name="Normal 5 2" xfId="191" xr:uid="{00000000-0005-0000-0000-0000C0000000}"/>
    <cellStyle name="Normal 5 2 2" xfId="192" xr:uid="{00000000-0005-0000-0000-0000C1000000}"/>
    <cellStyle name="Normal 5 3" xfId="193" xr:uid="{00000000-0005-0000-0000-0000C2000000}"/>
    <cellStyle name="Normal 51" xfId="194" xr:uid="{00000000-0005-0000-0000-0000C3000000}"/>
    <cellStyle name="Normal 54" xfId="195" xr:uid="{00000000-0005-0000-0000-0000C4000000}"/>
    <cellStyle name="Normal 6" xfId="196" xr:uid="{00000000-0005-0000-0000-0000C5000000}"/>
    <cellStyle name="Normal 6 2" xfId="197" xr:uid="{00000000-0005-0000-0000-0000C6000000}"/>
    <cellStyle name="Normal 6 3" xfId="198" xr:uid="{00000000-0005-0000-0000-0000C7000000}"/>
    <cellStyle name="Normal 7" xfId="199" xr:uid="{00000000-0005-0000-0000-0000C8000000}"/>
    <cellStyle name="Normal 7 2" xfId="200" xr:uid="{00000000-0005-0000-0000-0000C9000000}"/>
    <cellStyle name="Normal 8" xfId="201" xr:uid="{00000000-0005-0000-0000-0000CA000000}"/>
    <cellStyle name="Normal 9" xfId="202" xr:uid="{00000000-0005-0000-0000-0000CB000000}"/>
    <cellStyle name="Normal_Bc_model 2" xfId="203" xr:uid="{00000000-0005-0000-0000-0000CC000000}"/>
    <cellStyle name="Note 2" xfId="204" xr:uid="{00000000-0005-0000-0000-0000CD000000}"/>
    <cellStyle name="Note 3" xfId="205" xr:uid="{00000000-0005-0000-0000-0000CE000000}"/>
    <cellStyle name="Output 2" xfId="206" xr:uid="{00000000-0005-0000-0000-0000CF000000}"/>
    <cellStyle name="Percent" xfId="207" builtinId="5"/>
    <cellStyle name="Percent [2]" xfId="208" xr:uid="{00000000-0005-0000-0000-0000D1000000}"/>
    <cellStyle name="Percent 10" xfId="209" xr:uid="{00000000-0005-0000-0000-0000D2000000}"/>
    <cellStyle name="Percent 11" xfId="210" xr:uid="{00000000-0005-0000-0000-0000D3000000}"/>
    <cellStyle name="Percent 12" xfId="211" xr:uid="{00000000-0005-0000-0000-0000D4000000}"/>
    <cellStyle name="Percent 13" xfId="212" xr:uid="{00000000-0005-0000-0000-0000D5000000}"/>
    <cellStyle name="Percent 2" xfId="213" xr:uid="{00000000-0005-0000-0000-0000D6000000}"/>
    <cellStyle name="Percent 2 2" xfId="214" xr:uid="{00000000-0005-0000-0000-0000D7000000}"/>
    <cellStyle name="Percent 2 3" xfId="215" xr:uid="{00000000-0005-0000-0000-0000D8000000}"/>
    <cellStyle name="Percent 2 4" xfId="216" xr:uid="{00000000-0005-0000-0000-0000D9000000}"/>
    <cellStyle name="Percent 2 5" xfId="217" xr:uid="{00000000-0005-0000-0000-0000DA000000}"/>
    <cellStyle name="Percent 2 6" xfId="218" xr:uid="{00000000-0005-0000-0000-0000DB000000}"/>
    <cellStyle name="Percent 2 7" xfId="219" xr:uid="{00000000-0005-0000-0000-0000DC000000}"/>
    <cellStyle name="Percent 3" xfId="220" xr:uid="{00000000-0005-0000-0000-0000DD000000}"/>
    <cellStyle name="Percent 3 2" xfId="221" xr:uid="{00000000-0005-0000-0000-0000DE000000}"/>
    <cellStyle name="Percent 4" xfId="222" xr:uid="{00000000-0005-0000-0000-0000DF000000}"/>
    <cellStyle name="Percent 4 2" xfId="223" xr:uid="{00000000-0005-0000-0000-0000E0000000}"/>
    <cellStyle name="Percent 4 3" xfId="224" xr:uid="{00000000-0005-0000-0000-0000E1000000}"/>
    <cellStyle name="Percent 5" xfId="225" xr:uid="{00000000-0005-0000-0000-0000E2000000}"/>
    <cellStyle name="Percent 5 2" xfId="226" xr:uid="{00000000-0005-0000-0000-0000E3000000}"/>
    <cellStyle name="Percent 6" xfId="227" xr:uid="{00000000-0005-0000-0000-0000E4000000}"/>
    <cellStyle name="Percent 7" xfId="228" xr:uid="{00000000-0005-0000-0000-0000E5000000}"/>
    <cellStyle name="Percent 8" xfId="229" xr:uid="{00000000-0005-0000-0000-0000E6000000}"/>
    <cellStyle name="Percent 9" xfId="230" xr:uid="{00000000-0005-0000-0000-0000E7000000}"/>
    <cellStyle name="Refdb standard" xfId="231" xr:uid="{00000000-0005-0000-0000-0000E8000000}"/>
    <cellStyle name="Reference" xfId="232" xr:uid="{00000000-0005-0000-0000-0000E9000000}"/>
    <cellStyle name="RHlayer1" xfId="233" xr:uid="{00000000-0005-0000-0000-0000EA000000}"/>
    <cellStyle name="RHlayer2" xfId="234" xr:uid="{00000000-0005-0000-0000-0000EB000000}"/>
    <cellStyle name="RHlayer3" xfId="235" xr:uid="{00000000-0005-0000-0000-0000EC000000}"/>
    <cellStyle name="RHlayer4" xfId="236" xr:uid="{00000000-0005-0000-0000-0000ED000000}"/>
    <cellStyle name="RHlayer5" xfId="237" xr:uid="{00000000-0005-0000-0000-0000EE000000}"/>
    <cellStyle name="RHlayer6" xfId="238" xr:uid="{00000000-0005-0000-0000-0000EF000000}"/>
    <cellStyle name="RHlevel1" xfId="239" xr:uid="{00000000-0005-0000-0000-0000F0000000}"/>
    <cellStyle name="RHlevel2" xfId="240" xr:uid="{00000000-0005-0000-0000-0000F1000000}"/>
    <cellStyle name="RHlevel3" xfId="241" xr:uid="{00000000-0005-0000-0000-0000F2000000}"/>
    <cellStyle name="RHlevel4" xfId="242" xr:uid="{00000000-0005-0000-0000-0000F3000000}"/>
    <cellStyle name="RHlevel5" xfId="243" xr:uid="{00000000-0005-0000-0000-0000F4000000}"/>
    <cellStyle name="Row heading" xfId="244" xr:uid="{00000000-0005-0000-0000-0000F5000000}"/>
    <cellStyle name="Source Hed" xfId="245" xr:uid="{00000000-0005-0000-0000-0000F6000000}"/>
    <cellStyle name="Source Letter" xfId="246" xr:uid="{00000000-0005-0000-0000-0000F7000000}"/>
    <cellStyle name="Source Superscript" xfId="247" xr:uid="{00000000-0005-0000-0000-0000F8000000}"/>
    <cellStyle name="Source Superscript 2" xfId="248" xr:uid="{00000000-0005-0000-0000-0000F9000000}"/>
    <cellStyle name="Source Text" xfId="249" xr:uid="{00000000-0005-0000-0000-0000FA000000}"/>
    <cellStyle name="Source Text 2" xfId="250" xr:uid="{00000000-0005-0000-0000-0000FB000000}"/>
    <cellStyle name="Source Text 3" xfId="251" xr:uid="{00000000-0005-0000-0000-0000FC000000}"/>
    <cellStyle name="State" xfId="252" xr:uid="{00000000-0005-0000-0000-0000FD000000}"/>
    <cellStyle name="Style 1" xfId="253" xr:uid="{00000000-0005-0000-0000-0000FE000000}"/>
    <cellStyle name="Superscript" xfId="254" xr:uid="{00000000-0005-0000-0000-0000FF000000}"/>
    <cellStyle name="Superscript- regular" xfId="255" xr:uid="{00000000-0005-0000-0000-000000010000}"/>
    <cellStyle name="Superscript_1-1A-Regular" xfId="256" xr:uid="{00000000-0005-0000-0000-000001010000}"/>
    <cellStyle name="Table Data" xfId="257" xr:uid="{00000000-0005-0000-0000-000002010000}"/>
    <cellStyle name="Table Head Top" xfId="258" xr:uid="{00000000-0005-0000-0000-000003010000}"/>
    <cellStyle name="Table Hed Side" xfId="259" xr:uid="{00000000-0005-0000-0000-000004010000}"/>
    <cellStyle name="Table Title" xfId="260" xr:uid="{00000000-0005-0000-0000-000005010000}"/>
    <cellStyle name="Times New Roman" xfId="261" xr:uid="{00000000-0005-0000-0000-000006010000}"/>
    <cellStyle name="Title Text" xfId="262" xr:uid="{00000000-0005-0000-0000-000007010000}"/>
    <cellStyle name="Title Text 1" xfId="263" xr:uid="{00000000-0005-0000-0000-000008010000}"/>
    <cellStyle name="Title Text 2" xfId="264" xr:uid="{00000000-0005-0000-0000-000009010000}"/>
    <cellStyle name="Title-1" xfId="265" xr:uid="{00000000-0005-0000-0000-00000A010000}"/>
    <cellStyle name="Title-1 2" xfId="266" xr:uid="{00000000-0005-0000-0000-00000B010000}"/>
    <cellStyle name="Title-1 3" xfId="267" xr:uid="{00000000-0005-0000-0000-00000C010000}"/>
    <cellStyle name="Title-2" xfId="268" xr:uid="{00000000-0005-0000-0000-00000D010000}"/>
    <cellStyle name="Title-2 2" xfId="269" xr:uid="{00000000-0005-0000-0000-00000E010000}"/>
    <cellStyle name="Title-3" xfId="270" xr:uid="{00000000-0005-0000-0000-00000F010000}"/>
    <cellStyle name="Total 2" xfId="271" xr:uid="{00000000-0005-0000-0000-000010010000}"/>
    <cellStyle name="Total 3" xfId="272" xr:uid="{00000000-0005-0000-0000-000011010000}"/>
    <cellStyle name="Warning Text 2" xfId="273" xr:uid="{00000000-0005-0000-0000-000012010000}"/>
    <cellStyle name="Warning Text 2 2" xfId="274" xr:uid="{00000000-0005-0000-0000-000013010000}"/>
    <cellStyle name="Warning Text 2 3" xfId="275" xr:uid="{00000000-0005-0000-0000-000014010000}"/>
    <cellStyle name="Warning Text 2 4" xfId="276" xr:uid="{00000000-0005-0000-0000-000015010000}"/>
    <cellStyle name="Wrap" xfId="277" xr:uid="{00000000-0005-0000-0000-000016010000}"/>
    <cellStyle name="Wrap Bold" xfId="278" xr:uid="{00000000-0005-0000-0000-000017010000}"/>
    <cellStyle name="Wrap Title" xfId="279" xr:uid="{00000000-0005-0000-0000-000018010000}"/>
    <cellStyle name="Wrap_NTS99-~11" xfId="280" xr:uid="{00000000-0005-0000-0000-000019010000}"/>
  </cellStyles>
  <dxfs count="2">
    <dxf>
      <fill>
        <patternFill>
          <bgColor rgb="FFCCFFCC"/>
        </patternFill>
      </fill>
    </dxf>
    <dxf>
      <fill>
        <patternFill>
          <bgColor rgb="FFCCFF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jpeg"/><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2</xdr:col>
      <xdr:colOff>762000</xdr:colOff>
      <xdr:row>1</xdr:row>
      <xdr:rowOff>1552575</xdr:rowOff>
    </xdr:from>
    <xdr:to>
      <xdr:col>2</xdr:col>
      <xdr:colOff>5343525</xdr:colOff>
      <xdr:row>18</xdr:row>
      <xdr:rowOff>114300</xdr:rowOff>
    </xdr:to>
    <xdr:grpSp>
      <xdr:nvGrpSpPr>
        <xdr:cNvPr id="11469" name="Group 1">
          <a:extLst>
            <a:ext uri="{FF2B5EF4-FFF2-40B4-BE49-F238E27FC236}">
              <a16:creationId xmlns:a16="http://schemas.microsoft.com/office/drawing/2014/main" id="{00000000-0008-0000-0000-0000CD2C0000}"/>
            </a:ext>
            <a:ext uri="{C183D7F6-B498-43B3-948B-1728B52AA6E4}">
              <adec:decorative xmlns:adec="http://schemas.microsoft.com/office/drawing/2017/decorative" val="1"/>
            </a:ext>
          </a:extLst>
        </xdr:cNvPr>
        <xdr:cNvGrpSpPr>
          <a:grpSpLocks/>
        </xdr:cNvGrpSpPr>
      </xdr:nvGrpSpPr>
      <xdr:grpSpPr bwMode="auto">
        <a:xfrm>
          <a:off x="4738688" y="1735138"/>
          <a:ext cx="4581525" cy="2998787"/>
          <a:chOff x="2286000" y="1922859"/>
          <a:chExt cx="4572000" cy="3012281"/>
        </a:xfrm>
      </xdr:grpSpPr>
      <xdr:pic>
        <xdr:nvPicPr>
          <xdr:cNvPr id="11471" name="Picture 2">
            <a:extLst>
              <a:ext uri="{FF2B5EF4-FFF2-40B4-BE49-F238E27FC236}">
                <a16:creationId xmlns:a16="http://schemas.microsoft.com/office/drawing/2014/main" id="{00000000-0008-0000-0000-0000CF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0" y="1922859"/>
            <a:ext cx="4572000" cy="30122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472" name="Picture 3" descr="C:\Users\cwillige\AppData\Local\Microsoft\Windows\Temporary Internet Files\Content.IE5\15D66EJW\2648217927_92876ba92a_z[1].jpg">
            <a:extLst>
              <a:ext uri="{FF2B5EF4-FFF2-40B4-BE49-F238E27FC236}">
                <a16:creationId xmlns:a16="http://schemas.microsoft.com/office/drawing/2014/main" id="{00000000-0008-0000-0000-0000D02C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352799" y="3711558"/>
            <a:ext cx="539413" cy="338204"/>
          </a:xfrm>
          <a:prstGeom prst="rect">
            <a:avLst/>
          </a:prstGeom>
          <a:noFill/>
          <a:ln>
            <a:noFill/>
          </a:ln>
          <a:effectLst>
            <a:outerShdw dist="76201" dir="2700000" algn="tl" rotWithShape="0">
              <a:srgbClr val="000000">
                <a:alpha val="29999"/>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1</xdr:col>
      <xdr:colOff>333375</xdr:colOff>
      <xdr:row>1</xdr:row>
      <xdr:rowOff>171450</xdr:rowOff>
    </xdr:from>
    <xdr:to>
      <xdr:col>1</xdr:col>
      <xdr:colOff>1590675</xdr:colOff>
      <xdr:row>1</xdr:row>
      <xdr:rowOff>1666875</xdr:rowOff>
    </xdr:to>
    <xdr:pic>
      <xdr:nvPicPr>
        <xdr:cNvPr id="11470" name="Picture 128" descr="Brandmark of Caltrans">
          <a:extLst>
            <a:ext uri="{FF2B5EF4-FFF2-40B4-BE49-F238E27FC236}">
              <a16:creationId xmlns:a16="http://schemas.microsoft.com/office/drawing/2014/main" id="{00000000-0008-0000-0000-0000CE2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24100" y="333375"/>
          <a:ext cx="1257300" cy="1495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76200</xdr:rowOff>
        </xdr:from>
        <xdr:to>
          <xdr:col>0</xdr:col>
          <xdr:colOff>6057900</xdr:colOff>
          <xdr:row>47</xdr:row>
          <xdr:rowOff>133350</xdr:rowOff>
        </xdr:to>
        <xdr:sp macro="" textlink="">
          <xdr:nvSpPr>
            <xdr:cNvPr id="11297" name="Object 33" descr="Here are instructions for Cal-B/C. For more information please contact eab@dot.ca.gov." hidden="1">
              <a:extLst>
                <a:ext uri="{63B3BB69-23CF-44E3-9099-C40C66FF867C}">
                  <a14:compatExt spid="_x0000_s11297"/>
                </a:ext>
                <a:ext uri="{FF2B5EF4-FFF2-40B4-BE49-F238E27FC236}">
                  <a16:creationId xmlns:a16="http://schemas.microsoft.com/office/drawing/2014/main" id="{00000000-0008-0000-0100-00002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0</xdr:row>
          <xdr:rowOff>76200</xdr:rowOff>
        </xdr:from>
        <xdr:to>
          <xdr:col>1</xdr:col>
          <xdr:colOff>6057900</xdr:colOff>
          <xdr:row>51</xdr:row>
          <xdr:rowOff>38100</xdr:rowOff>
        </xdr:to>
        <xdr:sp macro="" textlink="">
          <xdr:nvSpPr>
            <xdr:cNvPr id="11298" name="Object 34" descr="Here are instructions for Cal-B/C. For more information please contact eab@dot.ca.gov." hidden="1">
              <a:extLst>
                <a:ext uri="{63B3BB69-23CF-44E3-9099-C40C66FF867C}">
                  <a14:compatExt spid="_x0000_s11298"/>
                </a:ext>
                <a:ext uri="{FF2B5EF4-FFF2-40B4-BE49-F238E27FC236}">
                  <a16:creationId xmlns:a16="http://schemas.microsoft.com/office/drawing/2014/main" id="{00000000-0008-0000-0100-00002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0</xdr:row>
          <xdr:rowOff>76200</xdr:rowOff>
        </xdr:from>
        <xdr:to>
          <xdr:col>2</xdr:col>
          <xdr:colOff>6057900</xdr:colOff>
          <xdr:row>51</xdr:row>
          <xdr:rowOff>146050</xdr:rowOff>
        </xdr:to>
        <xdr:sp macro="" textlink="">
          <xdr:nvSpPr>
            <xdr:cNvPr id="11299" name="Object 35" descr="Here are instructions for Cal-B/C. For more information please contact eab@dot.ca.gov." hidden="1">
              <a:extLst>
                <a:ext uri="{63B3BB69-23CF-44E3-9099-C40C66FF867C}">
                  <a14:compatExt spid="_x0000_s11299"/>
                </a:ext>
                <a:ext uri="{FF2B5EF4-FFF2-40B4-BE49-F238E27FC236}">
                  <a16:creationId xmlns:a16="http://schemas.microsoft.com/office/drawing/2014/main" id="{00000000-0008-0000-0100-00002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0</xdr:row>
          <xdr:rowOff>76200</xdr:rowOff>
        </xdr:from>
        <xdr:to>
          <xdr:col>3</xdr:col>
          <xdr:colOff>6057900</xdr:colOff>
          <xdr:row>47</xdr:row>
          <xdr:rowOff>76200</xdr:rowOff>
        </xdr:to>
        <xdr:sp macro="" textlink="">
          <xdr:nvSpPr>
            <xdr:cNvPr id="11300" name="Object 36" descr="Here are instructions for Cal-B/C. For more information please contact eab@dot.ca.gov." hidden="1">
              <a:extLst>
                <a:ext uri="{63B3BB69-23CF-44E3-9099-C40C66FF867C}">
                  <a14:compatExt spid="_x0000_s11300"/>
                </a:ext>
                <a:ext uri="{FF2B5EF4-FFF2-40B4-BE49-F238E27FC236}">
                  <a16:creationId xmlns:a16="http://schemas.microsoft.com/office/drawing/2014/main" id="{00000000-0008-0000-0100-00002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0</xdr:row>
          <xdr:rowOff>76200</xdr:rowOff>
        </xdr:from>
        <xdr:to>
          <xdr:col>4</xdr:col>
          <xdr:colOff>6057900</xdr:colOff>
          <xdr:row>51</xdr:row>
          <xdr:rowOff>88900</xdr:rowOff>
        </xdr:to>
        <xdr:sp macro="" textlink="">
          <xdr:nvSpPr>
            <xdr:cNvPr id="11301" name="Object 37" descr="Here are instructions for Cal-B/C. For more information please contact eab@dot.ca.gov." hidden="1">
              <a:extLst>
                <a:ext uri="{63B3BB69-23CF-44E3-9099-C40C66FF867C}">
                  <a14:compatExt spid="_x0000_s11301"/>
                </a:ext>
                <a:ext uri="{FF2B5EF4-FFF2-40B4-BE49-F238E27FC236}">
                  <a16:creationId xmlns:a16="http://schemas.microsoft.com/office/drawing/2014/main" id="{00000000-0008-0000-0100-00002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0</xdr:row>
          <xdr:rowOff>76200</xdr:rowOff>
        </xdr:from>
        <xdr:to>
          <xdr:col>5</xdr:col>
          <xdr:colOff>6057900</xdr:colOff>
          <xdr:row>51</xdr:row>
          <xdr:rowOff>114300</xdr:rowOff>
        </xdr:to>
        <xdr:sp macro="" textlink="">
          <xdr:nvSpPr>
            <xdr:cNvPr id="11302" name="Object 38" descr="Here are instructions for Cal-B/C. For more information please contact eab@dot.ca.gov." hidden="1">
              <a:extLst>
                <a:ext uri="{63B3BB69-23CF-44E3-9099-C40C66FF867C}">
                  <a14:compatExt spid="_x0000_s11302"/>
                </a:ext>
                <a:ext uri="{FF2B5EF4-FFF2-40B4-BE49-F238E27FC236}">
                  <a16:creationId xmlns:a16="http://schemas.microsoft.com/office/drawing/2014/main" id="{00000000-0008-0000-0100-00002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76200</xdr:rowOff>
        </xdr:from>
        <xdr:to>
          <xdr:col>6</xdr:col>
          <xdr:colOff>6057900</xdr:colOff>
          <xdr:row>50</xdr:row>
          <xdr:rowOff>50800</xdr:rowOff>
        </xdr:to>
        <xdr:sp macro="" textlink="">
          <xdr:nvSpPr>
            <xdr:cNvPr id="11303" name="Object 39" descr="Here are instructions for Cal-B/C. For more information please contact eab@dot.ca.gov." hidden="1">
              <a:extLst>
                <a:ext uri="{63B3BB69-23CF-44E3-9099-C40C66FF867C}">
                  <a14:compatExt spid="_x0000_s11303"/>
                </a:ext>
                <a:ext uri="{FF2B5EF4-FFF2-40B4-BE49-F238E27FC236}">
                  <a16:creationId xmlns:a16="http://schemas.microsoft.com/office/drawing/2014/main" id="{00000000-0008-0000-0100-00002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0</xdr:row>
          <xdr:rowOff>76200</xdr:rowOff>
        </xdr:from>
        <xdr:to>
          <xdr:col>7</xdr:col>
          <xdr:colOff>6057900</xdr:colOff>
          <xdr:row>42</xdr:row>
          <xdr:rowOff>0</xdr:rowOff>
        </xdr:to>
        <xdr:sp macro="" textlink="">
          <xdr:nvSpPr>
            <xdr:cNvPr id="11304" name="Object 40" descr="Here are instructions for Cal-B/C. For more information please contact eab@dot.ca.gov." hidden="1">
              <a:extLst>
                <a:ext uri="{63B3BB69-23CF-44E3-9099-C40C66FF867C}">
                  <a14:compatExt spid="_x0000_s11304"/>
                </a:ext>
                <a:ext uri="{FF2B5EF4-FFF2-40B4-BE49-F238E27FC236}">
                  <a16:creationId xmlns:a16="http://schemas.microsoft.com/office/drawing/2014/main" id="{00000000-0008-0000-0100-00002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1990725</xdr:colOff>
      <xdr:row>19</xdr:row>
      <xdr:rowOff>161925</xdr:rowOff>
    </xdr:from>
    <xdr:to>
      <xdr:col>3</xdr:col>
      <xdr:colOff>9525</xdr:colOff>
      <xdr:row>21</xdr:row>
      <xdr:rowOff>9525</xdr:rowOff>
    </xdr:to>
    <xdr:sp macro="" textlink="">
      <xdr:nvSpPr>
        <xdr:cNvPr id="1507" name="Oval 2">
          <a:extLst>
            <a:ext uri="{FF2B5EF4-FFF2-40B4-BE49-F238E27FC236}">
              <a16:creationId xmlns:a16="http://schemas.microsoft.com/office/drawing/2014/main" id="{00000000-0008-0000-0200-0000E3050000}"/>
            </a:ext>
            <a:ext uri="{C183D7F6-B498-43B3-948B-1728B52AA6E4}">
              <adec:decorative xmlns:adec="http://schemas.microsoft.com/office/drawing/2017/decorative" val="1"/>
            </a:ext>
          </a:extLst>
        </xdr:cNvPr>
        <xdr:cNvSpPr>
          <a:spLocks noChangeArrowheads="1"/>
        </xdr:cNvSpPr>
      </xdr:nvSpPr>
      <xdr:spPr bwMode="auto">
        <a:xfrm>
          <a:off x="495300" y="36004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1990725</xdr:colOff>
      <xdr:row>5</xdr:row>
      <xdr:rowOff>161925</xdr:rowOff>
    </xdr:from>
    <xdr:to>
      <xdr:col>3</xdr:col>
      <xdr:colOff>9525</xdr:colOff>
      <xdr:row>7</xdr:row>
      <xdr:rowOff>9525</xdr:rowOff>
    </xdr:to>
    <xdr:sp macro="" textlink="">
      <xdr:nvSpPr>
        <xdr:cNvPr id="1508" name="Oval 6">
          <a:extLst>
            <a:ext uri="{FF2B5EF4-FFF2-40B4-BE49-F238E27FC236}">
              <a16:creationId xmlns:a16="http://schemas.microsoft.com/office/drawing/2014/main" id="{00000000-0008-0000-0200-0000E4050000}"/>
            </a:ext>
            <a:ext uri="{C183D7F6-B498-43B3-948B-1728B52AA6E4}">
              <adec:decorative xmlns:adec="http://schemas.microsoft.com/office/drawing/2017/decorative" val="1"/>
            </a:ext>
          </a:extLst>
        </xdr:cNvPr>
        <xdr:cNvSpPr>
          <a:spLocks noChangeArrowheads="1"/>
        </xdr:cNvSpPr>
      </xdr:nvSpPr>
      <xdr:spPr bwMode="auto">
        <a:xfrm>
          <a:off x="495300" y="106680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21</xdr:col>
      <xdr:colOff>57150</xdr:colOff>
      <xdr:row>5</xdr:row>
      <xdr:rowOff>142875</xdr:rowOff>
    </xdr:from>
    <xdr:to>
      <xdr:col>21</xdr:col>
      <xdr:colOff>552450</xdr:colOff>
      <xdr:row>7</xdr:row>
      <xdr:rowOff>19050</xdr:rowOff>
    </xdr:to>
    <xdr:sp macro="" textlink="">
      <xdr:nvSpPr>
        <xdr:cNvPr id="1509" name="Oval 7">
          <a:extLst>
            <a:ext uri="{FF2B5EF4-FFF2-40B4-BE49-F238E27FC236}">
              <a16:creationId xmlns:a16="http://schemas.microsoft.com/office/drawing/2014/main" id="{00000000-0008-0000-0200-0000E5050000}"/>
            </a:ext>
            <a:ext uri="{C183D7F6-B498-43B3-948B-1728B52AA6E4}">
              <adec:decorative xmlns:adec="http://schemas.microsoft.com/office/drawing/2017/decorative" val="1"/>
            </a:ext>
          </a:extLst>
        </xdr:cNvPr>
        <xdr:cNvSpPr>
          <a:spLocks noChangeArrowheads="1"/>
        </xdr:cNvSpPr>
      </xdr:nvSpPr>
      <xdr:spPr bwMode="auto">
        <a:xfrm>
          <a:off x="11868150" y="1047750"/>
          <a:ext cx="495300" cy="238125"/>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47625</xdr:colOff>
      <xdr:row>0</xdr:row>
      <xdr:rowOff>0</xdr:rowOff>
    </xdr:from>
    <xdr:to>
      <xdr:col>12</xdr:col>
      <xdr:colOff>76200</xdr:colOff>
      <xdr:row>0</xdr:row>
      <xdr:rowOff>0</xdr:rowOff>
    </xdr:to>
    <xdr:sp macro="" textlink="">
      <xdr:nvSpPr>
        <xdr:cNvPr id="1510" name="Oval 10">
          <a:extLst>
            <a:ext uri="{FF2B5EF4-FFF2-40B4-BE49-F238E27FC236}">
              <a16:creationId xmlns:a16="http://schemas.microsoft.com/office/drawing/2014/main" id="{00000000-0008-0000-0200-0000E6050000}"/>
            </a:ext>
            <a:ext uri="{C183D7F6-B498-43B3-948B-1728B52AA6E4}">
              <adec:decorative xmlns:adec="http://schemas.microsoft.com/office/drawing/2017/decorative" val="1"/>
            </a:ext>
          </a:extLst>
        </xdr:cNvPr>
        <xdr:cNvSpPr>
          <a:spLocks noChangeArrowheads="1"/>
        </xdr:cNvSpPr>
      </xdr:nvSpPr>
      <xdr:spPr bwMode="auto">
        <a:xfrm>
          <a:off x="6029325" y="0"/>
          <a:ext cx="276225" cy="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85725</xdr:colOff>
      <xdr:row>5</xdr:row>
      <xdr:rowOff>161925</xdr:rowOff>
    </xdr:from>
    <xdr:to>
      <xdr:col>12</xdr:col>
      <xdr:colOff>95250</xdr:colOff>
      <xdr:row>7</xdr:row>
      <xdr:rowOff>19050</xdr:rowOff>
    </xdr:to>
    <xdr:sp macro="" textlink="">
      <xdr:nvSpPr>
        <xdr:cNvPr id="1511" name="Oval 13">
          <a:extLst>
            <a:ext uri="{FF2B5EF4-FFF2-40B4-BE49-F238E27FC236}">
              <a16:creationId xmlns:a16="http://schemas.microsoft.com/office/drawing/2014/main" id="{00000000-0008-0000-0200-0000E7050000}"/>
            </a:ext>
            <a:ext uri="{C183D7F6-B498-43B3-948B-1728B52AA6E4}">
              <adec:decorative xmlns:adec="http://schemas.microsoft.com/office/drawing/2017/decorative" val="1"/>
            </a:ext>
          </a:extLst>
        </xdr:cNvPr>
        <xdr:cNvSpPr>
          <a:spLocks noChangeArrowheads="1"/>
        </xdr:cNvSpPr>
      </xdr:nvSpPr>
      <xdr:spPr bwMode="auto">
        <a:xfrm>
          <a:off x="5886450" y="1066800"/>
          <a:ext cx="438150" cy="219075"/>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104775</xdr:colOff>
      <xdr:row>23</xdr:row>
      <xdr:rowOff>161925</xdr:rowOff>
    </xdr:from>
    <xdr:to>
      <xdr:col>12</xdr:col>
      <xdr:colOff>114300</xdr:colOff>
      <xdr:row>25</xdr:row>
      <xdr:rowOff>19050</xdr:rowOff>
    </xdr:to>
    <xdr:sp macro="" textlink="">
      <xdr:nvSpPr>
        <xdr:cNvPr id="1512" name="Oval 15">
          <a:extLst>
            <a:ext uri="{FF2B5EF4-FFF2-40B4-BE49-F238E27FC236}">
              <a16:creationId xmlns:a16="http://schemas.microsoft.com/office/drawing/2014/main" id="{00000000-0008-0000-0200-0000E8050000}"/>
            </a:ext>
            <a:ext uri="{C183D7F6-B498-43B3-948B-1728B52AA6E4}">
              <adec:decorative xmlns:adec="http://schemas.microsoft.com/office/drawing/2017/decorative" val="1"/>
            </a:ext>
          </a:extLst>
        </xdr:cNvPr>
        <xdr:cNvSpPr>
          <a:spLocks noChangeArrowheads="1"/>
        </xdr:cNvSpPr>
      </xdr:nvSpPr>
      <xdr:spPr bwMode="auto">
        <a:xfrm>
          <a:off x="5905500" y="4324350"/>
          <a:ext cx="438150" cy="219075"/>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12</xdr:col>
          <xdr:colOff>781050</xdr:colOff>
          <xdr:row>58</xdr:row>
          <xdr:rowOff>146050</xdr:rowOff>
        </xdr:from>
        <xdr:to>
          <xdr:col>15</xdr:col>
          <xdr:colOff>533400</xdr:colOff>
          <xdr:row>61</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2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Prepare Model for Second Road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47625</xdr:colOff>
      <xdr:row>2</xdr:row>
      <xdr:rowOff>0</xdr:rowOff>
    </xdr:from>
    <xdr:to>
      <xdr:col>4</xdr:col>
      <xdr:colOff>142875</xdr:colOff>
      <xdr:row>3</xdr:row>
      <xdr:rowOff>19050</xdr:rowOff>
    </xdr:to>
    <xdr:sp macro="" textlink="">
      <xdr:nvSpPr>
        <xdr:cNvPr id="2417" name="Oval 1">
          <a:extLst>
            <a:ext uri="{FF2B5EF4-FFF2-40B4-BE49-F238E27FC236}">
              <a16:creationId xmlns:a16="http://schemas.microsoft.com/office/drawing/2014/main" id="{00000000-0008-0000-0300-000071090000}"/>
            </a:ext>
            <a:ext uri="{C183D7F6-B498-43B3-948B-1728B52AA6E4}">
              <adec:decorative xmlns:adec="http://schemas.microsoft.com/office/drawing/2017/decorative" val="1"/>
            </a:ext>
          </a:extLst>
        </xdr:cNvPr>
        <xdr:cNvSpPr>
          <a:spLocks noChangeArrowheads="1"/>
        </xdr:cNvSpPr>
      </xdr:nvSpPr>
      <xdr:spPr bwMode="auto">
        <a:xfrm>
          <a:off x="619125" y="342900"/>
          <a:ext cx="457200" cy="2476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47625</xdr:colOff>
      <xdr:row>2</xdr:row>
      <xdr:rowOff>0</xdr:rowOff>
    </xdr:from>
    <xdr:to>
      <xdr:col>16</xdr:col>
      <xdr:colOff>142875</xdr:colOff>
      <xdr:row>3</xdr:row>
      <xdr:rowOff>19050</xdr:rowOff>
    </xdr:to>
    <xdr:sp macro="" textlink="">
      <xdr:nvSpPr>
        <xdr:cNvPr id="2418" name="Oval 2">
          <a:extLst>
            <a:ext uri="{FF2B5EF4-FFF2-40B4-BE49-F238E27FC236}">
              <a16:creationId xmlns:a16="http://schemas.microsoft.com/office/drawing/2014/main" id="{00000000-0008-0000-0300-000072090000}"/>
            </a:ext>
            <a:ext uri="{C183D7F6-B498-43B3-948B-1728B52AA6E4}">
              <adec:decorative xmlns:adec="http://schemas.microsoft.com/office/drawing/2017/decorative" val="1"/>
            </a:ext>
          </a:extLst>
        </xdr:cNvPr>
        <xdr:cNvSpPr>
          <a:spLocks noChangeArrowheads="1"/>
        </xdr:cNvSpPr>
      </xdr:nvSpPr>
      <xdr:spPr bwMode="auto">
        <a:xfrm>
          <a:off x="9410700" y="342900"/>
          <a:ext cx="457200" cy="2476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47625</xdr:colOff>
      <xdr:row>2</xdr:row>
      <xdr:rowOff>0</xdr:rowOff>
    </xdr:from>
    <xdr:to>
      <xdr:col>16</xdr:col>
      <xdr:colOff>142875</xdr:colOff>
      <xdr:row>3</xdr:row>
      <xdr:rowOff>19050</xdr:rowOff>
    </xdr:to>
    <xdr:sp macro="" textlink="">
      <xdr:nvSpPr>
        <xdr:cNvPr id="2419" name="Oval 3">
          <a:extLst>
            <a:ext uri="{FF2B5EF4-FFF2-40B4-BE49-F238E27FC236}">
              <a16:creationId xmlns:a16="http://schemas.microsoft.com/office/drawing/2014/main" id="{00000000-0008-0000-0300-000073090000}"/>
            </a:ext>
            <a:ext uri="{C183D7F6-B498-43B3-948B-1728B52AA6E4}">
              <adec:decorative xmlns:adec="http://schemas.microsoft.com/office/drawing/2017/decorative" val="1"/>
            </a:ext>
          </a:extLst>
        </xdr:cNvPr>
        <xdr:cNvSpPr>
          <a:spLocks noChangeArrowheads="1"/>
        </xdr:cNvSpPr>
      </xdr:nvSpPr>
      <xdr:spPr bwMode="auto">
        <a:xfrm>
          <a:off x="9410700" y="342900"/>
          <a:ext cx="457200" cy="2476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47625</xdr:colOff>
      <xdr:row>35</xdr:row>
      <xdr:rowOff>0</xdr:rowOff>
    </xdr:from>
    <xdr:to>
      <xdr:col>16</xdr:col>
      <xdr:colOff>142875</xdr:colOff>
      <xdr:row>36</xdr:row>
      <xdr:rowOff>19050</xdr:rowOff>
    </xdr:to>
    <xdr:sp macro="" textlink="">
      <xdr:nvSpPr>
        <xdr:cNvPr id="2420" name="Oval 4">
          <a:extLst>
            <a:ext uri="{FF2B5EF4-FFF2-40B4-BE49-F238E27FC236}">
              <a16:creationId xmlns:a16="http://schemas.microsoft.com/office/drawing/2014/main" id="{00000000-0008-0000-0300-000074090000}"/>
            </a:ext>
            <a:ext uri="{C183D7F6-B498-43B3-948B-1728B52AA6E4}">
              <adec:decorative xmlns:adec="http://schemas.microsoft.com/office/drawing/2017/decorative" val="1"/>
            </a:ext>
          </a:extLst>
        </xdr:cNvPr>
        <xdr:cNvSpPr>
          <a:spLocks noChangeArrowheads="1"/>
        </xdr:cNvSpPr>
      </xdr:nvSpPr>
      <xdr:spPr bwMode="auto">
        <a:xfrm>
          <a:off x="9410700" y="6019800"/>
          <a:ext cx="457200" cy="257175"/>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27</xdr:col>
      <xdr:colOff>47625</xdr:colOff>
      <xdr:row>2</xdr:row>
      <xdr:rowOff>0</xdr:rowOff>
    </xdr:from>
    <xdr:to>
      <xdr:col>29</xdr:col>
      <xdr:colOff>142875</xdr:colOff>
      <xdr:row>3</xdr:row>
      <xdr:rowOff>19050</xdr:rowOff>
    </xdr:to>
    <xdr:sp macro="" textlink="">
      <xdr:nvSpPr>
        <xdr:cNvPr id="2421" name="Oval 7">
          <a:extLst>
            <a:ext uri="{FF2B5EF4-FFF2-40B4-BE49-F238E27FC236}">
              <a16:creationId xmlns:a16="http://schemas.microsoft.com/office/drawing/2014/main" id="{00000000-0008-0000-0300-000075090000}"/>
            </a:ext>
            <a:ext uri="{C183D7F6-B498-43B3-948B-1728B52AA6E4}">
              <adec:decorative xmlns:adec="http://schemas.microsoft.com/office/drawing/2017/decorative" val="1"/>
            </a:ext>
          </a:extLst>
        </xdr:cNvPr>
        <xdr:cNvSpPr>
          <a:spLocks noChangeArrowheads="1"/>
        </xdr:cNvSpPr>
      </xdr:nvSpPr>
      <xdr:spPr bwMode="auto">
        <a:xfrm>
          <a:off x="18811875" y="342900"/>
          <a:ext cx="476250" cy="2476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27</xdr:col>
      <xdr:colOff>47625</xdr:colOff>
      <xdr:row>2</xdr:row>
      <xdr:rowOff>0</xdr:rowOff>
    </xdr:from>
    <xdr:to>
      <xdr:col>29</xdr:col>
      <xdr:colOff>142875</xdr:colOff>
      <xdr:row>3</xdr:row>
      <xdr:rowOff>19050</xdr:rowOff>
    </xdr:to>
    <xdr:sp macro="" textlink="">
      <xdr:nvSpPr>
        <xdr:cNvPr id="2422" name="Oval 8">
          <a:extLst>
            <a:ext uri="{FF2B5EF4-FFF2-40B4-BE49-F238E27FC236}">
              <a16:creationId xmlns:a16="http://schemas.microsoft.com/office/drawing/2014/main" id="{00000000-0008-0000-0300-000076090000}"/>
            </a:ext>
            <a:ext uri="{C183D7F6-B498-43B3-948B-1728B52AA6E4}">
              <adec:decorative xmlns:adec="http://schemas.microsoft.com/office/drawing/2017/decorative" val="1"/>
            </a:ext>
          </a:extLst>
        </xdr:cNvPr>
        <xdr:cNvSpPr>
          <a:spLocks noChangeArrowheads="1"/>
        </xdr:cNvSpPr>
      </xdr:nvSpPr>
      <xdr:spPr bwMode="auto">
        <a:xfrm>
          <a:off x="18804548" y="351692"/>
          <a:ext cx="476250" cy="253512"/>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38</xdr:col>
      <xdr:colOff>58616</xdr:colOff>
      <xdr:row>2</xdr:row>
      <xdr:rowOff>0</xdr:rowOff>
    </xdr:from>
    <xdr:to>
      <xdr:col>40</xdr:col>
      <xdr:colOff>153866</xdr:colOff>
      <xdr:row>3</xdr:row>
      <xdr:rowOff>19050</xdr:rowOff>
    </xdr:to>
    <xdr:sp macro="" textlink="">
      <xdr:nvSpPr>
        <xdr:cNvPr id="10" name="Oval 8">
          <a:extLst>
            <a:ext uri="{FF2B5EF4-FFF2-40B4-BE49-F238E27FC236}">
              <a16:creationId xmlns:a16="http://schemas.microsoft.com/office/drawing/2014/main" id="{00000000-0008-0000-0300-00000A000000}"/>
            </a:ext>
            <a:ext uri="{C183D7F6-B498-43B3-948B-1728B52AA6E4}">
              <adec:decorative xmlns:adec="http://schemas.microsoft.com/office/drawing/2017/decorative" val="1"/>
            </a:ext>
          </a:extLst>
        </xdr:cNvPr>
        <xdr:cNvSpPr>
          <a:spLocks noChangeArrowheads="1"/>
        </xdr:cNvSpPr>
      </xdr:nvSpPr>
      <xdr:spPr bwMode="auto">
        <a:xfrm>
          <a:off x="24911539" y="351692"/>
          <a:ext cx="476250" cy="253512"/>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8</xdr:row>
      <xdr:rowOff>47625</xdr:rowOff>
    </xdr:from>
    <xdr:to>
      <xdr:col>4</xdr:col>
      <xdr:colOff>95250</xdr:colOff>
      <xdr:row>8</xdr:row>
      <xdr:rowOff>247650</xdr:rowOff>
    </xdr:to>
    <xdr:sp macro="" textlink="">
      <xdr:nvSpPr>
        <xdr:cNvPr id="3138" name="Oval 2">
          <a:extLst>
            <a:ext uri="{FF2B5EF4-FFF2-40B4-BE49-F238E27FC236}">
              <a16:creationId xmlns:a16="http://schemas.microsoft.com/office/drawing/2014/main" id="{00000000-0008-0000-0400-0000420C0000}"/>
            </a:ext>
            <a:ext uri="{C183D7F6-B498-43B3-948B-1728B52AA6E4}">
              <adec:decorative xmlns:adec="http://schemas.microsoft.com/office/drawing/2017/decorative" val="1"/>
            </a:ext>
          </a:extLst>
        </xdr:cNvPr>
        <xdr:cNvSpPr>
          <a:spLocks noChangeArrowheads="1"/>
        </xdr:cNvSpPr>
      </xdr:nvSpPr>
      <xdr:spPr bwMode="auto">
        <a:xfrm>
          <a:off x="1114425" y="1533525"/>
          <a:ext cx="352425" cy="200025"/>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19050</xdr:colOff>
      <xdr:row>14</xdr:row>
      <xdr:rowOff>57150</xdr:rowOff>
    </xdr:from>
    <xdr:to>
      <xdr:col>1</xdr:col>
      <xdr:colOff>495300</xdr:colOff>
      <xdr:row>15</xdr:row>
      <xdr:rowOff>9525</xdr:rowOff>
    </xdr:to>
    <xdr:sp macro="" textlink="">
      <xdr:nvSpPr>
        <xdr:cNvPr id="4281" name="Oval 2">
          <a:extLst>
            <a:ext uri="{FF2B5EF4-FFF2-40B4-BE49-F238E27FC236}">
              <a16:creationId xmlns:a16="http://schemas.microsoft.com/office/drawing/2014/main" id="{00000000-0008-0000-0500-0000B9100000}"/>
            </a:ext>
            <a:ext uri="{C183D7F6-B498-43B3-948B-1728B52AA6E4}">
              <adec:decorative xmlns:adec="http://schemas.microsoft.com/office/drawing/2017/decorative" val="1"/>
            </a:ext>
          </a:extLst>
        </xdr:cNvPr>
        <xdr:cNvSpPr>
          <a:spLocks noChangeArrowheads="1"/>
        </xdr:cNvSpPr>
      </xdr:nvSpPr>
      <xdr:spPr bwMode="auto">
        <a:xfrm>
          <a:off x="628650"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19050</xdr:colOff>
      <xdr:row>14</xdr:row>
      <xdr:rowOff>57150</xdr:rowOff>
    </xdr:from>
    <xdr:to>
      <xdr:col>15</xdr:col>
      <xdr:colOff>495300</xdr:colOff>
      <xdr:row>15</xdr:row>
      <xdr:rowOff>9525</xdr:rowOff>
    </xdr:to>
    <xdr:sp macro="" textlink="">
      <xdr:nvSpPr>
        <xdr:cNvPr id="4282" name="Oval 3">
          <a:extLst>
            <a:ext uri="{FF2B5EF4-FFF2-40B4-BE49-F238E27FC236}">
              <a16:creationId xmlns:a16="http://schemas.microsoft.com/office/drawing/2014/main" id="{00000000-0008-0000-0500-0000BA100000}"/>
            </a:ext>
            <a:ext uri="{C183D7F6-B498-43B3-948B-1728B52AA6E4}">
              <adec:decorative xmlns:adec="http://schemas.microsoft.com/office/drawing/2017/decorative" val="1"/>
            </a:ext>
          </a:extLst>
        </xdr:cNvPr>
        <xdr:cNvSpPr>
          <a:spLocks noChangeArrowheads="1"/>
        </xdr:cNvSpPr>
      </xdr:nvSpPr>
      <xdr:spPr bwMode="auto">
        <a:xfrm>
          <a:off x="13620750"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28</xdr:col>
      <xdr:colOff>19050</xdr:colOff>
      <xdr:row>14</xdr:row>
      <xdr:rowOff>57150</xdr:rowOff>
    </xdr:from>
    <xdr:to>
      <xdr:col>28</xdr:col>
      <xdr:colOff>495300</xdr:colOff>
      <xdr:row>15</xdr:row>
      <xdr:rowOff>9525</xdr:rowOff>
    </xdr:to>
    <xdr:sp macro="" textlink="">
      <xdr:nvSpPr>
        <xdr:cNvPr id="4283" name="Oval 4">
          <a:extLst>
            <a:ext uri="{FF2B5EF4-FFF2-40B4-BE49-F238E27FC236}">
              <a16:creationId xmlns:a16="http://schemas.microsoft.com/office/drawing/2014/main" id="{00000000-0008-0000-0500-0000BB100000}"/>
            </a:ext>
            <a:ext uri="{C183D7F6-B498-43B3-948B-1728B52AA6E4}">
              <adec:decorative xmlns:adec="http://schemas.microsoft.com/office/drawing/2017/decorative" val="1"/>
            </a:ext>
          </a:extLst>
        </xdr:cNvPr>
        <xdr:cNvSpPr>
          <a:spLocks noChangeArrowheads="1"/>
        </xdr:cNvSpPr>
      </xdr:nvSpPr>
      <xdr:spPr bwMode="auto">
        <a:xfrm>
          <a:off x="25536525"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19050</xdr:colOff>
      <xdr:row>16</xdr:row>
      <xdr:rowOff>57150</xdr:rowOff>
    </xdr:from>
    <xdr:to>
      <xdr:col>1</xdr:col>
      <xdr:colOff>495300</xdr:colOff>
      <xdr:row>17</xdr:row>
      <xdr:rowOff>9525</xdr:rowOff>
    </xdr:to>
    <xdr:sp macro="" textlink="">
      <xdr:nvSpPr>
        <xdr:cNvPr id="2" name="Oval 2" descr="Here are instructions for Cal-B/C. For more information please contact eab@dot.ca.gov.">
          <a:extLst>
            <a:ext uri="{FF2B5EF4-FFF2-40B4-BE49-F238E27FC236}">
              <a16:creationId xmlns:a16="http://schemas.microsoft.com/office/drawing/2014/main" id="{00000000-0008-0000-0600-000002000000}"/>
            </a:ext>
          </a:extLst>
        </xdr:cNvPr>
        <xdr:cNvSpPr>
          <a:spLocks noChangeArrowheads="1"/>
        </xdr:cNvSpPr>
      </xdr:nvSpPr>
      <xdr:spPr bwMode="auto">
        <a:xfrm>
          <a:off x="628650" y="297180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19050</xdr:colOff>
      <xdr:row>16</xdr:row>
      <xdr:rowOff>57150</xdr:rowOff>
    </xdr:from>
    <xdr:to>
      <xdr:col>15</xdr:col>
      <xdr:colOff>495300</xdr:colOff>
      <xdr:row>17</xdr:row>
      <xdr:rowOff>9525</xdr:rowOff>
    </xdr:to>
    <xdr:sp macro="" textlink="">
      <xdr:nvSpPr>
        <xdr:cNvPr id="3" name="Oval 3" descr="Here are instructions for Cal-B/C. For more information please contact eab@dot.ca.gov.">
          <a:extLst>
            <a:ext uri="{FF2B5EF4-FFF2-40B4-BE49-F238E27FC236}">
              <a16:creationId xmlns:a16="http://schemas.microsoft.com/office/drawing/2014/main" id="{00000000-0008-0000-0600-000003000000}"/>
            </a:ext>
          </a:extLst>
        </xdr:cNvPr>
        <xdr:cNvSpPr>
          <a:spLocks noChangeArrowheads="1"/>
        </xdr:cNvSpPr>
      </xdr:nvSpPr>
      <xdr:spPr bwMode="auto">
        <a:xfrm>
          <a:off x="13782675" y="297180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28</xdr:col>
      <xdr:colOff>19050</xdr:colOff>
      <xdr:row>16</xdr:row>
      <xdr:rowOff>57150</xdr:rowOff>
    </xdr:from>
    <xdr:to>
      <xdr:col>28</xdr:col>
      <xdr:colOff>495300</xdr:colOff>
      <xdr:row>17</xdr:row>
      <xdr:rowOff>9525</xdr:rowOff>
    </xdr:to>
    <xdr:sp macro="" textlink="">
      <xdr:nvSpPr>
        <xdr:cNvPr id="4" name="Oval 4" descr="Here are instructions for Cal-B/C. For more information please contact eab@dot.ca.gov.">
          <a:extLst>
            <a:ext uri="{FF2B5EF4-FFF2-40B4-BE49-F238E27FC236}">
              <a16:creationId xmlns:a16="http://schemas.microsoft.com/office/drawing/2014/main" id="{00000000-0008-0000-0600-000004000000}"/>
            </a:ext>
          </a:extLst>
        </xdr:cNvPr>
        <xdr:cNvSpPr>
          <a:spLocks noChangeArrowheads="1"/>
        </xdr:cNvSpPr>
      </xdr:nvSpPr>
      <xdr:spPr bwMode="auto">
        <a:xfrm>
          <a:off x="26003250" y="297180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19050</xdr:colOff>
      <xdr:row>14</xdr:row>
      <xdr:rowOff>57150</xdr:rowOff>
    </xdr:from>
    <xdr:to>
      <xdr:col>1</xdr:col>
      <xdr:colOff>495300</xdr:colOff>
      <xdr:row>15</xdr:row>
      <xdr:rowOff>9525</xdr:rowOff>
    </xdr:to>
    <xdr:sp macro="" textlink="">
      <xdr:nvSpPr>
        <xdr:cNvPr id="5304" name="Oval 1">
          <a:extLst>
            <a:ext uri="{FF2B5EF4-FFF2-40B4-BE49-F238E27FC236}">
              <a16:creationId xmlns:a16="http://schemas.microsoft.com/office/drawing/2014/main" id="{00000000-0008-0000-0700-0000B8140000}"/>
            </a:ext>
            <a:ext uri="{C183D7F6-B498-43B3-948B-1728B52AA6E4}">
              <adec:decorative xmlns:adec="http://schemas.microsoft.com/office/drawing/2017/decorative" val="1"/>
            </a:ext>
          </a:extLst>
        </xdr:cNvPr>
        <xdr:cNvSpPr>
          <a:spLocks noChangeArrowheads="1"/>
        </xdr:cNvSpPr>
      </xdr:nvSpPr>
      <xdr:spPr bwMode="auto">
        <a:xfrm>
          <a:off x="628650"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xdr:col>
      <xdr:colOff>19050</xdr:colOff>
      <xdr:row>14</xdr:row>
      <xdr:rowOff>57150</xdr:rowOff>
    </xdr:from>
    <xdr:to>
      <xdr:col>13</xdr:col>
      <xdr:colOff>495300</xdr:colOff>
      <xdr:row>15</xdr:row>
      <xdr:rowOff>9525</xdr:rowOff>
    </xdr:to>
    <xdr:sp macro="" textlink="">
      <xdr:nvSpPr>
        <xdr:cNvPr id="5305" name="Oval 2">
          <a:extLst>
            <a:ext uri="{FF2B5EF4-FFF2-40B4-BE49-F238E27FC236}">
              <a16:creationId xmlns:a16="http://schemas.microsoft.com/office/drawing/2014/main" id="{00000000-0008-0000-0700-0000B9140000}"/>
            </a:ext>
            <a:ext uri="{C183D7F6-B498-43B3-948B-1728B52AA6E4}">
              <adec:decorative xmlns:adec="http://schemas.microsoft.com/office/drawing/2017/decorative" val="1"/>
            </a:ext>
          </a:extLst>
        </xdr:cNvPr>
        <xdr:cNvSpPr>
          <a:spLocks noChangeArrowheads="1"/>
        </xdr:cNvSpPr>
      </xdr:nvSpPr>
      <xdr:spPr bwMode="auto">
        <a:xfrm>
          <a:off x="11630025"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25</xdr:col>
      <xdr:colOff>19050</xdr:colOff>
      <xdr:row>14</xdr:row>
      <xdr:rowOff>57150</xdr:rowOff>
    </xdr:from>
    <xdr:to>
      <xdr:col>25</xdr:col>
      <xdr:colOff>495300</xdr:colOff>
      <xdr:row>15</xdr:row>
      <xdr:rowOff>9525</xdr:rowOff>
    </xdr:to>
    <xdr:sp macro="" textlink="">
      <xdr:nvSpPr>
        <xdr:cNvPr id="5306" name="Oval 3">
          <a:extLst>
            <a:ext uri="{FF2B5EF4-FFF2-40B4-BE49-F238E27FC236}">
              <a16:creationId xmlns:a16="http://schemas.microsoft.com/office/drawing/2014/main" id="{00000000-0008-0000-0700-0000BA140000}"/>
            </a:ext>
            <a:ext uri="{C183D7F6-B498-43B3-948B-1728B52AA6E4}">
              <adec:decorative xmlns:adec="http://schemas.microsoft.com/office/drawing/2017/decorative" val="1"/>
            </a:ext>
          </a:extLst>
        </xdr:cNvPr>
        <xdr:cNvSpPr>
          <a:spLocks noChangeArrowheads="1"/>
        </xdr:cNvSpPr>
      </xdr:nvSpPr>
      <xdr:spPr bwMode="auto">
        <a:xfrm>
          <a:off x="22564725"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19050</xdr:colOff>
      <xdr:row>14</xdr:row>
      <xdr:rowOff>57150</xdr:rowOff>
    </xdr:from>
    <xdr:to>
      <xdr:col>1</xdr:col>
      <xdr:colOff>495300</xdr:colOff>
      <xdr:row>15</xdr:row>
      <xdr:rowOff>9525</xdr:rowOff>
    </xdr:to>
    <xdr:sp macro="" textlink="">
      <xdr:nvSpPr>
        <xdr:cNvPr id="6389" name="Oval 1">
          <a:extLst>
            <a:ext uri="{FF2B5EF4-FFF2-40B4-BE49-F238E27FC236}">
              <a16:creationId xmlns:a16="http://schemas.microsoft.com/office/drawing/2014/main" id="{00000000-0008-0000-0800-0000F5180000}"/>
            </a:ext>
            <a:ext uri="{C183D7F6-B498-43B3-948B-1728B52AA6E4}">
              <adec:decorative xmlns:adec="http://schemas.microsoft.com/office/drawing/2017/decorative" val="1"/>
            </a:ext>
          </a:extLst>
        </xdr:cNvPr>
        <xdr:cNvSpPr>
          <a:spLocks noChangeArrowheads="1"/>
        </xdr:cNvSpPr>
      </xdr:nvSpPr>
      <xdr:spPr bwMode="auto">
        <a:xfrm>
          <a:off x="628650"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19050</xdr:colOff>
      <xdr:row>14</xdr:row>
      <xdr:rowOff>57150</xdr:rowOff>
    </xdr:from>
    <xdr:to>
      <xdr:col>11</xdr:col>
      <xdr:colOff>495300</xdr:colOff>
      <xdr:row>15</xdr:row>
      <xdr:rowOff>9525</xdr:rowOff>
    </xdr:to>
    <xdr:sp macro="" textlink="">
      <xdr:nvSpPr>
        <xdr:cNvPr id="6390" name="Oval 2">
          <a:extLst>
            <a:ext uri="{FF2B5EF4-FFF2-40B4-BE49-F238E27FC236}">
              <a16:creationId xmlns:a16="http://schemas.microsoft.com/office/drawing/2014/main" id="{00000000-0008-0000-0800-0000F6180000}"/>
            </a:ext>
            <a:ext uri="{C183D7F6-B498-43B3-948B-1728B52AA6E4}">
              <adec:decorative xmlns:adec="http://schemas.microsoft.com/office/drawing/2017/decorative" val="1"/>
            </a:ext>
          </a:extLst>
        </xdr:cNvPr>
        <xdr:cNvSpPr>
          <a:spLocks noChangeArrowheads="1"/>
        </xdr:cNvSpPr>
      </xdr:nvSpPr>
      <xdr:spPr bwMode="auto">
        <a:xfrm>
          <a:off x="9696450"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19</xdr:col>
      <xdr:colOff>19050</xdr:colOff>
      <xdr:row>14</xdr:row>
      <xdr:rowOff>57150</xdr:rowOff>
    </xdr:from>
    <xdr:to>
      <xdr:col>19</xdr:col>
      <xdr:colOff>495300</xdr:colOff>
      <xdr:row>15</xdr:row>
      <xdr:rowOff>9525</xdr:rowOff>
    </xdr:to>
    <xdr:sp macro="" textlink="">
      <xdr:nvSpPr>
        <xdr:cNvPr id="6391" name="Oval 3">
          <a:extLst>
            <a:ext uri="{FF2B5EF4-FFF2-40B4-BE49-F238E27FC236}">
              <a16:creationId xmlns:a16="http://schemas.microsoft.com/office/drawing/2014/main" id="{00000000-0008-0000-0800-0000F7180000}"/>
            </a:ext>
            <a:ext uri="{C183D7F6-B498-43B3-948B-1728B52AA6E4}">
              <adec:decorative xmlns:adec="http://schemas.microsoft.com/office/drawing/2017/decorative" val="1"/>
            </a:ext>
          </a:extLst>
        </xdr:cNvPr>
        <xdr:cNvSpPr>
          <a:spLocks noChangeArrowheads="1"/>
        </xdr:cNvSpPr>
      </xdr:nvSpPr>
      <xdr:spPr bwMode="auto">
        <a:xfrm>
          <a:off x="16706850"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19050</xdr:colOff>
      <xdr:row>14</xdr:row>
      <xdr:rowOff>57150</xdr:rowOff>
    </xdr:from>
    <xdr:to>
      <xdr:col>11</xdr:col>
      <xdr:colOff>495300</xdr:colOff>
      <xdr:row>15</xdr:row>
      <xdr:rowOff>9525</xdr:rowOff>
    </xdr:to>
    <xdr:sp macro="" textlink="">
      <xdr:nvSpPr>
        <xdr:cNvPr id="6392" name="Oval 4">
          <a:extLst>
            <a:ext uri="{FF2B5EF4-FFF2-40B4-BE49-F238E27FC236}">
              <a16:creationId xmlns:a16="http://schemas.microsoft.com/office/drawing/2014/main" id="{00000000-0008-0000-0800-0000F8180000}"/>
            </a:ext>
            <a:ext uri="{C183D7F6-B498-43B3-948B-1728B52AA6E4}">
              <adec:decorative xmlns:adec="http://schemas.microsoft.com/office/drawing/2017/decorative" val="1"/>
            </a:ext>
          </a:extLst>
        </xdr:cNvPr>
        <xdr:cNvSpPr>
          <a:spLocks noChangeArrowheads="1"/>
        </xdr:cNvSpPr>
      </xdr:nvSpPr>
      <xdr:spPr bwMode="auto">
        <a:xfrm>
          <a:off x="9696450"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19050</xdr:colOff>
      <xdr:row>14</xdr:row>
      <xdr:rowOff>57150</xdr:rowOff>
    </xdr:from>
    <xdr:to>
      <xdr:col>1</xdr:col>
      <xdr:colOff>495300</xdr:colOff>
      <xdr:row>15</xdr:row>
      <xdr:rowOff>9525</xdr:rowOff>
    </xdr:to>
    <xdr:sp macro="" textlink="">
      <xdr:nvSpPr>
        <xdr:cNvPr id="7413" name="Oval 1">
          <a:extLst>
            <a:ext uri="{FF2B5EF4-FFF2-40B4-BE49-F238E27FC236}">
              <a16:creationId xmlns:a16="http://schemas.microsoft.com/office/drawing/2014/main" id="{00000000-0008-0000-0900-0000F51C0000}"/>
            </a:ext>
            <a:ext uri="{C183D7F6-B498-43B3-948B-1728B52AA6E4}">
              <adec:decorative xmlns:adec="http://schemas.microsoft.com/office/drawing/2017/decorative" val="1"/>
            </a:ext>
          </a:extLst>
        </xdr:cNvPr>
        <xdr:cNvSpPr>
          <a:spLocks noChangeArrowheads="1"/>
        </xdr:cNvSpPr>
      </xdr:nvSpPr>
      <xdr:spPr bwMode="auto">
        <a:xfrm>
          <a:off x="628650"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19050</xdr:colOff>
      <xdr:row>14</xdr:row>
      <xdr:rowOff>57150</xdr:rowOff>
    </xdr:from>
    <xdr:to>
      <xdr:col>29</xdr:col>
      <xdr:colOff>495300</xdr:colOff>
      <xdr:row>15</xdr:row>
      <xdr:rowOff>9525</xdr:rowOff>
    </xdr:to>
    <xdr:sp macro="" textlink="">
      <xdr:nvSpPr>
        <xdr:cNvPr id="7414" name="Oval 2">
          <a:extLst>
            <a:ext uri="{FF2B5EF4-FFF2-40B4-BE49-F238E27FC236}">
              <a16:creationId xmlns:a16="http://schemas.microsoft.com/office/drawing/2014/main" id="{00000000-0008-0000-0900-0000F61C0000}"/>
            </a:ext>
            <a:ext uri="{C183D7F6-B498-43B3-948B-1728B52AA6E4}">
              <adec:decorative xmlns:adec="http://schemas.microsoft.com/office/drawing/2017/decorative" val="1"/>
            </a:ext>
          </a:extLst>
        </xdr:cNvPr>
        <xdr:cNvSpPr>
          <a:spLocks noChangeArrowheads="1"/>
        </xdr:cNvSpPr>
      </xdr:nvSpPr>
      <xdr:spPr bwMode="auto">
        <a:xfrm>
          <a:off x="15687675"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53</xdr:col>
      <xdr:colOff>19050</xdr:colOff>
      <xdr:row>14</xdr:row>
      <xdr:rowOff>57150</xdr:rowOff>
    </xdr:from>
    <xdr:to>
      <xdr:col>53</xdr:col>
      <xdr:colOff>495300</xdr:colOff>
      <xdr:row>15</xdr:row>
      <xdr:rowOff>9525</xdr:rowOff>
    </xdr:to>
    <xdr:sp macro="" textlink="">
      <xdr:nvSpPr>
        <xdr:cNvPr id="7415" name="Oval 3">
          <a:extLst>
            <a:ext uri="{FF2B5EF4-FFF2-40B4-BE49-F238E27FC236}">
              <a16:creationId xmlns:a16="http://schemas.microsoft.com/office/drawing/2014/main" id="{00000000-0008-0000-0900-0000F71C0000}"/>
            </a:ext>
            <a:ext uri="{C183D7F6-B498-43B3-948B-1728B52AA6E4}">
              <adec:decorative xmlns:adec="http://schemas.microsoft.com/office/drawing/2017/decorative" val="1"/>
            </a:ext>
          </a:extLst>
        </xdr:cNvPr>
        <xdr:cNvSpPr>
          <a:spLocks noChangeArrowheads="1"/>
        </xdr:cNvSpPr>
      </xdr:nvSpPr>
      <xdr:spPr bwMode="auto">
        <a:xfrm>
          <a:off x="26984325"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19050</xdr:colOff>
      <xdr:row>14</xdr:row>
      <xdr:rowOff>57150</xdr:rowOff>
    </xdr:from>
    <xdr:to>
      <xdr:col>29</xdr:col>
      <xdr:colOff>495300</xdr:colOff>
      <xdr:row>15</xdr:row>
      <xdr:rowOff>9525</xdr:rowOff>
    </xdr:to>
    <xdr:sp macro="" textlink="">
      <xdr:nvSpPr>
        <xdr:cNvPr id="7416" name="Oval 4">
          <a:extLst>
            <a:ext uri="{FF2B5EF4-FFF2-40B4-BE49-F238E27FC236}">
              <a16:creationId xmlns:a16="http://schemas.microsoft.com/office/drawing/2014/main" id="{00000000-0008-0000-0900-0000F81C0000}"/>
            </a:ext>
            <a:ext uri="{C183D7F6-B498-43B3-948B-1728B52AA6E4}">
              <adec:decorative xmlns:adec="http://schemas.microsoft.com/office/drawing/2017/decorative" val="1"/>
            </a:ext>
          </a:extLst>
        </xdr:cNvPr>
        <xdr:cNvSpPr>
          <a:spLocks noChangeArrowheads="1"/>
        </xdr:cNvSpPr>
      </xdr:nvSpPr>
      <xdr:spPr bwMode="auto">
        <a:xfrm>
          <a:off x="15687675" y="2647950"/>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19050</xdr:colOff>
      <xdr:row>13</xdr:row>
      <xdr:rowOff>57150</xdr:rowOff>
    </xdr:from>
    <xdr:to>
      <xdr:col>1</xdr:col>
      <xdr:colOff>495300</xdr:colOff>
      <xdr:row>14</xdr:row>
      <xdr:rowOff>9525</xdr:rowOff>
    </xdr:to>
    <xdr:sp macro="" textlink="">
      <xdr:nvSpPr>
        <xdr:cNvPr id="8316" name="Oval 1">
          <a:extLst>
            <a:ext uri="{FF2B5EF4-FFF2-40B4-BE49-F238E27FC236}">
              <a16:creationId xmlns:a16="http://schemas.microsoft.com/office/drawing/2014/main" id="{00000000-0008-0000-0A00-00007C200000}"/>
            </a:ext>
            <a:ext uri="{C183D7F6-B498-43B3-948B-1728B52AA6E4}">
              <adec:decorative xmlns:adec="http://schemas.microsoft.com/office/drawing/2017/decorative" val="1"/>
            </a:ext>
          </a:extLst>
        </xdr:cNvPr>
        <xdr:cNvSpPr>
          <a:spLocks noChangeArrowheads="1"/>
        </xdr:cNvSpPr>
      </xdr:nvSpPr>
      <xdr:spPr bwMode="auto">
        <a:xfrm>
          <a:off x="390525" y="2409825"/>
          <a:ext cx="476250" cy="20955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22</xdr:col>
      <xdr:colOff>239214</xdr:colOff>
      <xdr:row>13</xdr:row>
      <xdr:rowOff>63409</xdr:rowOff>
    </xdr:from>
    <xdr:to>
      <xdr:col>22</xdr:col>
      <xdr:colOff>715464</xdr:colOff>
      <xdr:row>14</xdr:row>
      <xdr:rowOff>2993</xdr:rowOff>
    </xdr:to>
    <xdr:sp macro="" textlink="">
      <xdr:nvSpPr>
        <xdr:cNvPr id="8317" name="Oval 3">
          <a:extLst>
            <a:ext uri="{FF2B5EF4-FFF2-40B4-BE49-F238E27FC236}">
              <a16:creationId xmlns:a16="http://schemas.microsoft.com/office/drawing/2014/main" id="{00000000-0008-0000-0A00-00007D200000}"/>
            </a:ext>
            <a:ext uri="{C183D7F6-B498-43B3-948B-1728B52AA6E4}">
              <adec:decorative xmlns:adec="http://schemas.microsoft.com/office/drawing/2017/decorative" val="1"/>
            </a:ext>
          </a:extLst>
        </xdr:cNvPr>
        <xdr:cNvSpPr>
          <a:spLocks noChangeArrowheads="1"/>
        </xdr:cNvSpPr>
      </xdr:nvSpPr>
      <xdr:spPr bwMode="auto">
        <a:xfrm>
          <a:off x="21411928" y="2444659"/>
          <a:ext cx="476250" cy="198120"/>
        </a:xfrm>
        <a:prstGeom prst="ellipse">
          <a:avLst/>
        </a:prstGeom>
        <a:noFill/>
        <a:ln w="1">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eab@dot.ca.gov" TargetMode="External"/></Relationships>
</file>

<file path=xl/worksheets/_rels/sheet2.xml.rels><?xml version="1.0" encoding="UTF-8" standalone="yes"?>
<Relationships xmlns="http://schemas.openxmlformats.org/package/2006/relationships"><Relationship Id="rId8" Type="http://schemas.openxmlformats.org/officeDocument/2006/relationships/package" Target="../embeddings/Microsoft_Word_Document2.docx"/><Relationship Id="rId13" Type="http://schemas.openxmlformats.org/officeDocument/2006/relationships/image" Target="../media/image8.emf"/><Relationship Id="rId18" Type="http://schemas.openxmlformats.org/officeDocument/2006/relationships/package" Target="../embeddings/Microsoft_Word_Document7.docx"/><Relationship Id="rId3" Type="http://schemas.openxmlformats.org/officeDocument/2006/relationships/vmlDrawing" Target="../drawings/vmlDrawing1.vml"/><Relationship Id="rId7" Type="http://schemas.openxmlformats.org/officeDocument/2006/relationships/image" Target="../media/image5.emf"/><Relationship Id="rId12" Type="http://schemas.openxmlformats.org/officeDocument/2006/relationships/package" Target="../embeddings/Microsoft_Word_Document4.docx"/><Relationship Id="rId17" Type="http://schemas.openxmlformats.org/officeDocument/2006/relationships/image" Target="../media/image10.emf"/><Relationship Id="rId2" Type="http://schemas.openxmlformats.org/officeDocument/2006/relationships/drawing" Target="../drawings/drawing2.xml"/><Relationship Id="rId16" Type="http://schemas.openxmlformats.org/officeDocument/2006/relationships/package" Target="../embeddings/Microsoft_Word_Document6.docx"/><Relationship Id="rId1" Type="http://schemas.openxmlformats.org/officeDocument/2006/relationships/printerSettings" Target="../printerSettings/printerSettings2.bin"/><Relationship Id="rId6" Type="http://schemas.openxmlformats.org/officeDocument/2006/relationships/package" Target="../embeddings/Microsoft_Word_Document1.docx"/><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package" Target="../embeddings/Microsoft_Word_Document3.docx"/><Relationship Id="rId19" Type="http://schemas.openxmlformats.org/officeDocument/2006/relationships/image" Target="../media/image11.emf"/><Relationship Id="rId4" Type="http://schemas.openxmlformats.org/officeDocument/2006/relationships/package" Target="../embeddings/Microsoft_Word_Document.docx"/><Relationship Id="rId9" Type="http://schemas.openxmlformats.org/officeDocument/2006/relationships/image" Target="../media/image6.emf"/><Relationship Id="rId14" Type="http://schemas.openxmlformats.org/officeDocument/2006/relationships/package" Target="../embeddings/Microsoft_Word_Document5.docx"/></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FFFFCC"/>
  </sheetPr>
  <dimension ref="A1:D29"/>
  <sheetViews>
    <sheetView showGridLines="0" zoomScale="80" zoomScaleNormal="80" workbookViewId="0">
      <selection activeCell="A45" sqref="A45"/>
    </sheetView>
  </sheetViews>
  <sheetFormatPr defaultColWidth="9.1796875" defaultRowHeight="12.5" x14ac:dyDescent="0.25"/>
  <cols>
    <col min="1" max="1" width="29.81640625" style="1050" customWidth="1"/>
    <col min="2" max="2" width="27.1796875" style="1050" customWidth="1"/>
    <col min="3" max="3" width="90.7265625" style="1050" customWidth="1"/>
    <col min="4" max="16384" width="9.1796875" style="1050"/>
  </cols>
  <sheetData>
    <row r="1" spans="1:3" ht="14.5" x14ac:dyDescent="0.25">
      <c r="A1" s="1359" t="s">
        <v>857</v>
      </c>
    </row>
    <row r="2" spans="1:3" ht="139.5" customHeight="1" x14ac:dyDescent="0.25">
      <c r="B2" s="1052"/>
      <c r="C2" s="1053" t="s">
        <v>856</v>
      </c>
    </row>
    <row r="3" spans="1:3" ht="13" x14ac:dyDescent="0.25">
      <c r="B3" s="1054"/>
      <c r="C3" s="1055"/>
    </row>
    <row r="4" spans="1:3" ht="13" x14ac:dyDescent="0.25">
      <c r="B4" s="1054"/>
      <c r="C4" s="1055"/>
    </row>
    <row r="5" spans="1:3" ht="13" x14ac:dyDescent="0.25">
      <c r="B5" s="1054"/>
      <c r="C5" s="1055"/>
    </row>
    <row r="6" spans="1:3" ht="13" x14ac:dyDescent="0.25">
      <c r="B6" s="1054"/>
      <c r="C6" s="1055"/>
    </row>
    <row r="7" spans="1:3" ht="13" x14ac:dyDescent="0.25">
      <c r="B7" s="1054"/>
      <c r="C7" s="1055"/>
    </row>
    <row r="8" spans="1:3" ht="13" x14ac:dyDescent="0.25">
      <c r="B8" s="1054"/>
      <c r="C8" s="1055"/>
    </row>
    <row r="9" spans="1:3" ht="13" x14ac:dyDescent="0.25">
      <c r="B9" s="1054"/>
      <c r="C9" s="1055"/>
    </row>
    <row r="10" spans="1:3" ht="13" x14ac:dyDescent="0.25">
      <c r="B10" s="1054"/>
      <c r="C10" s="1055"/>
    </row>
    <row r="11" spans="1:3" ht="13" x14ac:dyDescent="0.25">
      <c r="B11" s="1054"/>
      <c r="C11" s="1055"/>
    </row>
    <row r="12" spans="1:3" ht="13" x14ac:dyDescent="0.25">
      <c r="B12" s="1054"/>
      <c r="C12" s="1055"/>
    </row>
    <row r="13" spans="1:3" ht="13" x14ac:dyDescent="0.25">
      <c r="B13" s="1054"/>
      <c r="C13" s="1055"/>
    </row>
    <row r="14" spans="1:3" ht="13" x14ac:dyDescent="0.25">
      <c r="B14" s="1054"/>
      <c r="C14" s="1055"/>
    </row>
    <row r="15" spans="1:3" ht="13" x14ac:dyDescent="0.25">
      <c r="B15" s="1054"/>
      <c r="C15" s="1055"/>
    </row>
    <row r="16" spans="1:3" ht="13" x14ac:dyDescent="0.25">
      <c r="B16" s="1054"/>
      <c r="C16" s="1055"/>
    </row>
    <row r="17" spans="2:4" ht="13" x14ac:dyDescent="0.25">
      <c r="B17" s="1054"/>
      <c r="C17" s="1055"/>
    </row>
    <row r="18" spans="2:4" ht="13" x14ac:dyDescent="0.25">
      <c r="B18" s="1054"/>
      <c r="C18" s="1055"/>
    </row>
    <row r="19" spans="2:4" ht="13" x14ac:dyDescent="0.25">
      <c r="B19" s="1054"/>
      <c r="C19" s="1055"/>
    </row>
    <row r="20" spans="2:4" ht="13" x14ac:dyDescent="0.25">
      <c r="B20" s="1054"/>
      <c r="C20" s="1055"/>
    </row>
    <row r="21" spans="2:4" x14ac:dyDescent="0.25">
      <c r="B21" s="1054"/>
      <c r="C21" s="1056"/>
    </row>
    <row r="22" spans="2:4" ht="18" x14ac:dyDescent="0.4">
      <c r="B22" s="1057" t="s">
        <v>493</v>
      </c>
      <c r="C22" s="1058"/>
    </row>
    <row r="23" spans="2:4" ht="18" x14ac:dyDescent="0.25">
      <c r="B23" s="1059" t="s">
        <v>494</v>
      </c>
      <c r="C23" s="1060"/>
    </row>
    <row r="24" spans="2:4" ht="15.5" x14ac:dyDescent="0.25">
      <c r="B24" s="1061" t="s">
        <v>884</v>
      </c>
      <c r="C24" s="1062"/>
    </row>
    <row r="25" spans="2:4" x14ac:dyDescent="0.25">
      <c r="B25" s="1063"/>
      <c r="C25" s="1064"/>
    </row>
    <row r="27" spans="2:4" x14ac:dyDescent="0.25">
      <c r="B27" s="711" t="s">
        <v>109</v>
      </c>
    </row>
    <row r="28" spans="2:4" x14ac:dyDescent="0.25">
      <c r="C28" s="26"/>
    </row>
    <row r="29" spans="2:4" x14ac:dyDescent="0.25">
      <c r="B29" s="1360" t="s">
        <v>883</v>
      </c>
      <c r="C29" s="1639" t="s">
        <v>882</v>
      </c>
      <c r="D29" s="26"/>
    </row>
  </sheetData>
  <hyperlinks>
    <hyperlink ref="C29" r:id="rId1" xr:uid="{4DC4B9F4-46F0-4CDB-95C9-2ED89C56B93D}"/>
  </hyperlinks>
  <printOptions horizontalCentered="1" verticalCentered="1"/>
  <pageMargins left="0.75" right="0.75" top="0.75" bottom="0.75" header="0.5" footer="0.5"/>
  <pageSetup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CC"/>
  </sheetPr>
  <dimension ref="B1:H56"/>
  <sheetViews>
    <sheetView showGridLines="0" topLeftCell="G1" zoomScale="85" zoomScaleNormal="85" workbookViewId="0">
      <selection activeCell="A64" sqref="A64"/>
    </sheetView>
  </sheetViews>
  <sheetFormatPr defaultRowHeight="12.5" x14ac:dyDescent="0.25"/>
  <cols>
    <col min="1" max="8" width="92.453125" customWidth="1"/>
  </cols>
  <sheetData>
    <row r="1" spans="2:8" x14ac:dyDescent="0.25">
      <c r="B1" s="1361"/>
      <c r="C1" s="1361"/>
      <c r="D1" s="1361"/>
      <c r="E1" s="1361"/>
      <c r="F1" s="1361"/>
      <c r="G1" s="1361"/>
      <c r="H1" s="1361"/>
    </row>
    <row r="2" spans="2:8" x14ac:dyDescent="0.25">
      <c r="B2" s="1361"/>
      <c r="C2" s="1361"/>
      <c r="D2" s="1361"/>
      <c r="E2" s="1361"/>
      <c r="F2" s="1361"/>
      <c r="G2" s="1361"/>
      <c r="H2" s="1361"/>
    </row>
    <row r="3" spans="2:8" x14ac:dyDescent="0.25">
      <c r="B3" s="1361"/>
      <c r="C3" s="1361"/>
      <c r="D3" s="1361"/>
      <c r="E3" s="1361"/>
      <c r="F3" s="1361"/>
      <c r="G3" s="1361"/>
      <c r="H3" s="1361"/>
    </row>
    <row r="4" spans="2:8" x14ac:dyDescent="0.25">
      <c r="B4" s="1361"/>
      <c r="C4" s="1361"/>
      <c r="D4" s="1361"/>
      <c r="E4" s="1361"/>
      <c r="F4" s="1361"/>
      <c r="G4" s="1361"/>
      <c r="H4" s="1361"/>
    </row>
    <row r="5" spans="2:8" x14ac:dyDescent="0.25">
      <c r="B5" s="1361"/>
      <c r="C5" s="1361"/>
      <c r="D5" s="1361"/>
      <c r="E5" s="1361"/>
      <c r="F5" s="1361"/>
      <c r="G5" s="1361"/>
      <c r="H5" s="1361"/>
    </row>
    <row r="6" spans="2:8" x14ac:dyDescent="0.25">
      <c r="B6" s="1361"/>
      <c r="C6" s="1361"/>
      <c r="D6" s="1361"/>
      <c r="E6" s="1361"/>
      <c r="F6" s="1361"/>
      <c r="G6" s="1361"/>
      <c r="H6" s="1361"/>
    </row>
    <row r="7" spans="2:8" x14ac:dyDescent="0.25">
      <c r="B7" s="1361"/>
      <c r="C7" s="1361"/>
      <c r="D7" s="1361"/>
      <c r="E7" s="1361"/>
      <c r="F7" s="1361"/>
      <c r="G7" s="1361"/>
      <c r="H7" s="1361"/>
    </row>
    <row r="8" spans="2:8" x14ac:dyDescent="0.25">
      <c r="B8" s="1361"/>
      <c r="C8" s="1361"/>
      <c r="D8" s="1361"/>
      <c r="E8" s="1361"/>
      <c r="F8" s="1361"/>
      <c r="G8" s="1361"/>
      <c r="H8" s="1361"/>
    </row>
    <row r="9" spans="2:8" x14ac:dyDescent="0.25">
      <c r="B9" s="1361"/>
      <c r="C9" s="1361"/>
      <c r="D9" s="1361"/>
      <c r="E9" s="1361"/>
      <c r="F9" s="1361"/>
      <c r="G9" s="1361"/>
      <c r="H9" s="1361"/>
    </row>
    <row r="10" spans="2:8" x14ac:dyDescent="0.25">
      <c r="B10" s="1361"/>
      <c r="C10" s="1361"/>
      <c r="D10" s="1361"/>
      <c r="E10" s="1361"/>
      <c r="F10" s="1361"/>
      <c r="G10" s="1361"/>
      <c r="H10" s="1361"/>
    </row>
    <row r="11" spans="2:8" x14ac:dyDescent="0.25">
      <c r="B11" s="1361"/>
      <c r="C11" s="1361"/>
      <c r="D11" s="1361"/>
      <c r="E11" s="1361"/>
      <c r="F11" s="1361"/>
      <c r="G11" s="1361"/>
      <c r="H11" s="1361"/>
    </row>
    <row r="12" spans="2:8" x14ac:dyDescent="0.25">
      <c r="B12" s="1361"/>
      <c r="C12" s="1361"/>
      <c r="D12" s="1361"/>
      <c r="E12" s="1361"/>
      <c r="F12" s="1361"/>
      <c r="G12" s="1361"/>
      <c r="H12" s="1361"/>
    </row>
    <row r="13" spans="2:8" x14ac:dyDescent="0.25">
      <c r="B13" s="1361"/>
      <c r="C13" s="1361"/>
      <c r="D13" s="1361"/>
      <c r="E13" s="1361"/>
      <c r="F13" s="1361"/>
      <c r="G13" s="1361"/>
      <c r="H13" s="1361"/>
    </row>
    <row r="14" spans="2:8" x14ac:dyDescent="0.25">
      <c r="B14" s="1361"/>
      <c r="C14" s="1361"/>
      <c r="D14" s="1361"/>
      <c r="E14" s="1361"/>
      <c r="F14" s="1361"/>
      <c r="G14" s="1361"/>
      <c r="H14" s="1361"/>
    </row>
    <row r="15" spans="2:8" x14ac:dyDescent="0.25">
      <c r="B15" s="1361"/>
      <c r="C15" s="1361"/>
      <c r="D15" s="1361"/>
      <c r="E15" s="1361"/>
      <c r="F15" s="1361"/>
      <c r="G15" s="1361"/>
      <c r="H15" s="1361"/>
    </row>
    <row r="16" spans="2:8" x14ac:dyDescent="0.25">
      <c r="B16" s="1361"/>
      <c r="C16" s="1361"/>
      <c r="D16" s="1361"/>
      <c r="E16" s="1361"/>
      <c r="F16" s="1361"/>
      <c r="G16" s="1361"/>
      <c r="H16" s="1361"/>
    </row>
    <row r="17" spans="2:8" x14ac:dyDescent="0.25">
      <c r="B17" s="1361"/>
      <c r="C17" s="1361"/>
      <c r="D17" s="1361"/>
      <c r="E17" s="1361"/>
      <c r="F17" s="1361"/>
      <c r="G17" s="1361"/>
      <c r="H17" s="1361"/>
    </row>
    <row r="18" spans="2:8" x14ac:dyDescent="0.25">
      <c r="B18" s="1361"/>
      <c r="C18" s="1361"/>
      <c r="D18" s="1361"/>
      <c r="E18" s="1361"/>
      <c r="F18" s="1361"/>
      <c r="G18" s="1361"/>
      <c r="H18" s="1361"/>
    </row>
    <row r="19" spans="2:8" x14ac:dyDescent="0.25">
      <c r="B19" s="1361"/>
      <c r="C19" s="1361"/>
      <c r="D19" s="1361"/>
      <c r="E19" s="1361"/>
      <c r="F19" s="1361"/>
      <c r="G19" s="1361"/>
      <c r="H19" s="1361"/>
    </row>
    <row r="20" spans="2:8" x14ac:dyDescent="0.25">
      <c r="B20" s="1361"/>
      <c r="C20" s="1361"/>
      <c r="D20" s="1361"/>
      <c r="E20" s="1361"/>
      <c r="F20" s="1361"/>
      <c r="G20" s="1361"/>
      <c r="H20" s="1361"/>
    </row>
    <row r="21" spans="2:8" x14ac:dyDescent="0.25">
      <c r="B21" s="1361"/>
      <c r="C21" s="1361"/>
      <c r="D21" s="1361"/>
      <c r="E21" s="1361"/>
      <c r="F21" s="1361"/>
      <c r="G21" s="1361"/>
      <c r="H21" s="1361"/>
    </row>
    <row r="22" spans="2:8" x14ac:dyDescent="0.25">
      <c r="B22" s="1361"/>
      <c r="C22" s="1361"/>
      <c r="D22" s="1361"/>
      <c r="E22" s="1361"/>
      <c r="F22" s="1361"/>
      <c r="G22" s="1361"/>
      <c r="H22" s="1361"/>
    </row>
    <row r="23" spans="2:8" x14ac:dyDescent="0.25">
      <c r="B23" s="1361"/>
      <c r="C23" s="1361"/>
      <c r="D23" s="1361"/>
      <c r="E23" s="1361"/>
      <c r="F23" s="1361"/>
      <c r="G23" s="1361"/>
      <c r="H23" s="1361"/>
    </row>
    <row r="24" spans="2:8" x14ac:dyDescent="0.25">
      <c r="B24" s="1361"/>
      <c r="C24" s="1361"/>
      <c r="D24" s="1361"/>
      <c r="E24" s="1361"/>
      <c r="F24" s="1361"/>
      <c r="G24" s="1361"/>
      <c r="H24" s="1361"/>
    </row>
    <row r="25" spans="2:8" x14ac:dyDescent="0.25">
      <c r="B25" s="1361"/>
      <c r="C25" s="1361"/>
      <c r="D25" s="1361"/>
      <c r="E25" s="1361"/>
      <c r="F25" s="1361"/>
      <c r="G25" s="1361"/>
      <c r="H25" s="1361"/>
    </row>
    <row r="26" spans="2:8" x14ac:dyDescent="0.25">
      <c r="B26" s="1361"/>
      <c r="C26" s="1361"/>
      <c r="D26" s="1361"/>
      <c r="E26" s="1361"/>
      <c r="F26" s="1361"/>
      <c r="G26" s="1361"/>
      <c r="H26" s="1361"/>
    </row>
    <row r="27" spans="2:8" x14ac:dyDescent="0.25">
      <c r="B27" s="1361"/>
      <c r="C27" s="1361"/>
      <c r="D27" s="1361"/>
      <c r="E27" s="1361"/>
      <c r="F27" s="1361"/>
      <c r="G27" s="1361"/>
      <c r="H27" s="1361"/>
    </row>
    <row r="28" spans="2:8" x14ac:dyDescent="0.25">
      <c r="B28" s="1361"/>
      <c r="C28" s="1361"/>
      <c r="D28" s="1361"/>
      <c r="E28" s="1361"/>
      <c r="F28" s="1361"/>
      <c r="G28" s="1361"/>
      <c r="H28" s="1361"/>
    </row>
    <row r="29" spans="2:8" x14ac:dyDescent="0.25">
      <c r="B29" s="1361"/>
      <c r="C29" s="1361"/>
      <c r="D29" s="1361"/>
      <c r="E29" s="1361"/>
      <c r="F29" s="1361"/>
      <c r="G29" s="1361"/>
      <c r="H29" s="1361"/>
    </row>
    <row r="30" spans="2:8" x14ac:dyDescent="0.25">
      <c r="B30" s="1361"/>
      <c r="C30" s="1361"/>
      <c r="D30" s="1361"/>
      <c r="E30" s="1361"/>
      <c r="F30" s="1361"/>
      <c r="G30" s="1361"/>
      <c r="H30" s="1361"/>
    </row>
    <row r="31" spans="2:8" x14ac:dyDescent="0.25">
      <c r="B31" s="1361"/>
      <c r="C31" s="1361"/>
      <c r="D31" s="1361"/>
      <c r="E31" s="1361"/>
      <c r="F31" s="1361"/>
      <c r="G31" s="1361"/>
      <c r="H31" s="1361"/>
    </row>
    <row r="32" spans="2:8" x14ac:dyDescent="0.25">
      <c r="B32" s="1361"/>
      <c r="C32" s="1361"/>
      <c r="D32" s="1361"/>
      <c r="E32" s="1361"/>
      <c r="F32" s="1361"/>
      <c r="G32" s="1361"/>
      <c r="H32" s="1361"/>
    </row>
    <row r="33" spans="2:8" x14ac:dyDescent="0.25">
      <c r="B33" s="1361"/>
      <c r="C33" s="1361"/>
      <c r="D33" s="1361"/>
      <c r="E33" s="1361"/>
      <c r="F33" s="1361"/>
      <c r="G33" s="1361"/>
      <c r="H33" s="1361"/>
    </row>
    <row r="34" spans="2:8" x14ac:dyDescent="0.25">
      <c r="B34" s="1361"/>
      <c r="C34" s="1361"/>
      <c r="D34" s="1361"/>
      <c r="E34" s="1361"/>
      <c r="F34" s="1361"/>
      <c r="G34" s="1361"/>
      <c r="H34" s="1361"/>
    </row>
    <row r="35" spans="2:8" x14ac:dyDescent="0.25">
      <c r="B35" s="1361"/>
      <c r="C35" s="1361"/>
      <c r="D35" s="1361"/>
      <c r="E35" s="1361"/>
      <c r="F35" s="1361"/>
      <c r="G35" s="1361"/>
      <c r="H35" s="1361"/>
    </row>
    <row r="36" spans="2:8" x14ac:dyDescent="0.25">
      <c r="B36" s="1361"/>
      <c r="C36" s="1361"/>
      <c r="D36" s="1361"/>
      <c r="E36" s="1361"/>
      <c r="F36" s="1361"/>
      <c r="G36" s="1361"/>
      <c r="H36" s="1361"/>
    </row>
    <row r="37" spans="2:8" x14ac:dyDescent="0.25">
      <c r="B37" s="1361"/>
      <c r="C37" s="1361"/>
      <c r="D37" s="1361"/>
      <c r="E37" s="1361"/>
      <c r="F37" s="1361"/>
      <c r="G37" s="1361"/>
      <c r="H37" s="1361"/>
    </row>
    <row r="38" spans="2:8" x14ac:dyDescent="0.25">
      <c r="B38" s="1361"/>
      <c r="C38" s="1361"/>
      <c r="D38" s="1361"/>
      <c r="E38" s="1361"/>
      <c r="F38" s="1361"/>
      <c r="G38" s="1361"/>
      <c r="H38" s="1361"/>
    </row>
    <row r="39" spans="2:8" x14ac:dyDescent="0.25">
      <c r="B39" s="1361"/>
      <c r="C39" s="1361"/>
      <c r="D39" s="1361"/>
      <c r="E39" s="1361"/>
      <c r="F39" s="1361"/>
      <c r="G39" s="1361"/>
      <c r="H39" s="1361"/>
    </row>
    <row r="40" spans="2:8" x14ac:dyDescent="0.25">
      <c r="B40" s="1361"/>
      <c r="C40" s="1361"/>
      <c r="D40" s="1361"/>
      <c r="E40" s="1361"/>
      <c r="F40" s="1361"/>
      <c r="G40" s="1361"/>
      <c r="H40" s="1361"/>
    </row>
    <row r="41" spans="2:8" x14ac:dyDescent="0.25">
      <c r="B41" s="1361"/>
      <c r="C41" s="1361"/>
      <c r="D41" s="1361"/>
      <c r="E41" s="1361"/>
      <c r="F41" s="1361"/>
      <c r="G41" s="1361"/>
      <c r="H41" s="1361"/>
    </row>
    <row r="42" spans="2:8" x14ac:dyDescent="0.25">
      <c r="B42" s="1361"/>
      <c r="C42" s="1361"/>
      <c r="D42" s="1361"/>
      <c r="E42" s="1361"/>
      <c r="F42" s="1361"/>
      <c r="G42" s="1361"/>
      <c r="H42" s="1361"/>
    </row>
    <row r="43" spans="2:8" x14ac:dyDescent="0.25">
      <c r="B43" s="1361"/>
      <c r="C43" s="1361"/>
      <c r="D43" s="1361"/>
      <c r="E43" s="1361"/>
      <c r="F43" s="1361"/>
      <c r="G43" s="1361"/>
      <c r="H43" s="1361"/>
    </row>
    <row r="44" spans="2:8" x14ac:dyDescent="0.25">
      <c r="B44" s="1361"/>
      <c r="C44" s="1361"/>
      <c r="D44" s="1361"/>
      <c r="E44" s="1361"/>
      <c r="F44" s="1361"/>
      <c r="G44" s="1361"/>
      <c r="H44" s="1361"/>
    </row>
    <row r="45" spans="2:8" x14ac:dyDescent="0.25">
      <c r="B45" s="1361"/>
      <c r="C45" s="1361"/>
      <c r="D45" s="1361"/>
      <c r="E45" s="1361"/>
      <c r="F45" s="1361"/>
      <c r="G45" s="1361"/>
      <c r="H45" s="1361"/>
    </row>
    <row r="46" spans="2:8" x14ac:dyDescent="0.25">
      <c r="B46" s="1361"/>
      <c r="C46" s="1361"/>
      <c r="D46" s="1361"/>
      <c r="E46" s="1361"/>
      <c r="F46" s="1361"/>
      <c r="G46" s="1361"/>
      <c r="H46" s="1361"/>
    </row>
    <row r="47" spans="2:8" x14ac:dyDescent="0.25">
      <c r="B47" s="1361"/>
      <c r="C47" s="1361"/>
      <c r="D47" s="1361"/>
      <c r="E47" s="1361"/>
      <c r="F47" s="1361"/>
      <c r="G47" s="1361"/>
      <c r="H47" s="1361"/>
    </row>
    <row r="48" spans="2:8" x14ac:dyDescent="0.25">
      <c r="B48" s="1361"/>
      <c r="C48" s="1361"/>
      <c r="D48" s="1361"/>
      <c r="E48" s="1361"/>
      <c r="F48" s="1361"/>
      <c r="G48" s="1361"/>
      <c r="H48" s="1361"/>
    </row>
    <row r="49" spans="2:8" x14ac:dyDescent="0.25">
      <c r="B49" s="1361"/>
      <c r="C49" s="1361"/>
      <c r="D49" s="1361"/>
      <c r="E49" s="1361"/>
      <c r="F49" s="1361"/>
      <c r="G49" s="1361"/>
      <c r="H49" s="1361"/>
    </row>
    <row r="50" spans="2:8" x14ac:dyDescent="0.25">
      <c r="B50" s="1361"/>
      <c r="C50" s="1361"/>
      <c r="D50" s="1361"/>
      <c r="E50" s="1361"/>
      <c r="F50" s="1361"/>
      <c r="G50" s="1361"/>
      <c r="H50" s="1361"/>
    </row>
    <row r="51" spans="2:8" x14ac:dyDescent="0.25">
      <c r="B51" s="1361"/>
      <c r="C51" s="1361"/>
      <c r="D51" s="1361"/>
      <c r="E51" s="1361"/>
      <c r="F51" s="1361"/>
      <c r="G51" s="1361"/>
      <c r="H51" s="1361"/>
    </row>
    <row r="52" spans="2:8" x14ac:dyDescent="0.25">
      <c r="B52" s="1362"/>
      <c r="C52" s="1361"/>
      <c r="D52" s="1361"/>
      <c r="E52" s="1361"/>
      <c r="F52" s="1361"/>
      <c r="G52" s="1361"/>
      <c r="H52" s="1361"/>
    </row>
    <row r="53" spans="2:8" s="199" customFormat="1" x14ac:dyDescent="0.25"/>
    <row r="54" spans="2:8" s="199" customFormat="1" x14ac:dyDescent="0.25"/>
    <row r="55" spans="2:8" s="199" customFormat="1" x14ac:dyDescent="0.25"/>
    <row r="56" spans="2:8" x14ac:dyDescent="0.25">
      <c r="E56" s="199"/>
      <c r="F56" s="199"/>
      <c r="G56" s="199"/>
      <c r="H56" s="199"/>
    </row>
  </sheetData>
  <printOptions horizontalCentered="1" verticalCentered="1"/>
  <pageMargins left="0.75" right="0.75" top="0" bottom="0.75" header="0.5" footer="0.5"/>
  <pageSetup scale="65" fitToWidth="4" orientation="landscape" r:id="rId1"/>
  <headerFooter alignWithMargins="0">
    <oddFooter>&amp;L&amp;8Transportation Economics
Caltrans DOTP&amp;C&amp;8Cal-B/C - &amp;A&amp;R&amp;8Page &amp;P
&amp;D</oddFooter>
  </headerFooter>
  <drawing r:id="rId2"/>
  <legacyDrawing r:id="rId3"/>
  <oleObjects>
    <mc:AlternateContent xmlns:mc="http://schemas.openxmlformats.org/markup-compatibility/2006">
      <mc:Choice Requires="x14">
        <oleObject progId="Word.Document.12" shapeId="11297" r:id="rId4">
          <objectPr defaultSize="0" altText="Here are instructions for Cal-B/C. For more information please contact eab@dot.ca.gov." r:id="rId5">
            <anchor moveWithCells="1">
              <from>
                <xdr:col>0</xdr:col>
                <xdr:colOff>114300</xdr:colOff>
                <xdr:row>0</xdr:row>
                <xdr:rowOff>76200</xdr:rowOff>
              </from>
              <to>
                <xdr:col>0</xdr:col>
                <xdr:colOff>6057900</xdr:colOff>
                <xdr:row>47</xdr:row>
                <xdr:rowOff>133350</xdr:rowOff>
              </to>
            </anchor>
          </objectPr>
        </oleObject>
      </mc:Choice>
      <mc:Fallback>
        <oleObject progId="Word.Document.12" shapeId="11297" r:id="rId4"/>
      </mc:Fallback>
    </mc:AlternateContent>
    <mc:AlternateContent xmlns:mc="http://schemas.openxmlformats.org/markup-compatibility/2006">
      <mc:Choice Requires="x14">
        <oleObject progId="Word.Document.12" shapeId="11298" r:id="rId6">
          <objectPr defaultSize="0" altText="Here are instructions for Cal-B/C. For more information please contact eab@dot.ca.gov." r:id="rId7">
            <anchor moveWithCells="1">
              <from>
                <xdr:col>1</xdr:col>
                <xdr:colOff>114300</xdr:colOff>
                <xdr:row>0</xdr:row>
                <xdr:rowOff>76200</xdr:rowOff>
              </from>
              <to>
                <xdr:col>1</xdr:col>
                <xdr:colOff>6057900</xdr:colOff>
                <xdr:row>51</xdr:row>
                <xdr:rowOff>38100</xdr:rowOff>
              </to>
            </anchor>
          </objectPr>
        </oleObject>
      </mc:Choice>
      <mc:Fallback>
        <oleObject progId="Word.Document.12" shapeId="11298" r:id="rId6"/>
      </mc:Fallback>
    </mc:AlternateContent>
    <mc:AlternateContent xmlns:mc="http://schemas.openxmlformats.org/markup-compatibility/2006">
      <mc:Choice Requires="x14">
        <oleObject progId="Word.Document.12" shapeId="11299" r:id="rId8">
          <objectPr defaultSize="0" altText="Here are instructions for Cal-B/C. For more information please contact eab@dot.ca.gov." r:id="rId9">
            <anchor moveWithCells="1">
              <from>
                <xdr:col>2</xdr:col>
                <xdr:colOff>114300</xdr:colOff>
                <xdr:row>0</xdr:row>
                <xdr:rowOff>76200</xdr:rowOff>
              </from>
              <to>
                <xdr:col>2</xdr:col>
                <xdr:colOff>6057900</xdr:colOff>
                <xdr:row>51</xdr:row>
                <xdr:rowOff>146050</xdr:rowOff>
              </to>
            </anchor>
          </objectPr>
        </oleObject>
      </mc:Choice>
      <mc:Fallback>
        <oleObject progId="Word.Document.12" shapeId="11299" r:id="rId8"/>
      </mc:Fallback>
    </mc:AlternateContent>
    <mc:AlternateContent xmlns:mc="http://schemas.openxmlformats.org/markup-compatibility/2006">
      <mc:Choice Requires="x14">
        <oleObject progId="Word.Document.12" shapeId="11300" r:id="rId10">
          <objectPr defaultSize="0" altText="Here are instructions for Cal-B/C. For more information please contact eab@dot.ca.gov." r:id="rId11">
            <anchor moveWithCells="1">
              <from>
                <xdr:col>3</xdr:col>
                <xdr:colOff>114300</xdr:colOff>
                <xdr:row>0</xdr:row>
                <xdr:rowOff>76200</xdr:rowOff>
              </from>
              <to>
                <xdr:col>3</xdr:col>
                <xdr:colOff>6057900</xdr:colOff>
                <xdr:row>47</xdr:row>
                <xdr:rowOff>76200</xdr:rowOff>
              </to>
            </anchor>
          </objectPr>
        </oleObject>
      </mc:Choice>
      <mc:Fallback>
        <oleObject progId="Word.Document.12" shapeId="11300" r:id="rId10"/>
      </mc:Fallback>
    </mc:AlternateContent>
    <mc:AlternateContent xmlns:mc="http://schemas.openxmlformats.org/markup-compatibility/2006">
      <mc:Choice Requires="x14">
        <oleObject progId="Word.Document.12" shapeId="11301" r:id="rId12">
          <objectPr defaultSize="0" altText="Here are instructions for Cal-B/C. For more information please contact eab@dot.ca.gov." r:id="rId13">
            <anchor moveWithCells="1">
              <from>
                <xdr:col>4</xdr:col>
                <xdr:colOff>114300</xdr:colOff>
                <xdr:row>0</xdr:row>
                <xdr:rowOff>76200</xdr:rowOff>
              </from>
              <to>
                <xdr:col>4</xdr:col>
                <xdr:colOff>6057900</xdr:colOff>
                <xdr:row>51</xdr:row>
                <xdr:rowOff>88900</xdr:rowOff>
              </to>
            </anchor>
          </objectPr>
        </oleObject>
      </mc:Choice>
      <mc:Fallback>
        <oleObject progId="Word.Document.12" shapeId="11301" r:id="rId12"/>
      </mc:Fallback>
    </mc:AlternateContent>
    <mc:AlternateContent xmlns:mc="http://schemas.openxmlformats.org/markup-compatibility/2006">
      <mc:Choice Requires="x14">
        <oleObject progId="Word.Document.12" shapeId="11302" r:id="rId14">
          <objectPr defaultSize="0" altText="Here are instructions for Cal-B/C. For more information please contact eab@dot.ca.gov." r:id="rId15">
            <anchor moveWithCells="1">
              <from>
                <xdr:col>5</xdr:col>
                <xdr:colOff>114300</xdr:colOff>
                <xdr:row>0</xdr:row>
                <xdr:rowOff>76200</xdr:rowOff>
              </from>
              <to>
                <xdr:col>5</xdr:col>
                <xdr:colOff>6057900</xdr:colOff>
                <xdr:row>51</xdr:row>
                <xdr:rowOff>114300</xdr:rowOff>
              </to>
            </anchor>
          </objectPr>
        </oleObject>
      </mc:Choice>
      <mc:Fallback>
        <oleObject progId="Word.Document.12" shapeId="11302" r:id="rId14"/>
      </mc:Fallback>
    </mc:AlternateContent>
    <mc:AlternateContent xmlns:mc="http://schemas.openxmlformats.org/markup-compatibility/2006">
      <mc:Choice Requires="x14">
        <oleObject progId="Word.Document.12" shapeId="11303" r:id="rId16">
          <objectPr defaultSize="0" altText="Here are instructions for Cal-B/C. For more information please contact eab@dot.ca.gov." r:id="rId17">
            <anchor moveWithCells="1">
              <from>
                <xdr:col>6</xdr:col>
                <xdr:colOff>114300</xdr:colOff>
                <xdr:row>0</xdr:row>
                <xdr:rowOff>76200</xdr:rowOff>
              </from>
              <to>
                <xdr:col>6</xdr:col>
                <xdr:colOff>6057900</xdr:colOff>
                <xdr:row>50</xdr:row>
                <xdr:rowOff>50800</xdr:rowOff>
              </to>
            </anchor>
          </objectPr>
        </oleObject>
      </mc:Choice>
      <mc:Fallback>
        <oleObject progId="Word.Document.12" shapeId="11303" r:id="rId16"/>
      </mc:Fallback>
    </mc:AlternateContent>
    <mc:AlternateContent xmlns:mc="http://schemas.openxmlformats.org/markup-compatibility/2006">
      <mc:Choice Requires="x14">
        <oleObject progId="Word.Document.12" shapeId="11304" r:id="rId18">
          <objectPr defaultSize="0" altText="Here are instructions for Cal-B/C. For more information please contact eab@dot.ca.gov." r:id="rId19">
            <anchor moveWithCells="1">
              <from>
                <xdr:col>7</xdr:col>
                <xdr:colOff>114300</xdr:colOff>
                <xdr:row>0</xdr:row>
                <xdr:rowOff>76200</xdr:rowOff>
              </from>
              <to>
                <xdr:col>7</xdr:col>
                <xdr:colOff>6057900</xdr:colOff>
                <xdr:row>42</xdr:row>
                <xdr:rowOff>0</xdr:rowOff>
              </to>
            </anchor>
          </objectPr>
        </oleObject>
      </mc:Choice>
      <mc:Fallback>
        <oleObject progId="Word.Document.12" shapeId="11304" r:id="rId1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CCFFCC"/>
  </sheetPr>
  <dimension ref="A1:AG66"/>
  <sheetViews>
    <sheetView showGridLines="0" zoomScale="70" zoomScaleNormal="75" workbookViewId="0"/>
  </sheetViews>
  <sheetFormatPr defaultColWidth="9.1796875" defaultRowHeight="12.5" x14ac:dyDescent="0.25"/>
  <cols>
    <col min="1" max="1" width="4.7265625" style="1" customWidth="1"/>
    <col min="2" max="2" width="2.7265625" style="1" customWidth="1"/>
    <col min="3" max="3" width="7" style="1" customWidth="1"/>
    <col min="4" max="4" width="16.54296875" style="1" customWidth="1"/>
    <col min="5" max="5" width="19.1796875" style="1" customWidth="1"/>
    <col min="6" max="6" width="9.1796875" style="1"/>
    <col min="7" max="8" width="10.7265625" style="1" customWidth="1"/>
    <col min="9" max="9" width="2.54296875" style="1" customWidth="1"/>
    <col min="10" max="10" width="3.7265625" style="1" customWidth="1"/>
    <col min="11" max="11" width="2.7265625" style="281" customWidth="1"/>
    <col min="12" max="12" width="3.7265625" style="281" customWidth="1"/>
    <col min="13" max="13" width="16.453125" style="281" customWidth="1"/>
    <col min="14" max="14" width="14.453125" style="281" customWidth="1"/>
    <col min="15" max="17" width="12.7265625" style="281" customWidth="1"/>
    <col min="18" max="18" width="2.7265625" style="281" customWidth="1"/>
    <col min="19" max="20" width="4.7265625" style="1" customWidth="1"/>
    <col min="21" max="21" width="2.54296875" style="1" customWidth="1"/>
    <col min="22" max="22" width="9" style="110" customWidth="1"/>
    <col min="23" max="23" width="15.453125" style="110" customWidth="1"/>
    <col min="24" max="24" width="15.453125" style="111" customWidth="1"/>
    <col min="25" max="25" width="16.1796875" style="111" customWidth="1"/>
    <col min="26" max="27" width="13.81640625" style="111" customWidth="1"/>
    <col min="28" max="29" width="12.7265625" style="111" customWidth="1"/>
    <col min="30" max="30" width="16.453125" style="111" customWidth="1"/>
    <col min="31" max="31" width="16.54296875" style="111" customWidth="1"/>
    <col min="32" max="32" width="2.54296875" style="1" customWidth="1"/>
    <col min="33" max="33" width="4.7265625" style="1" customWidth="1"/>
    <col min="34" max="34" width="10.26953125" style="1" customWidth="1"/>
    <col min="35" max="16384" width="9.1796875" style="1"/>
  </cols>
  <sheetData>
    <row r="1" spans="2:32" ht="14.25" customHeight="1" x14ac:dyDescent="0.25">
      <c r="C1" s="88"/>
      <c r="D1" s="88"/>
      <c r="E1" s="88"/>
      <c r="F1" s="88"/>
      <c r="G1" s="88"/>
      <c r="H1" s="88"/>
      <c r="I1" s="88"/>
      <c r="J1" s="88"/>
      <c r="K1" s="88"/>
      <c r="L1" s="88"/>
      <c r="M1" s="88"/>
      <c r="N1" s="88"/>
      <c r="O1" s="88"/>
      <c r="P1" s="88"/>
      <c r="Q1" s="88"/>
      <c r="S1" s="88"/>
      <c r="V1" s="99"/>
      <c r="X1" s="100"/>
      <c r="Y1" s="100"/>
      <c r="Z1" s="101"/>
      <c r="AA1" s="101"/>
      <c r="AB1" s="101"/>
      <c r="AC1" s="101"/>
      <c r="AD1" s="88"/>
      <c r="AE1" s="88"/>
    </row>
    <row r="2" spans="2:32" ht="14.25" customHeight="1" x14ac:dyDescent="0.25">
      <c r="C2" s="97" t="s">
        <v>110</v>
      </c>
      <c r="D2" s="84"/>
      <c r="E2" s="96" t="s">
        <v>111</v>
      </c>
      <c r="F2" s="86"/>
      <c r="G2" s="87"/>
      <c r="H2" s="87"/>
      <c r="I2" s="88"/>
      <c r="J2" s="88"/>
      <c r="K2" s="89"/>
      <c r="L2" s="88"/>
      <c r="M2" s="88"/>
      <c r="N2" s="87"/>
      <c r="O2" s="87"/>
      <c r="P2" s="88"/>
      <c r="Q2" s="88"/>
      <c r="S2" s="88"/>
      <c r="V2" s="99"/>
      <c r="W2" s="118" t="s">
        <v>112</v>
      </c>
      <c r="X2" s="100"/>
      <c r="Y2" s="100"/>
      <c r="Z2" s="101"/>
      <c r="AA2" s="101"/>
      <c r="AB2" s="101"/>
      <c r="AC2" s="101"/>
      <c r="AD2" s="88"/>
      <c r="AE2" s="88"/>
    </row>
    <row r="3" spans="2:32" ht="14.25" customHeight="1" x14ac:dyDescent="0.25">
      <c r="C3" s="90"/>
      <c r="D3" s="91"/>
      <c r="E3" s="85"/>
      <c r="F3" s="90"/>
      <c r="G3" s="87"/>
      <c r="H3" s="88"/>
      <c r="I3" s="88"/>
      <c r="J3" s="88"/>
      <c r="K3" s="88"/>
      <c r="L3" s="88"/>
      <c r="M3" s="88"/>
      <c r="N3" s="88"/>
      <c r="O3" s="88"/>
      <c r="P3" s="95" t="s">
        <v>113</v>
      </c>
      <c r="Q3" s="735"/>
      <c r="S3" s="95"/>
      <c r="V3" s="99"/>
      <c r="W3" s="118" t="s">
        <v>114</v>
      </c>
      <c r="X3" s="100"/>
      <c r="Y3" s="100"/>
      <c r="Z3" s="101"/>
      <c r="AA3" s="101"/>
      <c r="AB3" s="101"/>
      <c r="AC3" s="101"/>
      <c r="AD3" s="88"/>
      <c r="AE3" s="88"/>
    </row>
    <row r="4" spans="2:32" ht="14.25" customHeight="1" x14ac:dyDescent="0.25">
      <c r="C4" s="98" t="s">
        <v>115</v>
      </c>
      <c r="D4" s="92"/>
      <c r="E4" s="1643" t="s">
        <v>823</v>
      </c>
      <c r="F4" s="1644"/>
      <c r="G4" s="1644"/>
      <c r="H4" s="1644"/>
      <c r="I4" s="1644"/>
      <c r="J4" s="1644"/>
      <c r="K4" s="1644"/>
      <c r="L4" s="1644"/>
      <c r="M4" s="1645"/>
      <c r="N4" s="88"/>
      <c r="O4" s="88"/>
      <c r="P4" s="95" t="s">
        <v>116</v>
      </c>
      <c r="Q4" s="735"/>
      <c r="S4" s="184"/>
      <c r="V4" s="99"/>
      <c r="W4" s="118"/>
      <c r="X4" s="100"/>
      <c r="Y4" s="100"/>
      <c r="Z4" s="101"/>
      <c r="AA4" s="101"/>
      <c r="AB4" s="101"/>
      <c r="AC4" s="101"/>
      <c r="AD4" s="88"/>
      <c r="AE4" s="88"/>
    </row>
    <row r="5" spans="2:32" ht="14.25" customHeight="1" thickBot="1" x14ac:dyDescent="0.3">
      <c r="C5" s="98"/>
      <c r="D5" s="92"/>
      <c r="E5" s="421"/>
      <c r="F5" s="422"/>
      <c r="G5" s="423"/>
      <c r="H5" s="423"/>
      <c r="I5" s="423"/>
      <c r="J5" s="424"/>
      <c r="K5" s="423"/>
      <c r="L5" s="423"/>
      <c r="M5" s="425"/>
      <c r="N5" s="88"/>
      <c r="O5" s="88"/>
      <c r="P5" s="95"/>
      <c r="Q5" s="184"/>
      <c r="S5" s="184"/>
      <c r="V5" s="99"/>
      <c r="W5" s="88"/>
      <c r="X5" s="88"/>
      <c r="Y5" s="88"/>
      <c r="Z5" s="88"/>
      <c r="AA5" s="88"/>
      <c r="AB5" s="88"/>
      <c r="AC5" s="88"/>
      <c r="AD5" s="88"/>
      <c r="AE5" s="88"/>
    </row>
    <row r="6" spans="2:32" ht="14.25" customHeight="1" thickTop="1" x14ac:dyDescent="0.25">
      <c r="B6" s="44"/>
      <c r="C6" s="2"/>
      <c r="D6" s="2"/>
      <c r="E6" s="2"/>
      <c r="F6" s="2"/>
      <c r="G6" s="2"/>
      <c r="H6" s="53"/>
      <c r="I6" s="45"/>
      <c r="K6" s="44"/>
      <c r="L6" s="2"/>
      <c r="M6" s="2"/>
      <c r="N6" s="2"/>
      <c r="O6" s="2"/>
      <c r="P6" s="2"/>
      <c r="Q6" s="2"/>
      <c r="R6" s="45"/>
      <c r="U6" s="44"/>
      <c r="V6" s="165"/>
      <c r="W6" s="165"/>
      <c r="X6" s="166"/>
      <c r="Y6" s="166"/>
      <c r="Z6" s="166"/>
      <c r="AA6" s="166"/>
      <c r="AB6" s="166"/>
      <c r="AC6" s="166"/>
      <c r="AD6" s="166"/>
      <c r="AE6" s="166"/>
      <c r="AF6" s="45"/>
    </row>
    <row r="7" spans="2:32" ht="14.25" customHeight="1" x14ac:dyDescent="0.25">
      <c r="B7" s="46"/>
      <c r="C7" s="19" t="s">
        <v>117</v>
      </c>
      <c r="D7" s="21" t="s">
        <v>118</v>
      </c>
      <c r="E7" s="47"/>
      <c r="F7" s="47"/>
      <c r="G7" s="3"/>
      <c r="H7" s="3"/>
      <c r="I7" s="48"/>
      <c r="K7" s="46"/>
      <c r="L7" s="19" t="s">
        <v>119</v>
      </c>
      <c r="M7" s="21" t="str">
        <f>IF(HwyRail,"GRADE CROSSING ACCIDENT DATA","HIGHWAY CRASH DATA")</f>
        <v>HIGHWAY CRASH DATA</v>
      </c>
      <c r="N7" s="47"/>
      <c r="O7" s="47"/>
      <c r="P7" s="47"/>
      <c r="Q7" s="3"/>
      <c r="R7" s="390"/>
      <c r="U7" s="46"/>
      <c r="V7" s="19" t="s">
        <v>120</v>
      </c>
      <c r="W7" s="21" t="s">
        <v>582</v>
      </c>
      <c r="X7" s="47"/>
      <c r="Y7" s="47"/>
      <c r="Z7" s="3"/>
      <c r="AA7" s="3"/>
      <c r="AB7" s="47"/>
      <c r="AC7" s="47"/>
      <c r="AD7" s="47"/>
      <c r="AE7" s="47"/>
      <c r="AF7" s="48"/>
    </row>
    <row r="8" spans="2:32" ht="14.25" customHeight="1" x14ac:dyDescent="0.25">
      <c r="B8" s="46"/>
      <c r="C8" s="26"/>
      <c r="D8" s="26"/>
      <c r="E8" s="26"/>
      <c r="F8" s="26"/>
      <c r="G8" s="26"/>
      <c r="H8" s="26"/>
      <c r="I8" s="48"/>
      <c r="K8" s="46"/>
      <c r="L8" s="26"/>
      <c r="M8" s="26"/>
      <c r="N8" s="26"/>
      <c r="O8" s="26"/>
      <c r="P8" s="26"/>
      <c r="Q8" s="26"/>
      <c r="R8" s="48"/>
      <c r="U8" s="46"/>
      <c r="V8" s="19"/>
      <c r="W8" s="21"/>
      <c r="X8" s="47"/>
      <c r="Y8" s="47"/>
      <c r="Z8" s="3"/>
      <c r="AA8" s="3"/>
      <c r="AB8" s="47"/>
      <c r="AC8" s="47"/>
      <c r="AD8" s="47"/>
      <c r="AE8" s="47"/>
      <c r="AF8" s="48"/>
    </row>
    <row r="9" spans="2:32" ht="14.25" customHeight="1" x14ac:dyDescent="0.35">
      <c r="B9" s="46"/>
      <c r="C9" s="54" t="s">
        <v>104</v>
      </c>
      <c r="D9" s="55"/>
      <c r="E9" s="55"/>
      <c r="F9" s="784"/>
      <c r="G9" s="55"/>
      <c r="H9" s="786" t="str">
        <f>IFERROR(IF(VLOOKUP(ProjType,PARAMETERS!$Z$9:$AC$44,4,FALSE)="","",VLOOKUP(ProjType,PARAMETERS!$Z$9:$AC$44,4,FALSE)),"")</f>
        <v/>
      </c>
      <c r="I9" s="48"/>
      <c r="K9" s="46"/>
      <c r="L9" s="619" t="str">
        <f>IF(HwyRail,"Actual 10-Year Fat &amp; Inj Data or WBAPS Prediction (from FRA)","Actual 3-Year Crash Data (from Table B)")</f>
        <v>Actual 3-Year Crash Data (from Table B)</v>
      </c>
      <c r="M9" s="55"/>
      <c r="N9" s="55"/>
      <c r="O9" s="55"/>
      <c r="P9" s="15"/>
      <c r="Q9" s="16"/>
      <c r="R9" s="48"/>
      <c r="U9" s="46"/>
      <c r="V9" s="102" t="s">
        <v>121</v>
      </c>
      <c r="W9" s="112" t="s">
        <v>122</v>
      </c>
      <c r="X9" s="112" t="s">
        <v>123</v>
      </c>
      <c r="Y9" s="112" t="s">
        <v>124</v>
      </c>
      <c r="Z9" s="112" t="s">
        <v>125</v>
      </c>
      <c r="AA9" s="112" t="s">
        <v>126</v>
      </c>
      <c r="AB9" s="112" t="s">
        <v>127</v>
      </c>
      <c r="AC9" s="112" t="s">
        <v>128</v>
      </c>
      <c r="AD9" s="112"/>
      <c r="AE9" s="112"/>
      <c r="AF9" s="48"/>
    </row>
    <row r="10" spans="2:32" ht="14.25" customHeight="1" x14ac:dyDescent="0.35">
      <c r="B10" s="46"/>
      <c r="C10" s="57"/>
      <c r="D10" s="49" t="s">
        <v>457</v>
      </c>
      <c r="E10" s="33"/>
      <c r="F10" s="1640"/>
      <c r="G10" s="1641"/>
      <c r="H10" s="1642"/>
      <c r="I10" s="48"/>
      <c r="K10" s="46"/>
      <c r="L10" s="615"/>
      <c r="M10" s="33"/>
      <c r="N10" s="33"/>
      <c r="O10" s="33"/>
      <c r="P10" s="391" t="s">
        <v>130</v>
      </c>
      <c r="Q10" s="392" t="s">
        <v>131</v>
      </c>
      <c r="R10" s="48"/>
      <c r="U10" s="46"/>
      <c r="V10" s="167"/>
      <c r="W10" s="123" t="s">
        <v>132</v>
      </c>
      <c r="X10" s="124"/>
      <c r="Y10" s="125"/>
      <c r="Z10" s="124"/>
      <c r="AA10" s="126"/>
      <c r="AB10" s="127"/>
      <c r="AC10" s="839" t="s">
        <v>153</v>
      </c>
      <c r="AD10" s="128"/>
      <c r="AE10" s="129"/>
      <c r="AF10" s="48"/>
    </row>
    <row r="11" spans="2:32" ht="14.25" customHeight="1" x14ac:dyDescent="0.3">
      <c r="B11" s="46"/>
      <c r="C11" s="785"/>
      <c r="D11" s="33"/>
      <c r="E11" s="33"/>
      <c r="F11" s="33"/>
      <c r="G11" s="33"/>
      <c r="H11" s="58"/>
      <c r="I11" s="48"/>
      <c r="K11" s="46"/>
      <c r="L11" s="615"/>
      <c r="M11" s="49" t="str">
        <f>IF(HwyRail,"Total Accidents (Tot)","Total Crashes (Tot)")</f>
        <v>Total Crashes (Tot)</v>
      </c>
      <c r="N11" s="33"/>
      <c r="O11" s="33"/>
      <c r="P11" s="42"/>
      <c r="Q11" s="688">
        <f>IF(HwyRail,0,IF(ISNUMBER(P11),ROUND(P11/(ADT0*IF(OR(Intersect,FreeConn,HOVConn,HOVDrop,OffRamp,OnRamp),1,SegmentNB)*AnnualFactor/1000000)/3,2),SUM(StateFatRate,StateInjRate,StatePDORate)))</f>
        <v>0.89500000000000002</v>
      </c>
      <c r="R11" s="48"/>
      <c r="U11" s="46"/>
      <c r="V11" s="168"/>
      <c r="W11" s="130" t="s">
        <v>133</v>
      </c>
      <c r="X11" s="120"/>
      <c r="Y11" s="119"/>
      <c r="Z11" s="117" t="s">
        <v>134</v>
      </c>
      <c r="AA11" s="119"/>
      <c r="AB11" s="114"/>
      <c r="AC11" s="115" t="s">
        <v>532</v>
      </c>
      <c r="AD11" s="122" t="s">
        <v>583</v>
      </c>
      <c r="AE11" s="131"/>
      <c r="AF11" s="48"/>
    </row>
    <row r="12" spans="2:32" ht="14.25" customHeight="1" x14ac:dyDescent="0.35">
      <c r="B12" s="46"/>
      <c r="C12" s="79" t="s">
        <v>156</v>
      </c>
      <c r="D12" s="33"/>
      <c r="E12" s="33"/>
      <c r="F12" s="33"/>
      <c r="G12" s="33"/>
      <c r="H12" s="818"/>
      <c r="I12" s="48"/>
      <c r="K12" s="46"/>
      <c r="L12" s="57"/>
      <c r="M12" s="996" t="str">
        <f>IF(HwyRail,"Fatal Accidents (Fat)","Fatal Crashes (Fat)")</f>
        <v>Fatal Crashes (Fat)</v>
      </c>
      <c r="N12" s="33"/>
      <c r="O12" s="33"/>
      <c r="P12" s="42"/>
      <c r="Q12" s="955">
        <f>IF(HwyRail,IF(ISNUMBER(P12),P12/10,P11*RailGradeFatRate),IF(ISNUMBER(P12),ROUND(P12/(ADT0*IF(OR(Intersect,FreeConn,HOVConn,HOVDrop,OffRamp,OnRamp),1,SegmentNB)*AnnualFactor/1000000)/3,3),StateFatRate))</f>
        <v>5.0000000000000001E-3</v>
      </c>
      <c r="R12" s="48"/>
      <c r="U12" s="46"/>
      <c r="V12" s="169" t="s">
        <v>135</v>
      </c>
      <c r="W12" s="132" t="s">
        <v>136</v>
      </c>
      <c r="X12" s="103"/>
      <c r="Y12" s="113"/>
      <c r="Z12" s="103" t="s">
        <v>137</v>
      </c>
      <c r="AA12" s="104"/>
      <c r="AB12" s="114"/>
      <c r="AC12" s="116" t="s">
        <v>423</v>
      </c>
      <c r="AD12" s="142" t="s">
        <v>138</v>
      </c>
      <c r="AE12" s="133" t="s">
        <v>139</v>
      </c>
      <c r="AF12" s="48"/>
    </row>
    <row r="13" spans="2:32" ht="14.25" customHeight="1" x14ac:dyDescent="0.3">
      <c r="B13" s="46"/>
      <c r="C13" s="57"/>
      <c r="D13" s="49"/>
      <c r="E13" s="20"/>
      <c r="F13" s="33"/>
      <c r="G13" s="33"/>
      <c r="H13" s="58"/>
      <c r="I13" s="48"/>
      <c r="K13" s="46"/>
      <c r="L13" s="57"/>
      <c r="M13" s="996" t="str">
        <f>IF(HwyRail,"Injury Accidents (Inj)","Injury Crashes (Inj)")</f>
        <v>Injury Crashes (Inj)</v>
      </c>
      <c r="N13" s="33"/>
      <c r="O13" s="33"/>
      <c r="P13" s="42"/>
      <c r="Q13" s="688">
        <f>IF(HwyRail,IF(ISNUMBER(P13),P13/10,P11*RailGradeInjRate),IF(ISNUMBER(P13),ROUND(P13/(ADT0*IF(OR(Intersect,FreeConn,HOVConn,HOVDrop,OffRamp,OnRamp),1,SegmentNB)*AnnualFactor/1000000)/3,2),StateInjRate))</f>
        <v>0.28000000000000003</v>
      </c>
      <c r="R13" s="48"/>
      <c r="U13" s="46"/>
      <c r="V13" s="170"/>
      <c r="W13" s="134" t="s">
        <v>141</v>
      </c>
      <c r="X13" s="135" t="s">
        <v>142</v>
      </c>
      <c r="Y13" s="136" t="s">
        <v>143</v>
      </c>
      <c r="Z13" s="137" t="s">
        <v>144</v>
      </c>
      <c r="AA13" s="138" t="s">
        <v>145</v>
      </c>
      <c r="AB13" s="139" t="s">
        <v>146</v>
      </c>
      <c r="AC13" s="141" t="s">
        <v>334</v>
      </c>
      <c r="AD13" s="143" t="s">
        <v>148</v>
      </c>
      <c r="AE13" s="140" t="s">
        <v>149</v>
      </c>
      <c r="AF13" s="48"/>
    </row>
    <row r="14" spans="2:32" ht="14.25" customHeight="1" x14ac:dyDescent="0.35">
      <c r="B14" s="46"/>
      <c r="C14" s="79"/>
      <c r="D14" s="49" t="s">
        <v>157</v>
      </c>
      <c r="E14" s="20"/>
      <c r="F14" s="817"/>
      <c r="G14" s="33" t="s">
        <v>158</v>
      </c>
      <c r="H14" s="58"/>
      <c r="I14" s="48"/>
      <c r="K14" s="46"/>
      <c r="L14" s="59"/>
      <c r="M14" s="997" t="str">
        <f>IF(HwyRail,"Property Damage Only (PDO) Accidents","Property Damage Only (PDO) Crashes")</f>
        <v>Property Damage Only (PDO) Crashes</v>
      </c>
      <c r="N14" s="61"/>
      <c r="O14" s="61"/>
      <c r="P14" s="954" t="str">
        <f>IF(HwyRail,"",IF(ISNUMBER(P11),P11-P12-P13,""))</f>
        <v/>
      </c>
      <c r="Q14" s="688">
        <f>IF(HwyRail,0,IF(ISNUMBER(P14),ROUND(P14/(ADT0*IF(OR(Intersect,FreeConn,HOVConn,HOVDrop,OffRamp,OnRamp),1,SegmentNB)*AnnualFactor/1000000)/3,2),StatePDORate))</f>
        <v>0.61</v>
      </c>
      <c r="R14" s="48"/>
      <c r="U14" s="46"/>
      <c r="V14" s="157" t="s">
        <v>5</v>
      </c>
      <c r="W14" s="158"/>
      <c r="X14" s="159"/>
      <c r="Y14" s="159"/>
      <c r="Z14" s="159"/>
      <c r="AA14" s="159"/>
      <c r="AB14" s="159"/>
      <c r="AC14" s="159"/>
      <c r="AD14" s="159"/>
      <c r="AE14" s="160"/>
      <c r="AF14" s="48"/>
    </row>
    <row r="15" spans="2:32" ht="14.25" customHeight="1" x14ac:dyDescent="0.35">
      <c r="B15" s="46"/>
      <c r="C15" s="79"/>
      <c r="D15" s="49" t="s">
        <v>363</v>
      </c>
      <c r="E15" s="20"/>
      <c r="F15" s="897">
        <v>2</v>
      </c>
      <c r="G15" s="33" t="s">
        <v>647</v>
      </c>
      <c r="H15" s="58"/>
      <c r="I15" s="48"/>
      <c r="K15" s="46"/>
      <c r="L15" s="393"/>
      <c r="M15" s="394"/>
      <c r="N15" s="393"/>
      <c r="O15" s="393"/>
      <c r="P15" s="395"/>
      <c r="Q15" s="396"/>
      <c r="R15" s="48"/>
      <c r="U15" s="46"/>
      <c r="V15" s="154">
        <v>1</v>
      </c>
      <c r="W15" s="155"/>
      <c r="X15" s="156"/>
      <c r="Y15" s="171"/>
      <c r="Z15" s="191" t="str">
        <f>IF(SUM(W15:Y15,AB15:AC15)=0,"&lt;-- Must enter a cost --&gt;","")</f>
        <v>&lt;-- Must enter a cost --&gt;</v>
      </c>
      <c r="AA15" s="192"/>
      <c r="AB15" s="181"/>
      <c r="AC15" s="163"/>
      <c r="AD15" s="727">
        <f t="shared" ref="AD15:AD22" si="0">SUM(W15:AC15)*1000</f>
        <v>0</v>
      </c>
      <c r="AE15" s="728">
        <f t="shared" ref="AE15:AE22" si="1">$AD15/(1+DiscRate)^($V15-1)</f>
        <v>0</v>
      </c>
      <c r="AF15" s="48"/>
    </row>
    <row r="16" spans="2:32" ht="14.25" customHeight="1" x14ac:dyDescent="0.35">
      <c r="B16" s="46"/>
      <c r="C16" s="79"/>
      <c r="D16" s="49"/>
      <c r="E16" s="20"/>
      <c r="F16" s="43" t="s">
        <v>169</v>
      </c>
      <c r="G16" s="33"/>
      <c r="H16" s="58"/>
      <c r="I16" s="48"/>
      <c r="K16" s="46"/>
      <c r="L16" s="616" t="s">
        <v>858</v>
      </c>
      <c r="M16" s="55"/>
      <c r="N16" s="55"/>
      <c r="O16" s="55"/>
      <c r="P16" s="15"/>
      <c r="Q16" s="16"/>
      <c r="R16" s="48"/>
      <c r="U16" s="46"/>
      <c r="V16" s="151">
        <v>2</v>
      </c>
      <c r="W16" s="185"/>
      <c r="X16" s="186"/>
      <c r="Y16" s="187"/>
      <c r="Z16" s="191" t="str">
        <f t="shared" ref="Z16:Z22" si="2">IF(V16&lt;=Construct,IF(SUM(W16:Y16,AB16:AC16)=0,"&lt;-- Must enter a cost --&gt;",""),IF(SUM(W16:Y16,AB16:AC16)&lt;&gt;0,"Adjust Construction Period",""))</f>
        <v/>
      </c>
      <c r="AA16" s="192"/>
      <c r="AB16" s="182"/>
      <c r="AC16" s="144"/>
      <c r="AD16" s="729">
        <f t="shared" si="0"/>
        <v>0</v>
      </c>
      <c r="AE16" s="731">
        <f t="shared" si="1"/>
        <v>0</v>
      </c>
      <c r="AF16" s="48"/>
    </row>
    <row r="17" spans="1:33" ht="14.25" customHeight="1" x14ac:dyDescent="0.35">
      <c r="B17" s="46"/>
      <c r="C17" s="80" t="s">
        <v>645</v>
      </c>
      <c r="D17" s="60"/>
      <c r="E17" s="22"/>
      <c r="F17" s="819">
        <v>5</v>
      </c>
      <c r="G17" s="61" t="s">
        <v>160</v>
      </c>
      <c r="H17" s="857"/>
      <c r="I17" s="48"/>
      <c r="K17" s="46"/>
      <c r="L17" s="617"/>
      <c r="M17" s="618"/>
      <c r="N17" s="33"/>
      <c r="O17" s="33"/>
      <c r="P17" s="12" t="s">
        <v>0</v>
      </c>
      <c r="Q17" s="13" t="s">
        <v>1</v>
      </c>
      <c r="R17" s="48"/>
      <c r="U17" s="46"/>
      <c r="V17" s="151">
        <v>3</v>
      </c>
      <c r="W17" s="185"/>
      <c r="X17" s="186"/>
      <c r="Y17" s="187"/>
      <c r="Z17" s="191" t="str">
        <f t="shared" si="2"/>
        <v/>
      </c>
      <c r="AA17" s="192"/>
      <c r="AB17" s="182"/>
      <c r="AC17" s="144"/>
      <c r="AD17" s="729">
        <f t="shared" si="0"/>
        <v>0</v>
      </c>
      <c r="AE17" s="731">
        <f t="shared" si="1"/>
        <v>0</v>
      </c>
      <c r="AF17" s="48"/>
    </row>
    <row r="18" spans="1:33" ht="14.25" customHeight="1" thickBot="1" x14ac:dyDescent="0.35">
      <c r="B18" s="50"/>
      <c r="C18" s="51"/>
      <c r="D18" s="51"/>
      <c r="E18" s="51"/>
      <c r="F18" s="51"/>
      <c r="G18" s="51"/>
      <c r="H18" s="51"/>
      <c r="I18" s="52"/>
      <c r="K18" s="46"/>
      <c r="L18" s="617"/>
      <c r="M18" s="49" t="s">
        <v>167</v>
      </c>
      <c r="N18" s="33"/>
      <c r="O18" s="33"/>
      <c r="P18" s="426"/>
      <c r="Q18" s="427"/>
      <c r="R18" s="48"/>
      <c r="U18" s="46"/>
      <c r="V18" s="151">
        <v>4</v>
      </c>
      <c r="W18" s="185"/>
      <c r="X18" s="186"/>
      <c r="Y18" s="187"/>
      <c r="Z18" s="191" t="str">
        <f t="shared" si="2"/>
        <v/>
      </c>
      <c r="AA18" s="192"/>
      <c r="AB18" s="182"/>
      <c r="AC18" s="144"/>
      <c r="AD18" s="729">
        <f t="shared" si="0"/>
        <v>0</v>
      </c>
      <c r="AE18" s="731">
        <f t="shared" si="1"/>
        <v>0</v>
      </c>
      <c r="AF18" s="48"/>
    </row>
    <row r="19" spans="1:33" ht="14.25" customHeight="1" thickTop="1" thickBot="1" x14ac:dyDescent="0.35">
      <c r="K19" s="46"/>
      <c r="L19" s="57"/>
      <c r="M19" s="49" t="s">
        <v>859</v>
      </c>
      <c r="N19" s="33"/>
      <c r="O19" s="33"/>
      <c r="P19" s="426"/>
      <c r="Q19" s="427"/>
      <c r="R19" s="48"/>
      <c r="U19" s="46"/>
      <c r="V19" s="151">
        <v>5</v>
      </c>
      <c r="W19" s="185"/>
      <c r="X19" s="186"/>
      <c r="Y19" s="187"/>
      <c r="Z19" s="191" t="str">
        <f t="shared" si="2"/>
        <v/>
      </c>
      <c r="AA19" s="192"/>
      <c r="AB19" s="182"/>
      <c r="AC19" s="144"/>
      <c r="AD19" s="729">
        <f t="shared" si="0"/>
        <v>0</v>
      </c>
      <c r="AE19" s="731">
        <f t="shared" si="1"/>
        <v>0</v>
      </c>
      <c r="AF19" s="48"/>
    </row>
    <row r="20" spans="1:33" ht="14.25" customHeight="1" thickTop="1" x14ac:dyDescent="0.3">
      <c r="B20" s="44"/>
      <c r="C20" s="2"/>
      <c r="D20" s="2"/>
      <c r="E20" s="2"/>
      <c r="F20" s="2"/>
      <c r="G20" s="2"/>
      <c r="H20" s="53"/>
      <c r="I20" s="45"/>
      <c r="K20" s="46"/>
      <c r="L20" s="57"/>
      <c r="M20" s="996" t="s">
        <v>860</v>
      </c>
      <c r="N20" s="33"/>
      <c r="O20" s="33"/>
      <c r="P20" s="1045"/>
      <c r="Q20" s="1046"/>
      <c r="R20" s="48"/>
      <c r="U20" s="46"/>
      <c r="V20" s="151">
        <v>6</v>
      </c>
      <c r="W20" s="185"/>
      <c r="X20" s="186"/>
      <c r="Y20" s="187"/>
      <c r="Z20" s="191" t="str">
        <f t="shared" si="2"/>
        <v/>
      </c>
      <c r="AA20" s="192"/>
      <c r="AB20" s="182"/>
      <c r="AC20" s="144"/>
      <c r="AD20" s="729">
        <f t="shared" si="0"/>
        <v>0</v>
      </c>
      <c r="AE20" s="731">
        <f t="shared" si="1"/>
        <v>0</v>
      </c>
      <c r="AF20" s="48"/>
    </row>
    <row r="21" spans="1:33" ht="14.25" customHeight="1" x14ac:dyDescent="0.3">
      <c r="B21" s="46"/>
      <c r="C21" s="19" t="s">
        <v>163</v>
      </c>
      <c r="D21" s="21" t="s">
        <v>164</v>
      </c>
      <c r="E21" s="47"/>
      <c r="F21" s="47"/>
      <c r="G21" s="3"/>
      <c r="H21" s="3"/>
      <c r="I21" s="48"/>
      <c r="K21" s="397"/>
      <c r="L21" s="59"/>
      <c r="M21" s="997" t="s">
        <v>861</v>
      </c>
      <c r="N21" s="61"/>
      <c r="O21" s="61"/>
      <c r="P21" s="1047"/>
      <c r="Q21" s="1048"/>
      <c r="R21" s="398"/>
      <c r="U21" s="46"/>
      <c r="V21" s="151">
        <v>7</v>
      </c>
      <c r="W21" s="185"/>
      <c r="X21" s="186"/>
      <c r="Y21" s="187"/>
      <c r="Z21" s="191" t="str">
        <f t="shared" si="2"/>
        <v/>
      </c>
      <c r="AA21" s="192"/>
      <c r="AB21" s="182"/>
      <c r="AC21" s="144"/>
      <c r="AD21" s="729">
        <f t="shared" si="0"/>
        <v>0</v>
      </c>
      <c r="AE21" s="731">
        <f t="shared" si="1"/>
        <v>0</v>
      </c>
      <c r="AF21" s="48"/>
    </row>
    <row r="22" spans="1:33" ht="14.25" customHeight="1" thickBot="1" x14ac:dyDescent="0.3">
      <c r="A22" s="34"/>
      <c r="B22" s="46"/>
      <c r="C22" s="26"/>
      <c r="D22" s="26"/>
      <c r="E22" s="26"/>
      <c r="F22" s="26"/>
      <c r="G22" s="26"/>
      <c r="H22" s="26"/>
      <c r="I22" s="48"/>
      <c r="K22" s="399"/>
      <c r="L22" s="400"/>
      <c r="M22" s="400"/>
      <c r="N22" s="400"/>
      <c r="O22" s="400"/>
      <c r="P22" s="400"/>
      <c r="Q22" s="400"/>
      <c r="R22" s="401"/>
      <c r="U22" s="46"/>
      <c r="V22" s="161">
        <v>8</v>
      </c>
      <c r="W22" s="188"/>
      <c r="X22" s="189"/>
      <c r="Y22" s="190"/>
      <c r="Z22" s="191" t="str">
        <f t="shared" si="2"/>
        <v/>
      </c>
      <c r="AA22" s="192"/>
      <c r="AB22" s="183"/>
      <c r="AC22" s="144"/>
      <c r="AD22" s="729">
        <f t="shared" si="0"/>
        <v>0</v>
      </c>
      <c r="AE22" s="731">
        <f t="shared" si="1"/>
        <v>0</v>
      </c>
      <c r="AF22" s="48"/>
    </row>
    <row r="23" spans="1:33" ht="14.25" customHeight="1" thickTop="1" thickBot="1" x14ac:dyDescent="0.4">
      <c r="A23" s="34"/>
      <c r="B23" s="46"/>
      <c r="C23" s="54" t="s">
        <v>103</v>
      </c>
      <c r="D23" s="55"/>
      <c r="E23" s="55"/>
      <c r="F23" s="55"/>
      <c r="G23" s="15" t="s">
        <v>0</v>
      </c>
      <c r="H23" s="16" t="s">
        <v>1</v>
      </c>
      <c r="I23" s="48"/>
      <c r="U23" s="46"/>
      <c r="V23" s="164" t="s">
        <v>6</v>
      </c>
      <c r="W23" s="158"/>
      <c r="X23" s="159"/>
      <c r="Y23" s="159"/>
      <c r="Z23" s="159"/>
      <c r="AA23" s="159"/>
      <c r="AB23" s="159"/>
      <c r="AC23" s="159"/>
      <c r="AD23" s="159"/>
      <c r="AE23" s="160"/>
      <c r="AF23" s="48"/>
    </row>
    <row r="24" spans="1:33" ht="14.25" customHeight="1" thickTop="1" x14ac:dyDescent="0.35">
      <c r="A24" s="34"/>
      <c r="B24" s="46"/>
      <c r="C24" s="57"/>
      <c r="D24" s="49" t="s">
        <v>92</v>
      </c>
      <c r="E24" s="49"/>
      <c r="F24" s="33"/>
      <c r="G24" s="1013" t="str">
        <f>IF(HwyRail,"C","F")</f>
        <v>F</v>
      </c>
      <c r="H24" s="903" t="str">
        <f>RoadTypeNB</f>
        <v>F</v>
      </c>
      <c r="I24" s="48"/>
      <c r="K24" s="378"/>
      <c r="L24" s="379"/>
      <c r="M24" s="379"/>
      <c r="N24" s="379"/>
      <c r="O24" s="379"/>
      <c r="P24" s="379"/>
      <c r="Q24" s="379"/>
      <c r="R24" s="380"/>
      <c r="U24" s="46"/>
      <c r="V24" s="162">
        <v>1</v>
      </c>
      <c r="W24" s="172"/>
      <c r="X24" s="173"/>
      <c r="Y24" s="174"/>
      <c r="Z24" s="155"/>
      <c r="AA24" s="841"/>
      <c r="AB24" s="155"/>
      <c r="AC24" s="840" t="str">
        <f t="shared" ref="AC24:AC43" si="3">IF(AVL,TCapCostB-TCapCostNB+TOMCostB-TOMCostNB,"")</f>
        <v/>
      </c>
      <c r="AD24" s="730">
        <f t="shared" ref="AD24:AD43" si="4">SUM(W24:AC24)*1000</f>
        <v>0</v>
      </c>
      <c r="AE24" s="728">
        <f t="shared" ref="AE24:AE43" si="5">$AD24/(1+DiscRate)^($V24+Construct-1)</f>
        <v>0</v>
      </c>
      <c r="AF24" s="48"/>
    </row>
    <row r="25" spans="1:33" ht="14.25" customHeight="1" x14ac:dyDescent="0.3">
      <c r="A25" s="34"/>
      <c r="B25" s="46"/>
      <c r="C25" s="57"/>
      <c r="D25" s="49" t="s">
        <v>165</v>
      </c>
      <c r="E25" s="33"/>
      <c r="F25" s="33"/>
      <c r="G25" s="821"/>
      <c r="H25" s="822"/>
      <c r="I25" s="48"/>
      <c r="K25" s="381"/>
      <c r="L25" s="460" t="s">
        <v>159</v>
      </c>
      <c r="M25" s="21" t="s">
        <v>11</v>
      </c>
      <c r="N25" s="620"/>
      <c r="O25" s="620"/>
      <c r="P25" s="382"/>
      <c r="Q25" s="382"/>
      <c r="R25" s="383"/>
      <c r="U25" s="46"/>
      <c r="V25" s="152">
        <v>2</v>
      </c>
      <c r="W25" s="175"/>
      <c r="X25" s="176"/>
      <c r="Y25" s="177"/>
      <c r="Z25" s="105"/>
      <c r="AA25" s="106"/>
      <c r="AB25" s="105"/>
      <c r="AC25" s="842" t="str">
        <f t="shared" si="3"/>
        <v/>
      </c>
      <c r="AD25" s="729">
        <f t="shared" si="4"/>
        <v>0</v>
      </c>
      <c r="AE25" s="731">
        <f t="shared" si="5"/>
        <v>0</v>
      </c>
      <c r="AF25" s="48"/>
    </row>
    <row r="26" spans="1:33" s="34" customFormat="1" ht="14.25" customHeight="1" x14ac:dyDescent="0.3">
      <c r="B26" s="46"/>
      <c r="C26" s="57"/>
      <c r="D26" s="49" t="s">
        <v>49</v>
      </c>
      <c r="E26" s="33"/>
      <c r="F26" s="33"/>
      <c r="G26" s="821"/>
      <c r="H26" s="822"/>
      <c r="I26" s="48"/>
      <c r="J26" s="1"/>
      <c r="K26" s="384"/>
      <c r="L26" s="621"/>
      <c r="M26" s="621"/>
      <c r="N26" s="621"/>
      <c r="O26" s="621"/>
      <c r="P26" s="622"/>
      <c r="Q26" s="622"/>
      <c r="R26" s="383"/>
      <c r="T26" s="1"/>
      <c r="U26" s="46"/>
      <c r="V26" s="152">
        <v>3</v>
      </c>
      <c r="W26" s="175"/>
      <c r="X26" s="176"/>
      <c r="Y26" s="177"/>
      <c r="Z26" s="105"/>
      <c r="AA26" s="106"/>
      <c r="AB26" s="105"/>
      <c r="AC26" s="842" t="str">
        <f t="shared" si="3"/>
        <v/>
      </c>
      <c r="AD26" s="729">
        <f t="shared" si="4"/>
        <v>0</v>
      </c>
      <c r="AE26" s="731">
        <f t="shared" si="5"/>
        <v>0</v>
      </c>
      <c r="AF26" s="48"/>
      <c r="AG26" s="1"/>
    </row>
    <row r="27" spans="1:33" s="34" customFormat="1" ht="14.25" customHeight="1" x14ac:dyDescent="0.35">
      <c r="B27" s="46"/>
      <c r="C27" s="57"/>
      <c r="D27" s="49" t="s">
        <v>496</v>
      </c>
      <c r="E27" s="33"/>
      <c r="F27" s="33"/>
      <c r="G27" s="820"/>
      <c r="H27" s="667"/>
      <c r="I27" s="48"/>
      <c r="J27" s="1"/>
      <c r="K27" s="384"/>
      <c r="L27" s="4" t="s">
        <v>77</v>
      </c>
      <c r="M27" s="385"/>
      <c r="N27" s="385"/>
      <c r="O27" s="385"/>
      <c r="P27" s="15" t="s">
        <v>0</v>
      </c>
      <c r="Q27" s="16" t="s">
        <v>1</v>
      </c>
      <c r="R27" s="383"/>
      <c r="U27" s="46"/>
      <c r="V27" s="152">
        <v>4</v>
      </c>
      <c r="W27" s="175"/>
      <c r="X27" s="176"/>
      <c r="Y27" s="177"/>
      <c r="Z27" s="105"/>
      <c r="AA27" s="106"/>
      <c r="AB27" s="105"/>
      <c r="AC27" s="842" t="str">
        <f t="shared" si="3"/>
        <v/>
      </c>
      <c r="AD27" s="729">
        <f t="shared" si="4"/>
        <v>0</v>
      </c>
      <c r="AE27" s="731">
        <f t="shared" si="5"/>
        <v>0</v>
      </c>
      <c r="AF27" s="48"/>
    </row>
    <row r="28" spans="1:33" s="34" customFormat="1" ht="14.25" customHeight="1" x14ac:dyDescent="0.35">
      <c r="B28" s="46"/>
      <c r="C28" s="785"/>
      <c r="D28" s="49" t="s">
        <v>517</v>
      </c>
      <c r="E28" s="33"/>
      <c r="F28" s="33"/>
      <c r="G28" s="888" t="s">
        <v>213</v>
      </c>
      <c r="H28" s="667"/>
      <c r="I28" s="48"/>
      <c r="K28" s="384"/>
      <c r="L28" s="386"/>
      <c r="M28" s="9"/>
      <c r="N28" s="267" t="s">
        <v>161</v>
      </c>
      <c r="O28" s="267"/>
      <c r="P28" s="10"/>
      <c r="Q28" s="402"/>
      <c r="R28" s="383"/>
      <c r="U28" s="64"/>
      <c r="V28" s="152">
        <v>5</v>
      </c>
      <c r="W28" s="175"/>
      <c r="X28" s="176"/>
      <c r="Y28" s="177"/>
      <c r="Z28" s="105"/>
      <c r="AA28" s="106"/>
      <c r="AB28" s="105"/>
      <c r="AC28" s="842" t="str">
        <f t="shared" si="3"/>
        <v/>
      </c>
      <c r="AD28" s="729">
        <f t="shared" si="4"/>
        <v>0</v>
      </c>
      <c r="AE28" s="731">
        <f t="shared" si="5"/>
        <v>0</v>
      </c>
      <c r="AF28" s="65"/>
    </row>
    <row r="29" spans="1:33" s="34" customFormat="1" ht="14.25" customHeight="1" x14ac:dyDescent="0.35">
      <c r="B29" s="46"/>
      <c r="C29" s="57"/>
      <c r="D29" s="49"/>
      <c r="E29" s="33"/>
      <c r="F29" s="33"/>
      <c r="G29" s="890"/>
      <c r="H29" s="801"/>
      <c r="I29" s="48"/>
      <c r="K29" s="384"/>
      <c r="L29" s="387"/>
      <c r="M29" s="14"/>
      <c r="N29" s="403" t="s">
        <v>162</v>
      </c>
      <c r="O29" s="403"/>
      <c r="P29" s="404"/>
      <c r="Q29" s="638"/>
      <c r="R29" s="383"/>
      <c r="U29" s="64"/>
      <c r="V29" s="152">
        <v>6</v>
      </c>
      <c r="W29" s="175"/>
      <c r="X29" s="176"/>
      <c r="Y29" s="177"/>
      <c r="Z29" s="105"/>
      <c r="AA29" s="106"/>
      <c r="AB29" s="105"/>
      <c r="AC29" s="842" t="str">
        <f t="shared" si="3"/>
        <v/>
      </c>
      <c r="AD29" s="729">
        <f t="shared" si="4"/>
        <v>0</v>
      </c>
      <c r="AE29" s="731">
        <f t="shared" si="5"/>
        <v>0</v>
      </c>
      <c r="AF29" s="65"/>
    </row>
    <row r="30" spans="1:33" s="34" customFormat="1" ht="14.25" customHeight="1" x14ac:dyDescent="0.3">
      <c r="B30" s="46"/>
      <c r="C30" s="57"/>
      <c r="D30" s="49" t="s">
        <v>497</v>
      </c>
      <c r="E30" s="33"/>
      <c r="F30" s="33"/>
      <c r="G30" s="23"/>
      <c r="H30" s="72">
        <f>FFSpeedNB</f>
        <v>0</v>
      </c>
      <c r="I30" s="48"/>
      <c r="K30" s="384"/>
      <c r="L30" s="405" t="s">
        <v>98</v>
      </c>
      <c r="M30" s="406"/>
      <c r="N30" s="407"/>
      <c r="O30" s="407"/>
      <c r="P30" s="408">
        <f>PerPeakADT</f>
        <v>0.40300000000000002</v>
      </c>
      <c r="Q30" s="640"/>
      <c r="R30" s="383"/>
      <c r="U30" s="64"/>
      <c r="V30" s="152">
        <v>7</v>
      </c>
      <c r="W30" s="175"/>
      <c r="X30" s="176"/>
      <c r="Y30" s="177"/>
      <c r="Z30" s="105"/>
      <c r="AA30" s="106"/>
      <c r="AB30" s="105"/>
      <c r="AC30" s="842" t="str">
        <f t="shared" si="3"/>
        <v/>
      </c>
      <c r="AD30" s="729">
        <f t="shared" si="4"/>
        <v>0</v>
      </c>
      <c r="AE30" s="731">
        <f t="shared" si="5"/>
        <v>0</v>
      </c>
      <c r="AF30" s="65"/>
    </row>
    <row r="31" spans="1:33" s="34" customFormat="1" ht="14.25" customHeight="1" x14ac:dyDescent="0.3">
      <c r="B31" s="46"/>
      <c r="C31" s="57"/>
      <c r="D31" s="49" t="s">
        <v>596</v>
      </c>
      <c r="E31" s="33"/>
      <c r="F31" s="33"/>
      <c r="G31" s="802">
        <v>35</v>
      </c>
      <c r="H31" s="72">
        <f>RampFFSpdNB</f>
        <v>35</v>
      </c>
      <c r="I31" s="48"/>
      <c r="K31" s="384"/>
      <c r="L31" s="405" t="s">
        <v>101</v>
      </c>
      <c r="M31" s="406"/>
      <c r="N31" s="407"/>
      <c r="O31" s="407"/>
      <c r="P31" s="407"/>
      <c r="Q31" s="639">
        <v>1</v>
      </c>
      <c r="R31" s="383"/>
      <c r="U31" s="64"/>
      <c r="V31" s="152">
        <v>8</v>
      </c>
      <c r="W31" s="175"/>
      <c r="X31" s="176"/>
      <c r="Y31" s="177"/>
      <c r="Z31" s="105"/>
      <c r="AA31" s="106"/>
      <c r="AB31" s="105"/>
      <c r="AC31" s="842" t="str">
        <f t="shared" si="3"/>
        <v/>
      </c>
      <c r="AD31" s="729">
        <f t="shared" si="4"/>
        <v>0</v>
      </c>
      <c r="AE31" s="731">
        <f t="shared" si="5"/>
        <v>0</v>
      </c>
      <c r="AF31" s="65"/>
    </row>
    <row r="32" spans="1:33" s="34" customFormat="1" ht="14.25" customHeight="1" x14ac:dyDescent="0.35">
      <c r="B32" s="46"/>
      <c r="C32" s="57"/>
      <c r="D32" s="49" t="s">
        <v>166</v>
      </c>
      <c r="E32" s="27" t="s">
        <v>168</v>
      </c>
      <c r="F32" s="28"/>
      <c r="G32" s="24"/>
      <c r="H32" s="73">
        <f>SegmentNB</f>
        <v>0</v>
      </c>
      <c r="I32" s="48"/>
      <c r="K32" s="384"/>
      <c r="L32" s="416"/>
      <c r="M32" s="416"/>
      <c r="N32" s="416"/>
      <c r="O32" s="416"/>
      <c r="P32" s="416"/>
      <c r="Q32" s="416"/>
      <c r="R32" s="383"/>
      <c r="U32" s="64"/>
      <c r="V32" s="152">
        <v>9</v>
      </c>
      <c r="W32" s="175"/>
      <c r="X32" s="176"/>
      <c r="Y32" s="177"/>
      <c r="Z32" s="105"/>
      <c r="AA32" s="106"/>
      <c r="AB32" s="105"/>
      <c r="AC32" s="842" t="str">
        <f t="shared" si="3"/>
        <v/>
      </c>
      <c r="AD32" s="729">
        <f t="shared" si="4"/>
        <v>0</v>
      </c>
      <c r="AE32" s="731">
        <f t="shared" si="5"/>
        <v>0</v>
      </c>
      <c r="AF32" s="65"/>
    </row>
    <row r="33" spans="1:33" s="34" customFormat="1" ht="14.25" customHeight="1" x14ac:dyDescent="0.3">
      <c r="B33" s="46"/>
      <c r="C33" s="59"/>
      <c r="D33" s="61"/>
      <c r="E33" s="74" t="s">
        <v>4</v>
      </c>
      <c r="F33" s="61"/>
      <c r="G33" s="800">
        <f>IF(OR(AuxLane,OffRamp),1500/5280,IF(OR(FreeConn,HOVConn,HOVDrop),3250/5280,SegmentNB+IF(Passing,3,0)))</f>
        <v>0</v>
      </c>
      <c r="H33" s="75">
        <f>IF(OR(AuxLane,OffRamp),1500/5280,IF(OR(FreeConn,HOVConn,HOVDrop),3250/5280,SegmentB+IF(Passing,3,0)))</f>
        <v>0</v>
      </c>
      <c r="I33" s="48"/>
      <c r="K33" s="381"/>
      <c r="L33" s="4" t="s">
        <v>102</v>
      </c>
      <c r="M33" s="385"/>
      <c r="N33" s="385"/>
      <c r="O33" s="385"/>
      <c r="P33" s="15" t="s">
        <v>0</v>
      </c>
      <c r="Q33" s="16" t="s">
        <v>1</v>
      </c>
      <c r="R33" s="383"/>
      <c r="U33" s="64"/>
      <c r="V33" s="152">
        <v>10</v>
      </c>
      <c r="W33" s="175"/>
      <c r="X33" s="176"/>
      <c r="Y33" s="177"/>
      <c r="Z33" s="105"/>
      <c r="AA33" s="106"/>
      <c r="AB33" s="105"/>
      <c r="AC33" s="842" t="str">
        <f t="shared" si="3"/>
        <v/>
      </c>
      <c r="AD33" s="729">
        <f t="shared" si="4"/>
        <v>0</v>
      </c>
      <c r="AE33" s="731">
        <f t="shared" si="5"/>
        <v>0</v>
      </c>
      <c r="AF33" s="65"/>
    </row>
    <row r="34" spans="1:33" s="34" customFormat="1" ht="14.25" customHeight="1" x14ac:dyDescent="0.3">
      <c r="B34" s="64"/>
      <c r="C34" s="36"/>
      <c r="D34" s="36"/>
      <c r="E34" s="35"/>
      <c r="F34" s="36"/>
      <c r="G34" s="25"/>
      <c r="H34" s="37"/>
      <c r="I34" s="65"/>
      <c r="K34" s="384"/>
      <c r="L34" s="386"/>
      <c r="M34" s="9"/>
      <c r="N34" s="267" t="s">
        <v>161</v>
      </c>
      <c r="O34" s="267"/>
      <c r="P34" s="10"/>
      <c r="Q34" s="402"/>
      <c r="R34" s="383"/>
      <c r="U34" s="64"/>
      <c r="V34" s="152">
        <v>11</v>
      </c>
      <c r="W34" s="175"/>
      <c r="X34" s="176"/>
      <c r="Y34" s="177"/>
      <c r="Z34" s="105"/>
      <c r="AA34" s="106"/>
      <c r="AB34" s="105"/>
      <c r="AC34" s="842" t="str">
        <f t="shared" si="3"/>
        <v/>
      </c>
      <c r="AD34" s="729">
        <f t="shared" si="4"/>
        <v>0</v>
      </c>
      <c r="AE34" s="731">
        <f t="shared" si="5"/>
        <v>0</v>
      </c>
      <c r="AF34" s="65"/>
    </row>
    <row r="35" spans="1:33" s="34" customFormat="1" ht="14.25" customHeight="1" x14ac:dyDescent="0.25">
      <c r="B35" s="64"/>
      <c r="C35" s="4" t="s">
        <v>648</v>
      </c>
      <c r="D35" s="5"/>
      <c r="E35" s="5"/>
      <c r="F35" s="6"/>
      <c r="G35" s="31"/>
      <c r="H35" s="7"/>
      <c r="I35" s="65"/>
      <c r="K35" s="384"/>
      <c r="L35" s="387"/>
      <c r="M35" s="14"/>
      <c r="N35" s="22" t="s">
        <v>162</v>
      </c>
      <c r="O35" s="22"/>
      <c r="P35" s="404"/>
      <c r="Q35" s="726"/>
      <c r="R35" s="383"/>
      <c r="U35" s="64"/>
      <c r="V35" s="152">
        <v>12</v>
      </c>
      <c r="W35" s="175"/>
      <c r="X35" s="176"/>
      <c r="Y35" s="177"/>
      <c r="Z35" s="105"/>
      <c r="AA35" s="106"/>
      <c r="AB35" s="105"/>
      <c r="AC35" s="842" t="str">
        <f t="shared" si="3"/>
        <v/>
      </c>
      <c r="AD35" s="729">
        <f t="shared" si="4"/>
        <v>0</v>
      </c>
      <c r="AE35" s="731">
        <f t="shared" si="5"/>
        <v>0</v>
      </c>
      <c r="AF35" s="65"/>
    </row>
    <row r="36" spans="1:33" s="34" customFormat="1" ht="14.25" customHeight="1" x14ac:dyDescent="0.25">
      <c r="B36" s="46"/>
      <c r="C36" s="8"/>
      <c r="D36" s="9"/>
      <c r="E36" s="20" t="s">
        <v>169</v>
      </c>
      <c r="F36" s="33"/>
      <c r="G36" s="10"/>
      <c r="H36" s="266"/>
      <c r="I36" s="48"/>
      <c r="K36" s="384"/>
      <c r="L36" s="405" t="s">
        <v>525</v>
      </c>
      <c r="M36" s="406"/>
      <c r="N36" s="407"/>
      <c r="O36" s="407"/>
      <c r="P36" s="409"/>
      <c r="Q36" s="410"/>
      <c r="R36" s="383"/>
      <c r="U36" s="64"/>
      <c r="V36" s="152">
        <v>13</v>
      </c>
      <c r="W36" s="175"/>
      <c r="X36" s="176"/>
      <c r="Y36" s="177"/>
      <c r="Z36" s="105"/>
      <c r="AA36" s="106"/>
      <c r="AB36" s="105"/>
      <c r="AC36" s="842" t="str">
        <f t="shared" si="3"/>
        <v/>
      </c>
      <c r="AD36" s="729">
        <f t="shared" si="4"/>
        <v>0</v>
      </c>
      <c r="AE36" s="731">
        <f t="shared" si="5"/>
        <v>0</v>
      </c>
      <c r="AF36" s="65"/>
    </row>
    <row r="37" spans="1:33" s="34" customFormat="1" ht="14.25" customHeight="1" x14ac:dyDescent="0.25">
      <c r="B37" s="46"/>
      <c r="C37" s="11"/>
      <c r="D37" s="18"/>
      <c r="E37" s="17"/>
      <c r="F37" s="33"/>
      <c r="G37" s="12" t="s">
        <v>0</v>
      </c>
      <c r="H37" s="13" t="s">
        <v>1</v>
      </c>
      <c r="I37" s="48"/>
      <c r="K37" s="64"/>
      <c r="L37" s="36"/>
      <c r="M37" s="36"/>
      <c r="N37" s="36"/>
      <c r="O37" s="36"/>
      <c r="P37" s="36"/>
      <c r="Q37" s="36"/>
      <c r="R37" s="65"/>
      <c r="U37" s="64"/>
      <c r="V37" s="152">
        <v>14</v>
      </c>
      <c r="W37" s="175"/>
      <c r="X37" s="176"/>
      <c r="Y37" s="177"/>
      <c r="Z37" s="105"/>
      <c r="AA37" s="106"/>
      <c r="AB37" s="105"/>
      <c r="AC37" s="842" t="str">
        <f t="shared" si="3"/>
        <v/>
      </c>
      <c r="AD37" s="729">
        <f t="shared" si="4"/>
        <v>0</v>
      </c>
      <c r="AE37" s="731">
        <f t="shared" si="5"/>
        <v>0</v>
      </c>
      <c r="AF37" s="65"/>
    </row>
    <row r="38" spans="1:33" s="34" customFormat="1" ht="14.25" customHeight="1" x14ac:dyDescent="0.25">
      <c r="B38" s="64"/>
      <c r="C38" s="11"/>
      <c r="D38" s="18"/>
      <c r="E38" s="267" t="s">
        <v>161</v>
      </c>
      <c r="F38" s="268"/>
      <c r="G38" s="269">
        <f>ADT0+(ADT20NB-ADT0)*Construct/(Construct+19)</f>
        <v>0</v>
      </c>
      <c r="H38" s="270">
        <f>IF(ADT20NB=0,0,ADT20B/ADT20NB*ADT1NB)</f>
        <v>0</v>
      </c>
      <c r="I38" s="65"/>
      <c r="K38" s="384"/>
      <c r="L38" s="411" t="s">
        <v>55</v>
      </c>
      <c r="M38" s="412"/>
      <c r="N38" s="413"/>
      <c r="O38" s="413"/>
      <c r="P38" s="414"/>
      <c r="Q38" s="415"/>
      <c r="R38" s="383"/>
      <c r="U38" s="64"/>
      <c r="V38" s="152">
        <v>15</v>
      </c>
      <c r="W38" s="175"/>
      <c r="X38" s="176"/>
      <c r="Y38" s="177"/>
      <c r="Z38" s="105"/>
      <c r="AA38" s="106"/>
      <c r="AB38" s="105"/>
      <c r="AC38" s="842" t="str">
        <f t="shared" si="3"/>
        <v/>
      </c>
      <c r="AD38" s="729">
        <f t="shared" si="4"/>
        <v>0</v>
      </c>
      <c r="AE38" s="731">
        <f t="shared" si="5"/>
        <v>0</v>
      </c>
      <c r="AF38" s="65"/>
    </row>
    <row r="39" spans="1:33" s="34" customFormat="1" ht="14.25" customHeight="1" x14ac:dyDescent="0.25">
      <c r="A39" s="1"/>
      <c r="B39" s="64"/>
      <c r="C39" s="8"/>
      <c r="D39" s="9"/>
      <c r="E39" s="891" t="s">
        <v>162</v>
      </c>
      <c r="F39" s="892"/>
      <c r="G39" s="893"/>
      <c r="H39" s="894">
        <f>IF(TruckLane,ADT20NB*(1-PerTruckNB),ADT20NB)</f>
        <v>0</v>
      </c>
      <c r="I39" s="65"/>
      <c r="K39" s="384"/>
      <c r="L39" s="83"/>
      <c r="M39" s="832" t="s">
        <v>531</v>
      </c>
      <c r="N39" s="826"/>
      <c r="O39" s="826"/>
      <c r="P39" s="827"/>
      <c r="Q39" s="828"/>
      <c r="R39" s="383"/>
      <c r="U39" s="64"/>
      <c r="V39" s="152">
        <v>16</v>
      </c>
      <c r="W39" s="175"/>
      <c r="X39" s="176"/>
      <c r="Y39" s="177"/>
      <c r="Z39" s="105"/>
      <c r="AA39" s="106"/>
      <c r="AB39" s="105"/>
      <c r="AC39" s="842" t="str">
        <f t="shared" si="3"/>
        <v/>
      </c>
      <c r="AD39" s="729">
        <f t="shared" si="4"/>
        <v>0</v>
      </c>
      <c r="AE39" s="731">
        <f t="shared" si="5"/>
        <v>0</v>
      </c>
      <c r="AF39" s="65"/>
    </row>
    <row r="40" spans="1:33" s="34" customFormat="1" ht="14.25" customHeight="1" x14ac:dyDescent="0.35">
      <c r="A40" s="1"/>
      <c r="B40" s="64"/>
      <c r="C40" s="411" t="s">
        <v>48</v>
      </c>
      <c r="D40" s="412"/>
      <c r="E40" s="413"/>
      <c r="F40" s="412"/>
      <c r="G40" s="993"/>
      <c r="H40" s="994">
        <f>IF(HOV2to3,(AVOHovNB-2)/(AVOHovB-2)*HOVvolNB,HOVvolNB)</f>
        <v>0</v>
      </c>
      <c r="I40" s="65"/>
      <c r="K40" s="388"/>
      <c r="L40" s="416"/>
      <c r="M40" s="416"/>
      <c r="N40" s="416"/>
      <c r="O40" s="416"/>
      <c r="P40" s="416"/>
      <c r="Q40" s="416"/>
      <c r="R40" s="389"/>
      <c r="U40" s="64"/>
      <c r="V40" s="152">
        <v>17</v>
      </c>
      <c r="W40" s="175"/>
      <c r="X40" s="176"/>
      <c r="Y40" s="177"/>
      <c r="Z40" s="105"/>
      <c r="AA40" s="106"/>
      <c r="AB40" s="105"/>
      <c r="AC40" s="842" t="str">
        <f t="shared" si="3"/>
        <v/>
      </c>
      <c r="AD40" s="729">
        <f t="shared" si="4"/>
        <v>0</v>
      </c>
      <c r="AE40" s="731">
        <f t="shared" si="5"/>
        <v>0</v>
      </c>
      <c r="AF40" s="65"/>
    </row>
    <row r="41" spans="1:33" s="34" customFormat="1" ht="14.25" customHeight="1" x14ac:dyDescent="0.3">
      <c r="A41" s="1"/>
      <c r="B41" s="64"/>
      <c r="C41" s="83"/>
      <c r="D41" s="60" t="s">
        <v>56</v>
      </c>
      <c r="E41" s="22"/>
      <c r="F41" s="14"/>
      <c r="G41" s="992"/>
      <c r="H41" s="995">
        <v>1</v>
      </c>
      <c r="I41" s="65"/>
      <c r="K41" s="46"/>
      <c r="L41" s="4" t="s">
        <v>57</v>
      </c>
      <c r="M41" s="55"/>
      <c r="N41" s="76"/>
      <c r="O41" s="76"/>
      <c r="P41" s="15" t="s">
        <v>0</v>
      </c>
      <c r="Q41" s="16" t="s">
        <v>1</v>
      </c>
      <c r="R41" s="48"/>
      <c r="U41" s="64"/>
      <c r="V41" s="152">
        <v>18</v>
      </c>
      <c r="W41" s="175"/>
      <c r="X41" s="176"/>
      <c r="Y41" s="177"/>
      <c r="Z41" s="105"/>
      <c r="AA41" s="106"/>
      <c r="AB41" s="105"/>
      <c r="AC41" s="842" t="str">
        <f t="shared" si="3"/>
        <v/>
      </c>
      <c r="AD41" s="729">
        <f t="shared" si="4"/>
        <v>0</v>
      </c>
      <c r="AE41" s="731">
        <f t="shared" si="5"/>
        <v>0</v>
      </c>
      <c r="AF41" s="65"/>
    </row>
    <row r="42" spans="1:33" s="34" customFormat="1" ht="14.25" customHeight="1" x14ac:dyDescent="0.3">
      <c r="A42" s="1"/>
      <c r="B42" s="64"/>
      <c r="C42" s="83" t="s">
        <v>623</v>
      </c>
      <c r="D42" s="14"/>
      <c r="E42" s="22"/>
      <c r="F42" s="14"/>
      <c r="G42" s="803" t="str">
        <f>IF(AuxLane,IF(GenLanesNB&lt;2*NumDirections,100%,2*NumDirections/GenLanesNB),IF(OffRamp,IF(GenLanesNB&lt;3*NumDirections,100%,3*NumDirections/GenLanesNB),IF(FreeConn,2.5%,IF(OR(HOVConn,HOVDrop),4%,""))))</f>
        <v/>
      </c>
      <c r="H42" s="1042">
        <v>0</v>
      </c>
      <c r="I42" s="65"/>
      <c r="K42" s="46"/>
      <c r="L42" s="57"/>
      <c r="M42" s="49" t="s">
        <v>507</v>
      </c>
      <c r="N42" s="27" t="s">
        <v>600</v>
      </c>
      <c r="O42" s="27"/>
      <c r="P42" s="24"/>
      <c r="Q42" s="73">
        <f>TInTimeNBN*IF(AVL,1-AVLTTsaving,1)*IF(SigPriority,1-SigTTsaving,1)*IF(BRT,1-BrtTTsaving,1)</f>
        <v>0</v>
      </c>
      <c r="R42" s="48"/>
      <c r="U42" s="64"/>
      <c r="V42" s="152">
        <v>19</v>
      </c>
      <c r="W42" s="175"/>
      <c r="X42" s="176"/>
      <c r="Y42" s="177"/>
      <c r="Z42" s="105"/>
      <c r="AA42" s="106"/>
      <c r="AB42" s="105"/>
      <c r="AC42" s="842" t="str">
        <f t="shared" si="3"/>
        <v/>
      </c>
      <c r="AD42" s="729">
        <f t="shared" si="4"/>
        <v>0</v>
      </c>
      <c r="AE42" s="731">
        <f t="shared" si="5"/>
        <v>0</v>
      </c>
      <c r="AF42" s="65"/>
    </row>
    <row r="43" spans="1:33" ht="14.25" customHeight="1" x14ac:dyDescent="0.3">
      <c r="B43" s="64"/>
      <c r="C43" s="29" t="s">
        <v>170</v>
      </c>
      <c r="D43" s="14"/>
      <c r="E43" s="22"/>
      <c r="F43" s="14"/>
      <c r="G43" s="30">
        <v>0.09</v>
      </c>
      <c r="H43" s="38">
        <f>IF(TruckLane,0%,PerTruckNB)</f>
        <v>0.09</v>
      </c>
      <c r="I43" s="65"/>
      <c r="J43" s="34"/>
      <c r="K43" s="46"/>
      <c r="L43" s="57"/>
      <c r="M43" s="823"/>
      <c r="N43" s="39" t="s">
        <v>601</v>
      </c>
      <c r="O43" s="39"/>
      <c r="P43" s="24"/>
      <c r="Q43" s="73">
        <f>TInTimeNBP*IF(AVL,1-AVLTTsaving,1)*IF(SigPriority,1-SigTTsaving,1)*IF(BRT,1-BrtTTsaving,1)</f>
        <v>0</v>
      </c>
      <c r="R43" s="48"/>
      <c r="T43" s="34"/>
      <c r="U43" s="46"/>
      <c r="V43" s="153">
        <v>20</v>
      </c>
      <c r="W43" s="178"/>
      <c r="X43" s="179"/>
      <c r="Y43" s="180"/>
      <c r="Z43" s="145"/>
      <c r="AA43" s="146"/>
      <c r="AB43" s="145"/>
      <c r="AC43" s="842" t="str">
        <f t="shared" si="3"/>
        <v/>
      </c>
      <c r="AD43" s="729">
        <f t="shared" si="4"/>
        <v>0</v>
      </c>
      <c r="AE43" s="731">
        <f t="shared" si="5"/>
        <v>0</v>
      </c>
      <c r="AF43" s="48"/>
      <c r="AG43" s="34"/>
    </row>
    <row r="44" spans="1:33" ht="14.25" customHeight="1" x14ac:dyDescent="0.3">
      <c r="B44" s="64"/>
      <c r="C44" s="29" t="s">
        <v>96</v>
      </c>
      <c r="D44" s="406"/>
      <c r="E44" s="407"/>
      <c r="F44" s="406"/>
      <c r="G44" s="682"/>
      <c r="H44" s="1049"/>
      <c r="I44" s="65"/>
      <c r="J44" s="34"/>
      <c r="K44" s="46"/>
      <c r="L44" s="57"/>
      <c r="M44" s="833" t="s">
        <v>508</v>
      </c>
      <c r="N44" s="27" t="s">
        <v>600</v>
      </c>
      <c r="O44" s="27"/>
      <c r="P44" s="882">
        <v>0</v>
      </c>
      <c r="Q44" s="73">
        <f>TOutTimeNBN*IF(AVL,1-AVLTTsaving,1)</f>
        <v>0</v>
      </c>
      <c r="R44" s="48"/>
      <c r="U44" s="46"/>
      <c r="V44" s="606" t="s">
        <v>172</v>
      </c>
      <c r="W44" s="147">
        <f t="shared" ref="W44:AE44" si="6">SUM(W15:W43)</f>
        <v>0</v>
      </c>
      <c r="X44" s="147">
        <f t="shared" si="6"/>
        <v>0</v>
      </c>
      <c r="Y44" s="148">
        <f t="shared" si="6"/>
        <v>0</v>
      </c>
      <c r="Z44" s="147">
        <f t="shared" si="6"/>
        <v>0</v>
      </c>
      <c r="AA44" s="148">
        <f t="shared" si="6"/>
        <v>0</v>
      </c>
      <c r="AB44" s="147">
        <f t="shared" si="6"/>
        <v>0</v>
      </c>
      <c r="AC44" s="147">
        <f t="shared" si="6"/>
        <v>0</v>
      </c>
      <c r="AD44" s="149">
        <f t="shared" si="6"/>
        <v>0</v>
      </c>
      <c r="AE44" s="150">
        <f t="shared" si="6"/>
        <v>0</v>
      </c>
      <c r="AF44" s="48"/>
    </row>
    <row r="45" spans="1:33" ht="14.25" customHeight="1" thickBot="1" x14ac:dyDescent="0.35">
      <c r="B45" s="64"/>
      <c r="C45" s="793"/>
      <c r="D45" s="794"/>
      <c r="E45" s="795"/>
      <c r="F45" s="794"/>
      <c r="G45" s="796"/>
      <c r="H45" s="797"/>
      <c r="I45" s="65"/>
      <c r="K45" s="46"/>
      <c r="L45" s="59"/>
      <c r="M45" s="78"/>
      <c r="N45" s="418" t="s">
        <v>601</v>
      </c>
      <c r="O45" s="418"/>
      <c r="P45" s="883">
        <v>0</v>
      </c>
      <c r="Q45" s="75">
        <f>TOutTimeNBP*IF(AVL,1-AVLTTsaving,1)</f>
        <v>0</v>
      </c>
      <c r="R45" s="48"/>
      <c r="U45" s="50"/>
      <c r="V45" s="67"/>
      <c r="W45" s="67"/>
      <c r="X45" s="67"/>
      <c r="Y45" s="67"/>
      <c r="Z45" s="67"/>
      <c r="AA45" s="67"/>
      <c r="AB45" s="67"/>
      <c r="AC45" s="67"/>
      <c r="AD45" s="67"/>
      <c r="AE45" s="67"/>
      <c r="AF45" s="52"/>
    </row>
    <row r="46" spans="1:33" ht="14.25" customHeight="1" thickTop="1" x14ac:dyDescent="0.3">
      <c r="B46" s="64"/>
      <c r="C46" s="4" t="s">
        <v>577</v>
      </c>
      <c r="D46" s="412"/>
      <c r="E46" s="413"/>
      <c r="F46" s="412"/>
      <c r="G46" s="15" t="s">
        <v>173</v>
      </c>
      <c r="H46" s="16" t="s">
        <v>171</v>
      </c>
      <c r="I46" s="65"/>
      <c r="K46" s="46"/>
      <c r="L46" s="36"/>
      <c r="M46" s="829"/>
      <c r="N46" s="35"/>
      <c r="O46" s="35"/>
      <c r="P46" s="25"/>
      <c r="Q46" s="37"/>
      <c r="R46" s="48"/>
      <c r="V46" s="107"/>
      <c r="W46" s="107"/>
      <c r="X46" s="108"/>
      <c r="Y46" s="108"/>
      <c r="Z46" s="108"/>
      <c r="AA46" s="108"/>
      <c r="AB46" s="108"/>
      <c r="AC46" s="108"/>
      <c r="AD46" s="108"/>
      <c r="AE46" s="108"/>
    </row>
    <row r="47" spans="1:33" ht="14.25" customHeight="1" x14ac:dyDescent="0.3">
      <c r="B47" s="64"/>
      <c r="C47" s="869"/>
      <c r="D47" s="868" t="s">
        <v>597</v>
      </c>
      <c r="E47" s="20"/>
      <c r="F47" s="9"/>
      <c r="G47" s="874">
        <f>IF(AuxLane,1350,IF(OnRamp,800,0))</f>
        <v>0</v>
      </c>
      <c r="H47" s="870">
        <f>RampVolP/PerPeakAvgHr*(1-PerPeakADT)/(24-PeakLngthNB)</f>
        <v>0</v>
      </c>
      <c r="I47" s="65"/>
      <c r="K47" s="46"/>
      <c r="L47" s="4" t="s">
        <v>528</v>
      </c>
      <c r="M47" s="834"/>
      <c r="N47" s="76"/>
      <c r="O47" s="15" t="s">
        <v>169</v>
      </c>
      <c r="P47" s="15" t="s">
        <v>187</v>
      </c>
      <c r="Q47" s="16" t="s">
        <v>196</v>
      </c>
      <c r="R47" s="48"/>
      <c r="V47" s="88"/>
      <c r="W47" s="88"/>
      <c r="X47" s="88"/>
      <c r="Y47" s="88"/>
      <c r="Z47" s="88"/>
      <c r="AA47" s="88"/>
      <c r="AB47" s="88"/>
      <c r="AC47" s="88"/>
      <c r="AD47" s="88"/>
      <c r="AE47" s="88"/>
    </row>
    <row r="48" spans="1:33" ht="14.25" customHeight="1" x14ac:dyDescent="0.3">
      <c r="B48" s="64"/>
      <c r="C48" s="798"/>
      <c r="D48" s="832" t="s">
        <v>598</v>
      </c>
      <c r="E48" s="22"/>
      <c r="F48" s="14"/>
      <c r="G48" s="871"/>
      <c r="H48" s="872"/>
      <c r="I48" s="65"/>
      <c r="K48" s="46"/>
      <c r="L48" s="57"/>
      <c r="M48" s="49" t="s">
        <v>616</v>
      </c>
      <c r="N48" s="32"/>
      <c r="O48" s="10"/>
      <c r="P48" s="1008">
        <f>NumTrain0+(NumTrain20-NumTrain0)*Construct/(Construct+19)</f>
        <v>0</v>
      </c>
      <c r="Q48" s="1009"/>
      <c r="R48" s="48"/>
      <c r="V48" s="88"/>
      <c r="W48" s="88"/>
      <c r="X48" s="88"/>
      <c r="Y48" s="88"/>
      <c r="Z48" s="88"/>
      <c r="AA48" s="88"/>
      <c r="AB48" s="195" t="s">
        <v>176</v>
      </c>
      <c r="AC48" s="193"/>
      <c r="AD48" s="194"/>
      <c r="AE48" s="196"/>
    </row>
    <row r="49" spans="2:31" ht="14.25" customHeight="1" x14ac:dyDescent="0.3">
      <c r="B49" s="64"/>
      <c r="C49" s="793"/>
      <c r="D49" s="794"/>
      <c r="E49" s="795"/>
      <c r="F49" s="794"/>
      <c r="G49" s="796"/>
      <c r="H49" s="797"/>
      <c r="I49" s="65"/>
      <c r="K49" s="46"/>
      <c r="L49" s="59"/>
      <c r="M49" s="60" t="s">
        <v>522</v>
      </c>
      <c r="N49" s="74"/>
      <c r="O49" s="1005"/>
      <c r="P49" s="1006">
        <f>GateTime0+(GateTime20-GateTime0)*Construct/(Construct+19)</f>
        <v>0</v>
      </c>
      <c r="Q49" s="1007"/>
      <c r="R49" s="48"/>
      <c r="V49" s="88"/>
      <c r="W49" s="88"/>
      <c r="X49" s="88"/>
      <c r="Y49" s="88"/>
      <c r="Z49" s="88"/>
      <c r="AA49" s="88"/>
      <c r="AB49" s="109"/>
      <c r="AC49" s="121"/>
      <c r="AD49" s="121" t="s">
        <v>177</v>
      </c>
      <c r="AE49" s="197"/>
    </row>
    <row r="50" spans="2:31" ht="14.25" customHeight="1" x14ac:dyDescent="0.35">
      <c r="B50" s="64"/>
      <c r="C50" s="54" t="s">
        <v>638</v>
      </c>
      <c r="D50" s="1010"/>
      <c r="E50" s="413"/>
      <c r="F50" s="412"/>
      <c r="G50" s="15" t="s">
        <v>187</v>
      </c>
      <c r="H50" s="16" t="s">
        <v>196</v>
      </c>
      <c r="I50" s="65"/>
      <c r="K50" s="46"/>
      <c r="L50" s="36"/>
      <c r="M50" s="829"/>
      <c r="N50" s="35"/>
      <c r="O50" s="35"/>
      <c r="P50" s="830"/>
      <c r="Q50" s="831"/>
      <c r="R50" s="48"/>
    </row>
    <row r="51" spans="2:31" ht="14.25" customHeight="1" x14ac:dyDescent="0.3">
      <c r="B51" s="64"/>
      <c r="C51" s="869"/>
      <c r="D51" s="868" t="s">
        <v>526</v>
      </c>
      <c r="E51" s="20"/>
      <c r="F51" s="9"/>
      <c r="G51" s="269">
        <f>IF(HwyRail,ADT1NB/12,0)</f>
        <v>0</v>
      </c>
      <c r="H51" s="270">
        <f>IF(Queuing,ArrRate1*ADT20NB/ADT1NB,IF(HwyRail,ADT20NB/12,0))</f>
        <v>0</v>
      </c>
      <c r="I51" s="65"/>
      <c r="K51" s="46"/>
      <c r="L51" s="4" t="s">
        <v>524</v>
      </c>
      <c r="M51" s="834"/>
      <c r="N51" s="76"/>
      <c r="O51" s="76"/>
      <c r="P51" s="15" t="s">
        <v>0</v>
      </c>
      <c r="Q51" s="16" t="s">
        <v>1</v>
      </c>
      <c r="R51" s="48"/>
    </row>
    <row r="52" spans="2:31" ht="14.25" customHeight="1" x14ac:dyDescent="0.3">
      <c r="B52" s="64"/>
      <c r="C52" s="798"/>
      <c r="D52" s="832" t="s">
        <v>527</v>
      </c>
      <c r="E52" s="22"/>
      <c r="F52" s="14"/>
      <c r="G52" s="1011">
        <f>IF(OR(Queuing,HwyRail),IF(RoadTypeNB="F",DepRateFwy,IF(RoadTypeNB="E",DepRateExp,IF(RoadTypeNB="C",DepRateConv,0)))*(GenLanesNB+HOVLanesNB),0)</f>
        <v>0</v>
      </c>
      <c r="H52" s="1012">
        <f>DepRate1</f>
        <v>0</v>
      </c>
      <c r="I52" s="65"/>
      <c r="K52" s="46"/>
      <c r="L52" s="57"/>
      <c r="M52" s="49" t="s">
        <v>534</v>
      </c>
      <c r="N52" s="32"/>
      <c r="O52" s="32"/>
      <c r="P52" s="835"/>
      <c r="Q52" s="836">
        <f>TCapCostNB*IF(AVL,1-AVLCapSaving,1)</f>
        <v>0</v>
      </c>
      <c r="R52" s="48"/>
    </row>
    <row r="53" spans="2:31" ht="14.25" customHeight="1" x14ac:dyDescent="0.3">
      <c r="B53" s="64"/>
      <c r="I53" s="65"/>
      <c r="K53" s="46"/>
      <c r="L53" s="59"/>
      <c r="M53" s="60" t="s">
        <v>599</v>
      </c>
      <c r="N53" s="74"/>
      <c r="O53" s="74"/>
      <c r="P53" s="837"/>
      <c r="Q53" s="838">
        <f>TOMCostNB*IF(AVL,1-AvlOMsaving,1)</f>
        <v>0</v>
      </c>
      <c r="R53" s="48"/>
      <c r="AB53" s="608"/>
    </row>
    <row r="54" spans="2:31" ht="16" thickBot="1" x14ac:dyDescent="0.4">
      <c r="B54" s="64"/>
      <c r="C54" s="54" t="s">
        <v>174</v>
      </c>
      <c r="D54" s="55"/>
      <c r="E54" s="55"/>
      <c r="F54" s="55"/>
      <c r="G54" s="15" t="s">
        <v>0</v>
      </c>
      <c r="H54" s="16" t="s">
        <v>1</v>
      </c>
      <c r="I54" s="65"/>
      <c r="K54" s="399"/>
      <c r="L54" s="51"/>
      <c r="M54" s="51"/>
      <c r="N54" s="51"/>
      <c r="O54" s="51"/>
      <c r="P54" s="51"/>
      <c r="Q54" s="51"/>
      <c r="R54" s="420"/>
    </row>
    <row r="55" spans="2:31" ht="16" thickTop="1" x14ac:dyDescent="0.3">
      <c r="B55" s="64"/>
      <c r="C55" s="57"/>
      <c r="D55" s="49" t="s">
        <v>175</v>
      </c>
      <c r="E55" s="267" t="s">
        <v>161</v>
      </c>
      <c r="F55" s="28"/>
      <c r="G55" s="417"/>
      <c r="H55" s="768"/>
      <c r="I55" s="65"/>
    </row>
    <row r="56" spans="2:31" ht="15.5" x14ac:dyDescent="0.25">
      <c r="B56" s="64"/>
      <c r="C56" s="59"/>
      <c r="D56" s="61"/>
      <c r="E56" s="22" t="s">
        <v>162</v>
      </c>
      <c r="F56" s="61"/>
      <c r="G56" s="769" t="str">
        <f>IF(Pavement,IF(GenLanesNB+HOVLanesNB=0,,VLOOKUP(IRI1NB,PaveDet,IF(ADT1NB/(GenLanesNB+HOVLanesNB)&lt;2182,2,IF(ADT1NB/(GenLanesNB+HOVLanesNB)&lt;10909,3,4)))),"")</f>
        <v/>
      </c>
      <c r="H56" s="419" t="str">
        <f>IF(Pavement,IF(GenLanesB+HOVLanesB=0,,VLOOKUP(IRI1B,PaveDet,IF(ADT1B/(GenLanesB+HOVLanesB)&lt;2182,2,IF(ADT1B/(GenLanesB+HOVLanesB)&lt;10909,3,4)))),"")</f>
        <v/>
      </c>
      <c r="I56" s="65"/>
      <c r="K56" s="118" t="s">
        <v>586</v>
      </c>
    </row>
    <row r="57" spans="2:31" ht="15.5" x14ac:dyDescent="0.3">
      <c r="B57" s="64"/>
      <c r="C57" s="36"/>
      <c r="D57" s="36"/>
      <c r="E57" s="35"/>
      <c r="F57" s="36"/>
      <c r="G57" s="25"/>
      <c r="H57" s="37"/>
      <c r="I57" s="65"/>
      <c r="K57" s="118" t="s">
        <v>590</v>
      </c>
    </row>
    <row r="58" spans="2:31" ht="12.75" customHeight="1" x14ac:dyDescent="0.3">
      <c r="B58" s="64"/>
      <c r="C58" s="4" t="s">
        <v>85</v>
      </c>
      <c r="D58" s="55"/>
      <c r="E58" s="76"/>
      <c r="F58" s="55"/>
      <c r="G58" s="635" t="s">
        <v>0</v>
      </c>
      <c r="H58" s="665" t="s">
        <v>1</v>
      </c>
      <c r="I58" s="65"/>
      <c r="K58" s="118" t="s">
        <v>587</v>
      </c>
    </row>
    <row r="59" spans="2:31" ht="12.75" customHeight="1" x14ac:dyDescent="0.3">
      <c r="B59" s="64"/>
      <c r="C59" s="57"/>
      <c r="D59" s="49" t="s">
        <v>178</v>
      </c>
      <c r="E59" s="27" t="s">
        <v>171</v>
      </c>
      <c r="F59" s="28"/>
      <c r="G59" s="41">
        <v>1.3</v>
      </c>
      <c r="H59" s="77">
        <f>AVONonNB</f>
        <v>1.3</v>
      </c>
      <c r="I59" s="65"/>
      <c r="L59" s="1"/>
      <c r="M59" s="1"/>
      <c r="N59" s="1"/>
      <c r="O59" s="1"/>
      <c r="P59" s="1"/>
      <c r="Q59" s="1"/>
      <c r="R59" s="282"/>
    </row>
    <row r="60" spans="2:31" ht="12.75" customHeight="1" x14ac:dyDescent="0.3">
      <c r="B60" s="64"/>
      <c r="C60" s="57"/>
      <c r="D60" s="208"/>
      <c r="E60" s="39" t="s">
        <v>173</v>
      </c>
      <c r="F60" s="40"/>
      <c r="G60" s="41">
        <v>1.1499999999999999</v>
      </c>
      <c r="H60" s="77">
        <f>IF(HOV2to3,(AVOPeakNB*(AVERAGE(ADT1NB,ADT20NB)*(PerPeakADT*(1-PerTruckNB))-HOVvolNB*PeakLngthNB)+2*(HOVvolNB-HOVvolB)*PeakLngthNB)/(AVERAGE(ADT1B,ADT20B)*(PerPeakADT*(1-PerTruckB))-HOVvolB*PeakLngthNB),AVOPeakNB)</f>
        <v>1.1499999999999999</v>
      </c>
      <c r="I60" s="65"/>
      <c r="M60" s="282"/>
      <c r="N60" s="282"/>
      <c r="O60" s="282"/>
      <c r="P60" s="282"/>
      <c r="Q60" s="282"/>
      <c r="R60" s="282"/>
    </row>
    <row r="61" spans="2:31" ht="12.75" customHeight="1" x14ac:dyDescent="0.3">
      <c r="B61" s="64"/>
      <c r="C61" s="59"/>
      <c r="D61" s="60" t="s">
        <v>50</v>
      </c>
      <c r="E61" s="74"/>
      <c r="F61" s="61"/>
      <c r="G61" s="81">
        <v>2.15</v>
      </c>
      <c r="H61" s="82">
        <f>IF(OR(HOT,HOTConv),"",IF(HOV2to3,3.15,AVOHovNB))</f>
        <v>2.15</v>
      </c>
      <c r="I61" s="65"/>
      <c r="M61" s="282"/>
      <c r="N61" s="282"/>
      <c r="O61" s="282"/>
      <c r="P61" s="282"/>
      <c r="Q61" s="282"/>
      <c r="R61" s="282"/>
    </row>
    <row r="62" spans="2:31" ht="12.75" customHeight="1" thickBot="1" x14ac:dyDescent="0.35">
      <c r="B62" s="66"/>
      <c r="C62" s="67"/>
      <c r="D62" s="67"/>
      <c r="E62" s="68"/>
      <c r="F62" s="67"/>
      <c r="G62" s="69"/>
      <c r="H62" s="70"/>
      <c r="I62" s="71"/>
      <c r="M62" s="26"/>
      <c r="N62" s="26"/>
      <c r="O62" s="26"/>
      <c r="P62" s="26"/>
      <c r="Q62" s="26"/>
      <c r="R62" s="970"/>
    </row>
    <row r="63" spans="2:31" ht="12.75" customHeight="1" thickTop="1" x14ac:dyDescent="0.25">
      <c r="M63" s="26"/>
      <c r="N63" s="26"/>
      <c r="O63" s="26"/>
      <c r="P63" s="26"/>
      <c r="Q63" s="26"/>
      <c r="R63" s="26"/>
    </row>
    <row r="64" spans="2:31" ht="12.75" customHeight="1" x14ac:dyDescent="0.25">
      <c r="D64" s="34"/>
      <c r="E64" s="34"/>
      <c r="F64" s="34"/>
      <c r="G64" s="34"/>
      <c r="H64" s="34"/>
      <c r="I64" s="34"/>
      <c r="J64" s="34"/>
      <c r="K64" s="450"/>
      <c r="L64" s="450"/>
      <c r="M64" s="984"/>
      <c r="N64" s="984"/>
      <c r="O64" s="984"/>
      <c r="P64" s="984"/>
      <c r="Q64" s="984"/>
      <c r="R64" s="36"/>
      <c r="S64" s="34"/>
      <c r="T64" s="34"/>
    </row>
    <row r="65" spans="4:20" ht="12.75" customHeight="1" x14ac:dyDescent="0.25">
      <c r="D65" s="34"/>
      <c r="E65" s="34"/>
      <c r="F65" s="34"/>
      <c r="G65" s="34"/>
      <c r="H65" s="34"/>
      <c r="I65" s="34"/>
      <c r="J65" s="34"/>
      <c r="K65" s="450"/>
      <c r="L65" s="450"/>
      <c r="M65" s="984"/>
      <c r="N65" s="984"/>
      <c r="O65" s="984"/>
      <c r="P65" s="984"/>
      <c r="Q65" s="984"/>
      <c r="R65" s="36"/>
      <c r="S65" s="34"/>
      <c r="T65" s="34"/>
    </row>
    <row r="66" spans="4:20" ht="12.75" customHeight="1" x14ac:dyDescent="0.25">
      <c r="D66" s="34"/>
      <c r="E66" s="34"/>
      <c r="F66" s="34"/>
      <c r="G66" s="34"/>
      <c r="H66" s="34"/>
      <c r="I66" s="34"/>
      <c r="J66" s="34"/>
      <c r="K66" s="450"/>
      <c r="L66" s="450"/>
      <c r="M66" s="984"/>
      <c r="N66" s="984"/>
      <c r="O66" s="984"/>
      <c r="P66" s="984"/>
      <c r="Q66" s="984"/>
      <c r="R66" s="36"/>
      <c r="S66" s="34"/>
      <c r="T66" s="34"/>
    </row>
  </sheetData>
  <mergeCells count="2">
    <mergeCell ref="F10:H10"/>
    <mergeCell ref="E4:M4"/>
  </mergeCells>
  <phoneticPr fontId="0" type="noConversion"/>
  <conditionalFormatting sqref="G61">
    <cfRule type="expression" dxfId="1" priority="2">
      <formula>OR(HOT,HOTConv)</formula>
    </cfRule>
  </conditionalFormatting>
  <conditionalFormatting sqref="H61">
    <cfRule type="expression" dxfId="0" priority="1">
      <formula>OR(HOT,HOTConv)</formula>
    </cfRule>
  </conditionalFormatting>
  <dataValidations count="43">
    <dataValidation type="list" allowBlank="1" showDropDown="1" showErrorMessage="1" error="Please enter F, E, or C" prompt="Enter F for freeway, E for expressway, and C for conventional highway" sqref="G24:H24" xr:uid="{00000000-0002-0000-0200-000000000000}">
      <formula1>"F,E,C"</formula1>
    </dataValidation>
    <dataValidation allowBlank="1" showErrorMessage="1" prompt="Enter number of lanes in one or two directions as indicated in the Project Data section" sqref="G25:H26" xr:uid="{00000000-0002-0000-0200-000001000000}"/>
    <dataValidation type="list" allowBlank="1" showDropDown="1" showErrorMessage="1" error="Please enter &quot;Y&quot; or &quot;N&quot;" prompt="For bus projects, indicate if buses have exclusive right-of-way (i.e., bus lanes)" sqref="G28" xr:uid="{00000000-0002-0000-0200-000002000000}">
      <formula1>"Y,N,y,n"</formula1>
    </dataValidation>
    <dataValidation allowBlank="1" showErrorMessage="1" prompt="Enter the number of hours facility is congested" sqref="F17" xr:uid="{00000000-0002-0000-0200-000003000000}"/>
    <dataValidation allowBlank="1" showErrorMessage="1" prompt="Enter posted speed limit" sqref="G30:H30" xr:uid="{00000000-0002-0000-0200-000004000000}"/>
    <dataValidation allowBlank="1" showErrorMessage="1" prompt="Enter distance impacted by project (normally the same as segment length)" sqref="G33:H33" xr:uid="{00000000-0002-0000-0200-000005000000}"/>
    <dataValidation allowBlank="1" showErrorMessage="1" prompt="Enter enter current ADT for one or two directions as indicated in the Project Data section" sqref="G36" xr:uid="{00000000-0002-0000-0200-000006000000}"/>
    <dataValidation allowBlank="1" showErrorMessage="1" prompt="Enter enter ADT in the year project opens for one or two directions as indicated in the Project Data section" sqref="G38:H38" xr:uid="{00000000-0002-0000-0200-000007000000}"/>
    <dataValidation allowBlank="1" showErrorMessage="1" prompt="Enter enter ADT for 20 years after project opens for one or two directions as indicated in the Project Data section" sqref="G39:H39" xr:uid="{00000000-0002-0000-0200-000008000000}"/>
    <dataValidation type="list" allowBlank="1" showErrorMessage="1" errorTitle="Project Type Not Valid" error="Please press cancel and select a project type from the list" prompt="Select project type using pulldown arrow" sqref="F10:H10" xr:uid="{00000000-0002-0000-0200-000009000000}">
      <formula1>ProjTypeList</formula1>
    </dataValidation>
    <dataValidation type="list" allowBlank="1" showDropDown="1" showErrorMessage="1" error="Please enter 1, 2, or 3" prompt="Enter 1, 2 or 3 to indicate project location" sqref="H12" xr:uid="{00000000-0002-0000-0200-00000A000000}">
      <formula1>"1,2,3"</formula1>
    </dataValidation>
    <dataValidation type="list" allowBlank="1" showDropDown="1" showErrorMessage="1" error="Please enter 1 or 2" prompt="Enter 1 if Highway Design and Traffic Data are for one direction only, and enter 2 if both directions are included" sqref="F15" xr:uid="{00000000-0002-0000-0200-00000B000000}">
      <formula1>"1,2"</formula1>
    </dataValidation>
    <dataValidation allowBlank="1" showErrorMessage="1" prompt="For queuing and grade crossing projects, enter number of vehicles per hour leaving queues" sqref="G52:H52" xr:uid="{00000000-0002-0000-0200-00000C000000}"/>
    <dataValidation allowBlank="1" showErrorMessage="1" prompt="Enter 2 or 3 for HOV restriction on no-build and build HOV lanes (changes in HOV restriction are special project types)" sqref="G27" xr:uid="{00000000-0002-0000-0200-00000D000000}"/>
    <dataValidation allowBlank="1" showErrorMessage="1" prompt="Enter average hourly traffic in HOV/HOT lanes during congested conditions (same volume is used over the 20-year period)" sqref="G40:H40" xr:uid="{00000000-0002-0000-0200-00000E000000}"/>
    <dataValidation allowBlank="1" showErrorMessage="1" prompt="Enter number of years of construction before project opens" sqref="F14" xr:uid="{00000000-0002-0000-0200-00000F000000}"/>
    <dataValidation allowBlank="1" showErrorMessage="1" prompt="Enter project length in miles" sqref="G32:H32" xr:uid="{00000000-0002-0000-0200-000010000000}"/>
    <dataValidation allowBlank="1" showErrorMessage="1" prompt="Enter percentage of induced trips that use HOV/HOT lanes" sqref="H41" xr:uid="{00000000-0002-0000-0200-000011000000}"/>
    <dataValidation allowBlank="1" showErrorMessage="1" prompt="For weaving projects, enter percent of traffic experiencing weaving conditions" sqref="G42:H42" xr:uid="{00000000-0002-0000-0200-000012000000}"/>
    <dataValidation allowBlank="1" showErrorMessage="1" prompt="Enter truck traffic as a percent of ADT" sqref="G43:H43" xr:uid="{00000000-0002-0000-0200-000013000000}"/>
    <dataValidation allowBlank="1" showErrorMessage="1" prompt="Enter truck speed if different than general traffic speeds (e.g., on truck climbing lanes)" sqref="G44" xr:uid="{00000000-0002-0000-0200-000014000000}"/>
    <dataValidation allowBlank="1" showErrorMessage="1" prompt="Enter hourly ramp count for auxiliary lane and on-ramp projects" sqref="G47:H47" xr:uid="{00000000-0002-0000-0200-000015000000}"/>
    <dataValidation allowBlank="1" showErrorMessage="1" prompt="Enter number of cars per green light for on-ramp projects_x000a_(D = double lane)" sqref="G48" xr:uid="{00000000-0002-0000-0200-000016000000}"/>
    <dataValidation allowBlank="1" showErrorMessage="1" prompt="Enter ramp design speed for auxiliary lane and off-ramp projects" sqref="G31:H31" xr:uid="{00000000-0002-0000-0200-000017000000}"/>
    <dataValidation allowBlank="1" showErrorMessage="1" prompt="For queuing and grade crossing projects, enter number of vehicles per hour contributing to queues" sqref="G51:H51" xr:uid="{00000000-0002-0000-0200-000018000000}"/>
    <dataValidation allowBlank="1" showErrorMessage="1" prompt="For pavement projects, enter road roughness (IRI) in inches per mile" sqref="G55:H56" xr:uid="{00000000-0002-0000-0200-000019000000}"/>
    <dataValidation allowBlank="1" showErrorMessage="1" prompt="Enter number of people per vehicle (check carefully for HOT lane projects and HOV conversions)" sqref="G59:H61" xr:uid="{00000000-0002-0000-0200-00001A000000}"/>
    <dataValidation allowBlank="1" showErrorMessage="1" prompt="Enter 3-year accident count from TASAS Table B (enter 10-year rail crossing information for grade crosssing projects)" sqref="P12:P13" xr:uid="{00000000-0002-0000-0200-00001B000000}"/>
    <dataValidation allowBlank="1" showErrorMessage="1" prompt="Enter 3-year accident count from TASAS Table B (ignore for grade crosssing projects)" sqref="P14" xr:uid="{00000000-0002-0000-0200-00001C000000}"/>
    <dataValidation allowBlank="1" showErrorMessage="1" prompt="Enter statewide accident data for highway accident rate group" sqref="P18:Q21" xr:uid="{00000000-0002-0000-0200-00001D000000}"/>
    <dataValidation allowBlank="1" showErrorMessage="1" prompt="Enter number of annual person-trips on rail/transit" sqref="P28:Q29" xr:uid="{00000000-0002-0000-0200-00001E000000}"/>
    <dataValidation allowBlank="1" showErrorMessage="1" prompt="Enter percent of trips during peak period (default same as highway)" sqref="P30" xr:uid="{00000000-0002-0000-0200-00001F000000}"/>
    <dataValidation allowBlank="1" showErrorMessage="1" prompt="Enter percent of new rail/transit trips (build minus no build) from highway" sqref="Q31" xr:uid="{00000000-0002-0000-0200-000020000000}"/>
    <dataValidation allowBlank="1" showErrorMessage="1" prompt="Enter number of miles rail/transit vehicles travel annually in revenue and non-revenue service" sqref="P34:Q35" xr:uid="{00000000-0002-0000-0200-000021000000}"/>
    <dataValidation allowBlank="1" showErrorMessage="1" prompt="For rail projects, enter number of rail cars per typical train consist" sqref="P36:Q36" xr:uid="{00000000-0002-0000-0200-000022000000}"/>
    <dataValidation allowBlank="1" showErrorMessage="1" prompt="Enter percent project reduces transit/rail accidents" sqref="P39" xr:uid="{00000000-0002-0000-0200-000023000000}"/>
    <dataValidation allowBlank="1" showErrorMessage="1" prompt="Enter average travel time on trains/transit vehicles" sqref="P42:Q43" xr:uid="{00000000-0002-0000-0200-000024000000}"/>
    <dataValidation allowBlank="1" showErrorMessage="1" prompt="Enter average time traveling to and from rail/transit stations and waiting for rail/transit vehicles" sqref="P44:Q45" xr:uid="{00000000-0002-0000-0200-000025000000}"/>
    <dataValidation allowBlank="1" showErrorMessage="1" prompt="Enter average number of passenger and freight trains crossing highway in one year" sqref="O48:Q48" xr:uid="{00000000-0002-0000-0200-000026000000}"/>
    <dataValidation allowBlank="1" showErrorMessage="1" prompt="Enter average time crossing gate is down per train" sqref="O49:Q49" xr:uid="{00000000-0002-0000-0200-000027000000}"/>
    <dataValidation allowBlank="1" showErrorMessage="1" prompt="For transit TMS projects, enter annual capital expenditures for routes impacted by project" sqref="P52:Q52" xr:uid="{00000000-0002-0000-0200-000028000000}"/>
    <dataValidation allowBlank="1" showErrorMessage="1" prompt="For transit TMS projects, enter annual O&amp;M expenditures for routes impacted by project" sqref="P53:Q53" xr:uid="{00000000-0002-0000-0200-000029000000}"/>
    <dataValidation allowBlank="1" showErrorMessage="1" prompt="Enter 3-year accident count from TASAS Table B (enter predicted collisions for grade crosssing projects)" sqref="P11" xr:uid="{00000000-0002-0000-0200-00002A000000}"/>
  </dataValidations>
  <printOptions horizontalCentered="1" verticalCentered="1"/>
  <pageMargins left="0.75" right="0.75" top="0" bottom="0.75" header="0.5" footer="0.5"/>
  <pageSetup scale="61" fitToWidth="2" orientation="landscape" r:id="rId1"/>
  <headerFooter alignWithMargins="0">
    <oddFooter>&amp;L&amp;8Transportation Economics
Caltrans DOTP&amp;C&amp;8Cal-B/C - &amp;A
&amp;F&amp;R&amp;8Page &amp;P
&amp;D</oddFooter>
  </headerFooter>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autoFill="0" autoLine="0" autoPict="0" macro="[0]!Prepare_Model_for_Second_Road">
                <anchor moveWithCells="1">
                  <from>
                    <xdr:col>12</xdr:col>
                    <xdr:colOff>781050</xdr:colOff>
                    <xdr:row>58</xdr:row>
                    <xdr:rowOff>146050</xdr:rowOff>
                  </from>
                  <to>
                    <xdr:col>15</xdr:col>
                    <xdr:colOff>533400</xdr:colOff>
                    <xdr:row>61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CCFFCC"/>
  </sheetPr>
  <dimension ref="B1:AV110"/>
  <sheetViews>
    <sheetView showGridLines="0" zoomScale="65" zoomScaleNormal="65" workbookViewId="0"/>
  </sheetViews>
  <sheetFormatPr defaultRowHeight="12.5" x14ac:dyDescent="0.25"/>
  <cols>
    <col min="1" max="1" width="5.54296875" customWidth="1"/>
    <col min="2" max="2" width="3" customWidth="1"/>
    <col min="3" max="5" width="2.7265625" customWidth="1"/>
    <col min="6" max="6" width="20.81640625" customWidth="1"/>
    <col min="7" max="9" width="15.54296875" customWidth="1"/>
    <col min="10" max="10" width="38.54296875" customWidth="1"/>
    <col min="11" max="12" width="2.7265625" customWidth="1"/>
    <col min="14" max="14" width="3" customWidth="1"/>
    <col min="15" max="17" width="2.7265625" customWidth="1"/>
    <col min="18" max="18" width="20.81640625" customWidth="1"/>
    <col min="19" max="21" width="15.54296875" customWidth="1"/>
    <col min="22" max="22" width="38.54296875" customWidth="1"/>
    <col min="23" max="24" width="2.7265625" customWidth="1"/>
    <col min="25" max="25" width="9.26953125" customWidth="1"/>
    <col min="27" max="29" width="2.81640625" customWidth="1"/>
    <col min="30" max="30" width="21" customWidth="1"/>
    <col min="31" max="33" width="15.54296875" customWidth="1"/>
    <col min="34" max="36" width="2.81640625" customWidth="1"/>
    <col min="38" max="40" width="2.81640625" customWidth="1"/>
    <col min="41" max="41" width="2.54296875" customWidth="1"/>
    <col min="42" max="42" width="22.26953125" customWidth="1"/>
    <col min="43" max="43" width="24" customWidth="1"/>
    <col min="44" max="45" width="15.54296875" customWidth="1"/>
    <col min="46" max="46" width="28.7265625" customWidth="1"/>
    <col min="47" max="48" width="2.81640625" customWidth="1"/>
  </cols>
  <sheetData>
    <row r="1" spans="2:48" ht="13" thickBot="1" x14ac:dyDescent="0.3"/>
    <row r="2" spans="2:48" ht="13" thickTop="1" x14ac:dyDescent="0.25">
      <c r="B2" s="229"/>
      <c r="C2" s="53"/>
      <c r="D2" s="2"/>
      <c r="E2" s="2"/>
      <c r="F2" s="2"/>
      <c r="G2" s="2"/>
      <c r="H2" s="2"/>
      <c r="I2" s="53"/>
      <c r="J2" s="53"/>
      <c r="K2" s="230"/>
      <c r="L2" s="231"/>
      <c r="N2" s="229"/>
      <c r="O2" s="53"/>
      <c r="P2" s="2"/>
      <c r="Q2" s="2"/>
      <c r="R2" s="2"/>
      <c r="S2" s="2"/>
      <c r="T2" s="2"/>
      <c r="U2" s="53"/>
      <c r="V2" s="53"/>
      <c r="W2" s="230"/>
      <c r="X2" s="231"/>
      <c r="Y2" s="199"/>
      <c r="AA2" s="229"/>
      <c r="AB2" s="230"/>
      <c r="AC2" s="230"/>
      <c r="AD2" s="230"/>
      <c r="AE2" s="230"/>
      <c r="AF2" s="230"/>
      <c r="AG2" s="230"/>
      <c r="AH2" s="230"/>
      <c r="AI2" s="231"/>
      <c r="AJ2" s="199"/>
      <c r="AL2" s="229"/>
      <c r="AM2" s="230"/>
      <c r="AN2" s="230"/>
      <c r="AO2" s="230"/>
      <c r="AP2" s="230"/>
      <c r="AQ2" s="230"/>
      <c r="AR2" s="230"/>
      <c r="AS2" s="230"/>
      <c r="AT2" s="230"/>
      <c r="AU2" s="230"/>
      <c r="AV2" s="231"/>
    </row>
    <row r="3" spans="2:48" ht="18" x14ac:dyDescent="0.25">
      <c r="B3" s="232"/>
      <c r="C3" s="26"/>
      <c r="D3" s="19" t="s">
        <v>179</v>
      </c>
      <c r="E3" s="21"/>
      <c r="F3" s="21" t="s">
        <v>181</v>
      </c>
      <c r="G3" s="47"/>
      <c r="H3" s="3"/>
      <c r="I3" s="3"/>
      <c r="J3" s="198"/>
      <c r="K3" s="199"/>
      <c r="L3" s="233"/>
      <c r="N3" s="232"/>
      <c r="O3" s="26"/>
      <c r="P3" s="19" t="s">
        <v>182</v>
      </c>
      <c r="Q3" s="21"/>
      <c r="R3" s="21" t="s">
        <v>862</v>
      </c>
      <c r="S3" s="47"/>
      <c r="T3" s="3"/>
      <c r="U3" s="3"/>
      <c r="V3" s="198"/>
      <c r="W3" s="199"/>
      <c r="X3" s="233"/>
      <c r="Y3" s="199"/>
      <c r="AA3" s="232"/>
      <c r="AC3" s="19" t="s">
        <v>346</v>
      </c>
      <c r="AD3" s="21" t="s">
        <v>234</v>
      </c>
      <c r="AE3" s="526"/>
      <c r="AF3" s="526"/>
      <c r="AG3" s="526"/>
      <c r="AH3" s="526"/>
      <c r="AI3" s="233"/>
      <c r="AJ3" s="199"/>
      <c r="AL3" s="232"/>
      <c r="AN3" s="1565" t="s">
        <v>794</v>
      </c>
      <c r="AO3" s="1566" t="s">
        <v>795</v>
      </c>
      <c r="AP3" s="712"/>
      <c r="AQ3" s="712"/>
      <c r="AR3" s="712"/>
      <c r="AS3" s="712"/>
      <c r="AT3" s="712"/>
      <c r="AU3" s="712"/>
      <c r="AV3" s="233"/>
    </row>
    <row r="4" spans="2:48" x14ac:dyDescent="0.25">
      <c r="B4" s="232"/>
      <c r="C4" s="26"/>
      <c r="D4" s="26"/>
      <c r="E4" s="26"/>
      <c r="F4" s="26"/>
      <c r="G4" s="26"/>
      <c r="H4" s="26"/>
      <c r="I4" s="26"/>
      <c r="J4" s="26"/>
      <c r="K4" s="199"/>
      <c r="L4" s="233"/>
      <c r="N4" s="232"/>
      <c r="O4" s="26"/>
      <c r="P4" s="26"/>
      <c r="Q4" s="26"/>
      <c r="R4" s="26"/>
      <c r="S4" s="26"/>
      <c r="T4" s="26"/>
      <c r="U4" s="26"/>
      <c r="V4" s="26"/>
      <c r="W4" s="199"/>
      <c r="X4" s="233"/>
      <c r="Y4" s="199"/>
      <c r="AA4" s="232"/>
      <c r="AB4" s="199"/>
      <c r="AC4" s="199"/>
      <c r="AD4" s="843" t="s">
        <v>347</v>
      </c>
      <c r="AE4" s="526"/>
      <c r="AF4" s="526"/>
      <c r="AG4" s="526"/>
      <c r="AH4" s="199"/>
      <c r="AI4" s="233"/>
      <c r="AJ4" s="199"/>
      <c r="AL4" s="232"/>
      <c r="AO4" s="1567" t="s">
        <v>796</v>
      </c>
      <c r="AP4" s="712"/>
      <c r="AQ4" s="712"/>
      <c r="AR4" s="712"/>
      <c r="AS4" s="712"/>
      <c r="AT4" s="712"/>
      <c r="AU4" s="712"/>
      <c r="AV4" s="233"/>
    </row>
    <row r="5" spans="2:48" ht="30" customHeight="1" x14ac:dyDescent="0.3">
      <c r="B5" s="232"/>
      <c r="C5" s="234"/>
      <c r="D5" s="234"/>
      <c r="E5" s="234"/>
      <c r="F5" s="234"/>
      <c r="G5" s="235" t="s">
        <v>183</v>
      </c>
      <c r="H5" s="235" t="s">
        <v>184</v>
      </c>
      <c r="I5" s="235" t="s">
        <v>185</v>
      </c>
      <c r="J5" s="234" t="s">
        <v>186</v>
      </c>
      <c r="K5" s="199"/>
      <c r="L5" s="233"/>
      <c r="N5" s="232"/>
      <c r="O5" s="234"/>
      <c r="P5" s="234"/>
      <c r="Q5" s="234"/>
      <c r="R5" s="234"/>
      <c r="S5" s="235" t="s">
        <v>183</v>
      </c>
      <c r="T5" s="235" t="s">
        <v>184</v>
      </c>
      <c r="U5" s="235" t="s">
        <v>185</v>
      </c>
      <c r="V5" s="234" t="s">
        <v>186</v>
      </c>
      <c r="W5" s="199"/>
      <c r="X5" s="233"/>
      <c r="Y5" s="199"/>
      <c r="AA5" s="232"/>
      <c r="AB5" s="199"/>
      <c r="AC5" s="199"/>
      <c r="AD5" s="199"/>
      <c r="AE5" s="235" t="s">
        <v>0</v>
      </c>
      <c r="AF5" s="235" t="s">
        <v>1</v>
      </c>
      <c r="AG5" s="235" t="s">
        <v>640</v>
      </c>
      <c r="AH5" s="199"/>
      <c r="AI5" s="233"/>
      <c r="AJ5" s="199"/>
      <c r="AL5" s="232"/>
      <c r="AO5" s="712"/>
      <c r="AQ5" s="1596" t="s">
        <v>797</v>
      </c>
      <c r="AR5" s="1596" t="s">
        <v>798</v>
      </c>
      <c r="AS5" s="1596" t="s">
        <v>799</v>
      </c>
      <c r="AT5" s="1569"/>
      <c r="AU5" s="712"/>
      <c r="AV5" s="233"/>
    </row>
    <row r="6" spans="2:48" ht="13" x14ac:dyDescent="0.3">
      <c r="B6" s="232"/>
      <c r="C6" s="200" t="s">
        <v>0</v>
      </c>
      <c r="D6" s="201"/>
      <c r="E6" s="201"/>
      <c r="F6" s="201"/>
      <c r="G6" s="201"/>
      <c r="H6" s="201"/>
      <c r="I6" s="201"/>
      <c r="J6" s="201"/>
      <c r="K6" s="202"/>
      <c r="L6" s="233"/>
      <c r="N6" s="232"/>
      <c r="O6" s="200" t="s">
        <v>0</v>
      </c>
      <c r="P6" s="201"/>
      <c r="Q6" s="201"/>
      <c r="R6" s="201"/>
      <c r="S6" s="201"/>
      <c r="T6" s="201"/>
      <c r="U6" s="201"/>
      <c r="V6" s="201"/>
      <c r="W6" s="202"/>
      <c r="X6" s="233"/>
      <c r="Y6" s="199"/>
      <c r="AA6" s="232"/>
      <c r="AB6" s="200" t="s">
        <v>187</v>
      </c>
      <c r="AC6" s="55"/>
      <c r="AD6" s="201"/>
      <c r="AE6" s="55"/>
      <c r="AF6" s="55"/>
      <c r="AG6" s="55"/>
      <c r="AH6" s="202"/>
      <c r="AI6" s="233"/>
      <c r="AJ6" s="199"/>
      <c r="AL6" s="232"/>
      <c r="AQ6" s="1568" t="s">
        <v>800</v>
      </c>
      <c r="AR6" s="1568" t="s">
        <v>543</v>
      </c>
      <c r="AS6" s="1568" t="s">
        <v>801</v>
      </c>
      <c r="AT6" s="1569" t="s">
        <v>186</v>
      </c>
      <c r="AV6" s="233"/>
    </row>
    <row r="7" spans="2:48" ht="13" x14ac:dyDescent="0.3">
      <c r="B7" s="232"/>
      <c r="C7" s="203"/>
      <c r="D7" s="204" t="s">
        <v>187</v>
      </c>
      <c r="E7" s="205"/>
      <c r="F7" s="205"/>
      <c r="G7" s="205"/>
      <c r="H7" s="205"/>
      <c r="I7" s="205"/>
      <c r="J7" s="205"/>
      <c r="K7" s="206"/>
      <c r="L7" s="233"/>
      <c r="N7" s="232"/>
      <c r="O7" s="203"/>
      <c r="P7" s="208"/>
      <c r="Q7" s="208" t="s">
        <v>863</v>
      </c>
      <c r="R7" s="208"/>
      <c r="S7" s="956">
        <f>IF(HwyRail,0,Fat3Yr)</f>
        <v>5.0000000000000001E-3</v>
      </c>
      <c r="T7" s="957"/>
      <c r="U7" s="958">
        <f>IF(ISNUMBER(T7),ROUND(T7,3),S7)</f>
        <v>5.0000000000000001E-3</v>
      </c>
      <c r="V7" s="214"/>
      <c r="W7" s="206"/>
      <c r="X7" s="233"/>
      <c r="Y7" s="199"/>
      <c r="AA7" s="232"/>
      <c r="AB7" s="556"/>
      <c r="AC7" s="33"/>
      <c r="AD7" s="205"/>
      <c r="AE7" s="33"/>
      <c r="AF7" s="33"/>
      <c r="AG7" s="33"/>
      <c r="AH7" s="206"/>
      <c r="AI7" s="233"/>
      <c r="AJ7" s="199"/>
      <c r="AL7" s="232"/>
      <c r="AM7" s="200" t="s">
        <v>0</v>
      </c>
      <c r="AN7" s="577"/>
      <c r="AO7" s="577"/>
      <c r="AP7" s="577"/>
      <c r="AQ7" s="1570"/>
      <c r="AR7" s="1570"/>
      <c r="AS7" s="1570"/>
      <c r="AT7" s="1570"/>
      <c r="AU7" s="1571"/>
      <c r="AV7" s="233"/>
    </row>
    <row r="8" spans="2:48" ht="13" x14ac:dyDescent="0.3">
      <c r="B8" s="232"/>
      <c r="C8" s="203"/>
      <c r="D8" s="205"/>
      <c r="E8" s="207" t="s">
        <v>188</v>
      </c>
      <c r="F8" s="205"/>
      <c r="G8" s="205"/>
      <c r="H8" s="205"/>
      <c r="I8" s="205"/>
      <c r="J8" s="205"/>
      <c r="K8" s="206"/>
      <c r="L8" s="233"/>
      <c r="N8" s="232"/>
      <c r="O8" s="203"/>
      <c r="P8" s="208"/>
      <c r="Q8" s="208" t="s">
        <v>864</v>
      </c>
      <c r="R8" s="208"/>
      <c r="S8" s="959">
        <f>IF(HwyRail,0,Inj3Yr)</f>
        <v>0.28000000000000003</v>
      </c>
      <c r="T8" s="960"/>
      <c r="U8" s="961">
        <f>IF(ISNUMBER(T8),ROUND(T8,2),S8)</f>
        <v>0.28000000000000003</v>
      </c>
      <c r="V8" s="215"/>
      <c r="W8" s="206"/>
      <c r="X8" s="233"/>
      <c r="Y8" s="199"/>
      <c r="AA8" s="232"/>
      <c r="AB8" s="203"/>
      <c r="AC8" s="208" t="s">
        <v>188</v>
      </c>
      <c r="AD8" s="205"/>
      <c r="AE8" s="205"/>
      <c r="AF8" s="205"/>
      <c r="AG8" s="205"/>
      <c r="AH8" s="206"/>
      <c r="AI8" s="233"/>
      <c r="AJ8" s="199"/>
      <c r="AL8" s="232"/>
      <c r="AM8" s="556"/>
      <c r="AN8" s="1572"/>
      <c r="AO8" s="1573" t="s">
        <v>188</v>
      </c>
      <c r="AP8" s="1574"/>
      <c r="AQ8" s="1575"/>
      <c r="AR8" s="1575"/>
      <c r="AS8" s="1575"/>
      <c r="AT8" s="1575"/>
      <c r="AU8" s="1576"/>
      <c r="AV8" s="233"/>
    </row>
    <row r="9" spans="2:48" x14ac:dyDescent="0.25">
      <c r="B9" s="232"/>
      <c r="C9" s="203"/>
      <c r="D9" s="205"/>
      <c r="E9" s="205"/>
      <c r="F9" s="208" t="s">
        <v>189</v>
      </c>
      <c r="G9" s="217">
        <f>IF(HwyRail,0,HOVvolNB*PeakLngthNB*IF(OR(HOVConn,HOVDrop),1-PerWeaveNB,1))</f>
        <v>0</v>
      </c>
      <c r="H9" s="218"/>
      <c r="I9" s="219">
        <f>IF(ISNUMBER(H9),H9,G9)</f>
        <v>0</v>
      </c>
      <c r="J9" s="214"/>
      <c r="K9" s="206"/>
      <c r="L9" s="233"/>
      <c r="N9" s="232"/>
      <c r="O9" s="203"/>
      <c r="P9" s="208"/>
      <c r="Q9" s="208" t="s">
        <v>865</v>
      </c>
      <c r="R9" s="208"/>
      <c r="S9" s="962">
        <f>IF(HwyRail,0,Pdo3Yr)</f>
        <v>0.61</v>
      </c>
      <c r="T9" s="963"/>
      <c r="U9" s="964">
        <f>IF(ISNUMBER(T9),ROUND(T9,2),S9)</f>
        <v>0.61</v>
      </c>
      <c r="V9" s="216"/>
      <c r="W9" s="206"/>
      <c r="X9" s="233"/>
      <c r="Y9" s="199"/>
      <c r="AA9" s="232"/>
      <c r="AB9" s="203"/>
      <c r="AC9" s="33"/>
      <c r="AD9" s="208" t="s">
        <v>343</v>
      </c>
      <c r="AE9" s="217">
        <f>PeakLngthNB*HOVvolNB*AVOHovNB*AnnualFactor</f>
        <v>0</v>
      </c>
      <c r="AF9" s="972">
        <f>PeakLngthNB*HOVvolB*AVOHovB*AnnualFactor</f>
        <v>0</v>
      </c>
      <c r="AG9" s="971"/>
      <c r="AH9" s="206"/>
      <c r="AI9" s="233"/>
      <c r="AJ9" s="199"/>
      <c r="AL9" s="232"/>
      <c r="AM9" s="203"/>
      <c r="AN9" s="1574"/>
      <c r="AO9" s="1574"/>
      <c r="AP9" s="1574" t="s">
        <v>247</v>
      </c>
      <c r="AQ9" s="1577" t="e">
        <f>(0.71*MAX(1.0274*(1+FFSpeedNB*MAX(1/PHS1NB-1/FFSpeedNB, 0))^1.2204-1,0)^0.56)*ImpactedNB/FFSpeedNB*3600</f>
        <v>#DIV/0!</v>
      </c>
      <c r="AR9" s="1578"/>
      <c r="AS9" s="1579" t="e">
        <f>IF(ISNUMBER(AR9),AR9,AQ9)</f>
        <v>#DIV/0!</v>
      </c>
      <c r="AT9" s="1580"/>
      <c r="AU9" s="1576"/>
      <c r="AV9" s="233"/>
    </row>
    <row r="10" spans="2:48" x14ac:dyDescent="0.25">
      <c r="B10" s="232"/>
      <c r="C10" s="203"/>
      <c r="D10" s="205"/>
      <c r="E10" s="205"/>
      <c r="F10" s="208" t="s">
        <v>190</v>
      </c>
      <c r="G10" s="220">
        <f>IF(HwyRail,0,(PerPeakADT*ADT1NB)*(1-IF(OR(AuxLane,OffRamp),PerWeaveNB,PerTruckNB))*VLOOKUP(TMSLookup,TMSAdj,3)-HOVvolNB*PeakLngthNB)</f>
        <v>0</v>
      </c>
      <c r="H10" s="221"/>
      <c r="I10" s="222">
        <f>IF(ISNUMBER(H10),H10,G10)</f>
        <v>0</v>
      </c>
      <c r="J10" s="215"/>
      <c r="K10" s="206"/>
      <c r="L10" s="233"/>
      <c r="N10" s="232"/>
      <c r="O10" s="203"/>
      <c r="P10" s="208" t="s">
        <v>866</v>
      </c>
      <c r="Q10" s="208"/>
      <c r="R10" s="208"/>
      <c r="S10" s="965">
        <f>SUM(S7:S9)</f>
        <v>0.89500000000000002</v>
      </c>
      <c r="T10" s="739"/>
      <c r="U10" s="205"/>
      <c r="V10" s="205"/>
      <c r="W10" s="206"/>
      <c r="X10" s="233"/>
      <c r="Y10" s="199"/>
      <c r="AA10" s="232"/>
      <c r="AB10" s="203"/>
      <c r="AC10" s="33"/>
      <c r="AD10" s="208" t="s">
        <v>344</v>
      </c>
      <c r="AE10" s="220">
        <f>(PerPeakADT*ADT1NB*(1-PerTruckNB)-PeakLngthNB*HOVvolNB+IF(AuxLane,RampVolP*PeakLngthNB,0))*AVOPeakNB*AnnualFactor</f>
        <v>0</v>
      </c>
      <c r="AF10" s="973">
        <f>(PerPeakADT*ADT1B*(1-PerTruckB)-PeakLngthNB*HOVvolB+IF(AuxLane,RampVolP*PeakLngthNB,0))*AVOPeakB*AnnualFactor</f>
        <v>0</v>
      </c>
      <c r="AG10" s="976">
        <f>IF(AF10-AE10=0,0,(AF10-AE10)/(SUM($AF$10:$AF$11)-SUM($AE$10:$AE$11))*(SUM($AF$9:$AF$11)-SUM($AE$9:$AE$11)))</f>
        <v>0</v>
      </c>
      <c r="AH10" s="206"/>
      <c r="AI10" s="233"/>
      <c r="AJ10" s="199"/>
      <c r="AL10" s="232"/>
      <c r="AM10" s="203"/>
      <c r="AN10" s="1574"/>
      <c r="AO10" s="1574"/>
      <c r="AP10" s="1574" t="s">
        <v>248</v>
      </c>
      <c r="AQ10" s="1581" t="e">
        <f>(0.71*MAX(1.0274*(1+FFSpeedNB*MAX(1/PNS1NB-1/FFSpeedNB, 0))^1.2204-1,0)^0.56)*ImpactedNB/FFSpeedNB*3600</f>
        <v>#DIV/0!</v>
      </c>
      <c r="AR10" s="1582"/>
      <c r="AS10" s="961" t="e">
        <f t="shared" ref="AS10:AS12" si="0">IF(ISNUMBER(AR10),AR10,AQ10)</f>
        <v>#DIV/0!</v>
      </c>
      <c r="AT10" s="1583"/>
      <c r="AU10" s="1576"/>
      <c r="AV10" s="233"/>
    </row>
    <row r="11" spans="2:48" x14ac:dyDescent="0.25">
      <c r="B11" s="232"/>
      <c r="C11" s="203"/>
      <c r="D11" s="205"/>
      <c r="E11" s="205"/>
      <c r="F11" s="208" t="s">
        <v>491</v>
      </c>
      <c r="G11" s="220">
        <f>IF(OR(AuxLane,OffRamp),(PerPeakADT*ADT1NB)*(PerWeaveNB-PerTruckNB)*VLOOKUP(TMSLookup,TMSAdj,3),0)+IF(AuxLane,RampVolP*PeakLngthNB,0)+IF(OR(HOVConn,HOVDrop),PerWeaveNB*HOVvolNB*PeakLngthNB,0)</f>
        <v>0</v>
      </c>
      <c r="H11" s="221"/>
      <c r="I11" s="222">
        <f>IF(ISNUMBER(H11),H11,G11)</f>
        <v>0</v>
      </c>
      <c r="J11" s="215"/>
      <c r="K11" s="206"/>
      <c r="L11" s="233"/>
      <c r="N11" s="232"/>
      <c r="O11" s="203"/>
      <c r="P11" s="208"/>
      <c r="Q11" s="208"/>
      <c r="R11" s="208"/>
      <c r="S11" s="739"/>
      <c r="T11" s="739"/>
      <c r="U11" s="205"/>
      <c r="V11" s="205"/>
      <c r="W11" s="206"/>
      <c r="X11" s="233"/>
      <c r="Y11" s="199"/>
      <c r="AA11" s="232"/>
      <c r="AB11" s="203"/>
      <c r="AC11" s="33"/>
      <c r="AD11" s="208" t="s">
        <v>345</v>
      </c>
      <c r="AE11" s="974">
        <f>PerPeakADT*ADT1NB*PerTruckNB*AnnualFactor</f>
        <v>0</v>
      </c>
      <c r="AF11" s="975">
        <f>PerPeakADT*ADT1B*PerTruckB*AnnualFactor</f>
        <v>0</v>
      </c>
      <c r="AG11" s="977">
        <f>IF(AF11-AE11=0,0,(AF11-AE11)/(SUM($AF$10:$AF$11)-SUM($AE$10:$AE$11))*(SUM($AF$9:$AF$11)-SUM($AE$9:$AE$11)))</f>
        <v>0</v>
      </c>
      <c r="AH11" s="206"/>
      <c r="AI11" s="233"/>
      <c r="AJ11" s="199"/>
      <c r="AL11" s="232"/>
      <c r="AM11" s="203"/>
      <c r="AN11" s="1574"/>
      <c r="AO11" s="1574"/>
      <c r="AP11" s="1574" t="s">
        <v>501</v>
      </c>
      <c r="AQ11" s="1581" t="e">
        <f>(0.71*MAX(1.0274*(1+FFSpeedNB*MAX(1/PWS1NB-1/FFSpeedNB, 0))^1.2204-1,0)^0.56)*ImpactedNB/FFSpeedNB*3600</f>
        <v>#DIV/0!</v>
      </c>
      <c r="AR11" s="1582"/>
      <c r="AS11" s="961" t="e">
        <f t="shared" si="0"/>
        <v>#DIV/0!</v>
      </c>
      <c r="AT11" s="1583"/>
      <c r="AU11" s="1576"/>
      <c r="AV11" s="233"/>
    </row>
    <row r="12" spans="2:48" ht="13" x14ac:dyDescent="0.3">
      <c r="B12" s="232"/>
      <c r="C12" s="203"/>
      <c r="D12" s="205"/>
      <c r="E12" s="205"/>
      <c r="F12" s="208" t="s">
        <v>191</v>
      </c>
      <c r="G12" s="220">
        <f>IF(HwyRail,0,(PerPeakADT*ADT1NB)*PerTruckNB*VLOOKUP(TMSLookup,TMSAdj,3))</f>
        <v>0</v>
      </c>
      <c r="H12" s="221"/>
      <c r="I12" s="222">
        <f>IF(ISNUMBER(H12),H12,G12)</f>
        <v>0</v>
      </c>
      <c r="J12" s="215"/>
      <c r="K12" s="206"/>
      <c r="L12" s="233"/>
      <c r="N12" s="232"/>
      <c r="O12" s="556" t="s">
        <v>42</v>
      </c>
      <c r="P12" s="208"/>
      <c r="Q12" s="208"/>
      <c r="R12" s="208"/>
      <c r="S12" s="739"/>
      <c r="T12" s="824">
        <f>IF(Passing,30%,IF(OffRamp,50%,IF(RM,30%,0%)))</f>
        <v>0</v>
      </c>
      <c r="U12" s="205" t="s">
        <v>43</v>
      </c>
      <c r="V12" s="205"/>
      <c r="W12" s="206"/>
      <c r="X12" s="233"/>
      <c r="Y12" s="199"/>
      <c r="AA12" s="232"/>
      <c r="AB12" s="203"/>
      <c r="AC12" s="205"/>
      <c r="AD12" s="205"/>
      <c r="AE12" s="205"/>
      <c r="AF12" s="205"/>
      <c r="AG12" s="205"/>
      <c r="AH12" s="206"/>
      <c r="AI12" s="233"/>
      <c r="AJ12" s="199"/>
      <c r="AL12" s="232"/>
      <c r="AM12" s="203"/>
      <c r="AN12" s="1574"/>
      <c r="AO12" s="1574"/>
      <c r="AP12" s="1574" t="s">
        <v>249</v>
      </c>
      <c r="AQ12" s="1584" t="e">
        <f>(0.71*MAX(1.0274*(1+FFSpeedNB*MAX(1/PTS1NB-1/FFSpeedNB, 0))^1.2204-1,0)^0.56)*ImpactedNB/FFSpeedNB*3600</f>
        <v>#DIV/0!</v>
      </c>
      <c r="AR12" s="1585"/>
      <c r="AS12" s="964" t="e">
        <f t="shared" si="0"/>
        <v>#DIV/0!</v>
      </c>
      <c r="AT12" s="1586"/>
      <c r="AU12" s="1576"/>
      <c r="AV12" s="233"/>
    </row>
    <row r="13" spans="2:48" x14ac:dyDescent="0.25">
      <c r="B13" s="232"/>
      <c r="C13" s="203"/>
      <c r="D13" s="205"/>
      <c r="E13" s="205"/>
      <c r="F13" s="208" t="s">
        <v>192</v>
      </c>
      <c r="G13" s="223">
        <f>IF(PHV1NB=0,55,IF(HOVLanesNB=0,PNS1NB,IF(Queuing,ImpactedNB/(MAX(PeakLngthNB/DepRate1/2*(ArrRate1-DepRate1)*(DepRate1-ADT1NB*(1-PerPeakADT)/(24-PeakLngthNB))/(ArrRate1-ADT1NB*(1-PerPeakADT)/(24-PeakLngthNB)),0)+ImpactedNB/FFSpeedNB),FFSpeedNB/(1+HOVAlpha*MIN(PHV1NB/(HOVLanesNB*HOVLaneCap*PeakLngthNB),MaxVC)^HOVBeta))*IF(Pavement,VLOOKUP(IRI1NB,SpeedPavAdj,2),1)))</f>
        <v>55</v>
      </c>
      <c r="H13" s="224"/>
      <c r="I13" s="225">
        <f>MAX(IF(ISNUMBER(H13),H13,G13),5)</f>
        <v>55</v>
      </c>
      <c r="J13" s="215"/>
      <c r="K13" s="206"/>
      <c r="L13" s="233"/>
      <c r="N13" s="232"/>
      <c r="O13" s="203"/>
      <c r="P13" s="205"/>
      <c r="Q13" s="205"/>
      <c r="R13" s="205"/>
      <c r="S13" s="205"/>
      <c r="T13" s="739"/>
      <c r="U13" s="205"/>
      <c r="V13" s="205"/>
      <c r="W13" s="206"/>
      <c r="X13" s="233"/>
      <c r="Y13" s="199"/>
      <c r="AA13" s="232"/>
      <c r="AB13" s="203"/>
      <c r="AC13" s="208" t="s">
        <v>195</v>
      </c>
      <c r="AD13" s="33"/>
      <c r="AE13" s="33"/>
      <c r="AF13" s="33"/>
      <c r="AG13" s="33"/>
      <c r="AH13" s="206"/>
      <c r="AI13" s="233"/>
      <c r="AJ13" s="199"/>
      <c r="AL13" s="232"/>
      <c r="AM13" s="203"/>
      <c r="AN13" s="1574"/>
      <c r="AO13" s="1574"/>
      <c r="AP13" s="1574"/>
      <c r="AQ13" s="1575"/>
      <c r="AR13" s="1587"/>
      <c r="AS13" s="1575"/>
      <c r="AT13" s="1575"/>
      <c r="AU13" s="1576"/>
      <c r="AV13" s="233"/>
    </row>
    <row r="14" spans="2:48" ht="13" x14ac:dyDescent="0.3">
      <c r="B14" s="232"/>
      <c r="C14" s="203"/>
      <c r="D14" s="205"/>
      <c r="E14" s="205"/>
      <c r="F14" s="208" t="s">
        <v>194</v>
      </c>
      <c r="G14" s="223">
        <f>IF(SUM(I9:I12)=0,55,IF(Queuing,ImpactedNB/(MAX(PeakLngthNB/DepRate1/2*(ArrRate1-DepRate1)*(DepRate1-ADT1NB*(1-PerPeakADT)/(24-PeakLngthNB))/(ArrRate1-ADT1NB*(1-PerPeakADT)/(24-PeakLngthNB)),0)+ImpactedNB/FFSpeedNB),MIN(FFSpeedNB/(1+GenAlphaNB*MIN(SUM(IF(HOVLanesNB=0,I9:I12,I10:I12))/(GenLanesNB*GenLaneCapNB*PeakLngthNB),MaxVC)^GenBetaNB)*VLOOKUP(TMSLookup,TMSAdj,2),IF(Passing,AVERAGE(TruckSpeed,FFSpeedNB),FFSpeedNB))))*IF(FreeConn,VLOOKUP(PerWeaveNB,SpeedWeaveAdj,2),1)*IF(OR(HOVConn,HOVDrop),VLOOKUP(PerWeaveNB,SpeedWeaveAdj,3),1)*IF(Pavement,VLOOKUP(IRI1NB,SpeedPavAdj,2),1)</f>
        <v>55</v>
      </c>
      <c r="H14" s="224"/>
      <c r="I14" s="225">
        <f>MAX(IF(ISNUMBER(H14),H14,G14),5)</f>
        <v>55</v>
      </c>
      <c r="J14" s="215"/>
      <c r="K14" s="206"/>
      <c r="L14" s="233"/>
      <c r="N14" s="232"/>
      <c r="O14" s="556" t="s">
        <v>193</v>
      </c>
      <c r="P14" s="205"/>
      <c r="Q14" s="205"/>
      <c r="R14" s="205"/>
      <c r="S14" s="205"/>
      <c r="T14" s="739"/>
      <c r="U14" s="205"/>
      <c r="V14" s="205"/>
      <c r="W14" s="206"/>
      <c r="X14" s="233"/>
      <c r="Y14" s="199"/>
      <c r="AA14" s="232"/>
      <c r="AB14" s="203"/>
      <c r="AC14" s="33"/>
      <c r="AD14" s="208" t="s">
        <v>344</v>
      </c>
      <c r="AE14" s="217">
        <f>((1-PerPeakADT)*ADT1NB*(1-PerTruckNB)+IF(AuxLane,RampVolNP*(24-PeakLngthNB),0))*AVONonNB*AnnualFactor</f>
        <v>0</v>
      </c>
      <c r="AF14" s="972">
        <f>((1-PerPeakADT)*ADT1B*(1-PerTruckB)+IF(AuxLane,RampVolNP*(24-PeakLngthNB),0))*AVONonB*AnnualFactor</f>
        <v>0</v>
      </c>
      <c r="AG14" s="976">
        <f>AF14-AE14</f>
        <v>0</v>
      </c>
      <c r="AH14" s="206"/>
      <c r="AI14" s="233"/>
      <c r="AJ14" s="199"/>
      <c r="AL14" s="232"/>
      <c r="AM14" s="556"/>
      <c r="AN14" s="1572"/>
      <c r="AO14" s="1573" t="s">
        <v>195</v>
      </c>
      <c r="AP14" s="1574"/>
      <c r="AQ14" s="1575"/>
      <c r="AR14" s="1587"/>
      <c r="AS14" s="1575"/>
      <c r="AT14" s="1575"/>
      <c r="AU14" s="1576"/>
      <c r="AV14" s="233"/>
    </row>
    <row r="15" spans="2:48" x14ac:dyDescent="0.25">
      <c r="B15" s="232"/>
      <c r="C15" s="203"/>
      <c r="D15" s="205"/>
      <c r="E15" s="205"/>
      <c r="F15" s="208" t="s">
        <v>492</v>
      </c>
      <c r="G15" s="788">
        <f>IF(PWV1NB=0,55,IF(OR(AuxLane,OffRamp),MAX(5,MIN(PNS1NB,1.1*(FFSpeedNB-(FFSpeedNB-42)*(0.321+0.0039*EXP((PWV1NB+PTV1NB)/NumDirections/PeakLngthNB/1000)-0.002*(IF(OffRamp,1083,SegmentNB*5280)*RampFFSpdNB/1000)))*VLOOKUP(TMSLookup,TMSAdj,2)*IF(Pavement,VLOOKUP(IRI1NB,SpeedPavAdj,2),1))),PNS1NB))</f>
        <v>55</v>
      </c>
      <c r="H15" s="789"/>
      <c r="I15" s="225">
        <f>MAX(IF(ISNUMBER(H15),H15,G15),5)</f>
        <v>55</v>
      </c>
      <c r="J15" s="790"/>
      <c r="K15" s="206"/>
      <c r="L15" s="233"/>
      <c r="N15" s="232"/>
      <c r="O15" s="203"/>
      <c r="P15" s="208"/>
      <c r="Q15" s="208" t="s">
        <v>863</v>
      </c>
      <c r="R15" s="208"/>
      <c r="S15" s="931">
        <f>IF(ISNUMBER(AccStAvgNB),FatalRateNB/(PFatStAvgNB*AccStAvgNB),1)*(1-AccReduceFac)*IF(Passing,VLOOKUP(ADT0,PassAccReduce,2),1)</f>
        <v>1</v>
      </c>
      <c r="T15" s="932"/>
      <c r="U15" s="933">
        <f>IF(ISNUMBER(T15),T15,S15)</f>
        <v>1</v>
      </c>
      <c r="V15" s="214"/>
      <c r="W15" s="206"/>
      <c r="X15" s="233"/>
      <c r="Y15" s="199"/>
      <c r="AA15" s="978"/>
      <c r="AB15" s="981"/>
      <c r="AC15" s="33"/>
      <c r="AD15" s="208" t="s">
        <v>345</v>
      </c>
      <c r="AE15" s="974">
        <f>(1-PerPeakADT)*ADT1NB*PerTruckNB*AnnualFactor</f>
        <v>0</v>
      </c>
      <c r="AF15" s="975">
        <f>(1-PerPeakADT)*ADT1B*PerTruckB*AnnualFactor</f>
        <v>0</v>
      </c>
      <c r="AG15" s="977">
        <f>AF15-AE15</f>
        <v>0</v>
      </c>
      <c r="AH15" s="206"/>
      <c r="AI15" s="233"/>
      <c r="AJ15" s="199"/>
      <c r="AL15" s="232"/>
      <c r="AM15" s="203"/>
      <c r="AN15" s="1574"/>
      <c r="AO15" s="1574"/>
      <c r="AP15" s="1574" t="s">
        <v>248</v>
      </c>
      <c r="AQ15" s="1577" t="e">
        <f>(0.71*MAX(1.0274*(1+FFSpeedNB*MAX(1/NNS1NB-1/FFSpeedNB, 0))^1.2204-1,0)^0.56)*ImpactedNB/FFSpeedNB*3600</f>
        <v>#DIV/0!</v>
      </c>
      <c r="AR15" s="1578"/>
      <c r="AS15" s="1579" t="e">
        <f t="shared" ref="AS15:AS17" si="1">IF(ISNUMBER(AR15),AR15,AQ15)</f>
        <v>#DIV/0!</v>
      </c>
      <c r="AT15" s="1580"/>
      <c r="AU15" s="1576"/>
      <c r="AV15" s="233"/>
    </row>
    <row r="16" spans="2:48" x14ac:dyDescent="0.25">
      <c r="B16" s="232"/>
      <c r="C16" s="203"/>
      <c r="D16" s="205"/>
      <c r="E16" s="205"/>
      <c r="F16" s="208" t="s">
        <v>96</v>
      </c>
      <c r="G16" s="226">
        <f>IF(PTV1NB=0,55,MIN(TruckSpeed,IF(OR(AuxLane,OffRamp),PWS1NB,PNS1NB)/IF(Pavement,VLOOKUP(IRI1NB,SpeedPavAdj,2),1)))*IF(Pavement,VLOOKUP(IRI1NB,SpeedPavAdj,3),1)</f>
        <v>55</v>
      </c>
      <c r="H16" s="227"/>
      <c r="I16" s="228">
        <f>MAX(IF(ISNUMBER(H16),H16,G16),5)</f>
        <v>55</v>
      </c>
      <c r="J16" s="216"/>
      <c r="K16" s="206"/>
      <c r="L16" s="233"/>
      <c r="N16" s="232"/>
      <c r="O16" s="203"/>
      <c r="P16" s="208"/>
      <c r="Q16" s="208" t="s">
        <v>864</v>
      </c>
      <c r="R16" s="208"/>
      <c r="S16" s="934">
        <f>IF(ISNUMBER(AccStAvgNB),InjuryRateNB/(PInjStAvgNB*AccStAvgNB),1)*(1-AccReduceFac)*IF(Passing,VLOOKUP(ADT0,PassAccReduce,3),1)</f>
        <v>1</v>
      </c>
      <c r="T16" s="935"/>
      <c r="U16" s="936">
        <f>IF(ISNUMBER(T16),T16,S16)</f>
        <v>1</v>
      </c>
      <c r="V16" s="215"/>
      <c r="W16" s="206"/>
      <c r="X16" s="233"/>
      <c r="Y16" s="199"/>
      <c r="AA16" s="978"/>
      <c r="AB16" s="981"/>
      <c r="AC16" s="33"/>
      <c r="AD16" s="208"/>
      <c r="AE16" s="205"/>
      <c r="AF16" s="205"/>
      <c r="AG16" s="205"/>
      <c r="AH16" s="206"/>
      <c r="AI16" s="233"/>
      <c r="AJ16" s="199"/>
      <c r="AL16" s="232"/>
      <c r="AM16" s="203"/>
      <c r="AN16" s="1574"/>
      <c r="AO16" s="1574"/>
      <c r="AP16" s="1574" t="s">
        <v>501</v>
      </c>
      <c r="AQ16" s="1581" t="e">
        <f>(0.71*MAX(1.0274*(1+FFSpeedNB*MAX(1/NWS1NB-1/FFSpeedNB, 0))^1.2204-1,0)^0.56)*ImpactedNB/FFSpeedNB*3600</f>
        <v>#DIV/0!</v>
      </c>
      <c r="AR16" s="1582"/>
      <c r="AS16" s="961" t="e">
        <f t="shared" si="1"/>
        <v>#DIV/0!</v>
      </c>
      <c r="AT16" s="1583"/>
      <c r="AU16" s="1576"/>
      <c r="AV16" s="233"/>
    </row>
    <row r="17" spans="2:48" x14ac:dyDescent="0.25">
      <c r="B17" s="232"/>
      <c r="C17" s="203"/>
      <c r="D17" s="205"/>
      <c r="E17" s="205"/>
      <c r="F17" s="208"/>
      <c r="G17" s="205"/>
      <c r="H17" s="205"/>
      <c r="I17" s="205"/>
      <c r="J17" s="205"/>
      <c r="K17" s="206"/>
      <c r="L17" s="233"/>
      <c r="N17" s="232"/>
      <c r="O17" s="203"/>
      <c r="P17" s="208"/>
      <c r="Q17" s="208" t="s">
        <v>865</v>
      </c>
      <c r="R17" s="208"/>
      <c r="S17" s="937">
        <f>IF(ISNUMBER(AccStAvgNB),PDORateNB/((1-PFatStAvgNB-PInjStAvgNB)*AccStAvgNB),1)*(1-AccReduceFac)*IF(Passing,VLOOKUP(ADT0,PassAccReduce,4),1)</f>
        <v>1</v>
      </c>
      <c r="T17" s="938"/>
      <c r="U17" s="939">
        <f>IF(ISNUMBER(T17),T17,S17)</f>
        <v>1</v>
      </c>
      <c r="V17" s="216"/>
      <c r="W17" s="206"/>
      <c r="X17" s="233"/>
      <c r="Y17" s="199"/>
      <c r="AA17" s="978"/>
      <c r="AB17" s="981"/>
      <c r="AC17" s="33"/>
      <c r="AD17" s="208"/>
      <c r="AE17" s="33"/>
      <c r="AF17" s="33"/>
      <c r="AG17" s="33"/>
      <c r="AH17" s="206"/>
      <c r="AI17" s="233"/>
      <c r="AJ17" s="199"/>
      <c r="AL17" s="232"/>
      <c r="AM17" s="1588"/>
      <c r="AN17" s="1575"/>
      <c r="AO17" s="1575"/>
      <c r="AP17" s="1574" t="s">
        <v>249</v>
      </c>
      <c r="AQ17" s="1584" t="e">
        <f>(0.71*MAX(1.0274*(1+FFSpeedNB*MAX(1/NTS1NB-1/FFSpeedNB, 0))^1.2204-1,0)^0.56)*ImpactedNB/FFSpeedNB*3600</f>
        <v>#DIV/0!</v>
      </c>
      <c r="AR17" s="1585"/>
      <c r="AS17" s="964" t="e">
        <f t="shared" si="1"/>
        <v>#DIV/0!</v>
      </c>
      <c r="AT17" s="1586"/>
      <c r="AU17" s="1576"/>
      <c r="AV17" s="233"/>
    </row>
    <row r="18" spans="2:48" x14ac:dyDescent="0.25">
      <c r="B18" s="232"/>
      <c r="C18" s="203"/>
      <c r="D18" s="205"/>
      <c r="E18" s="207" t="s">
        <v>195</v>
      </c>
      <c r="F18" s="208"/>
      <c r="G18" s="205"/>
      <c r="H18" s="205"/>
      <c r="I18" s="205"/>
      <c r="J18" s="205"/>
      <c r="K18" s="206"/>
      <c r="L18" s="233"/>
      <c r="N18" s="232"/>
      <c r="O18" s="203"/>
      <c r="P18" s="205"/>
      <c r="Q18" s="205"/>
      <c r="R18" s="205"/>
      <c r="S18" s="205"/>
      <c r="T18" s="739"/>
      <c r="U18" s="205"/>
      <c r="V18" s="205"/>
      <c r="W18" s="206"/>
      <c r="X18" s="233"/>
      <c r="Y18" s="199"/>
      <c r="AA18" s="978"/>
      <c r="AB18" s="981"/>
      <c r="AC18" s="208" t="s">
        <v>386</v>
      </c>
      <c r="AD18" s="205"/>
      <c r="AE18" s="989">
        <f>SUM(AE9:AE15)</f>
        <v>0</v>
      </c>
      <c r="AF18" s="990">
        <f>SUM(AF9:AF15)</f>
        <v>0</v>
      </c>
      <c r="AG18" s="991">
        <f>AF18-AE18</f>
        <v>0</v>
      </c>
      <c r="AH18" s="206"/>
      <c r="AI18" s="233"/>
      <c r="AJ18" s="199"/>
      <c r="AL18" s="232"/>
      <c r="AM18" s="1588"/>
      <c r="AN18" s="1575"/>
      <c r="AO18" s="1575"/>
      <c r="AP18" s="1574"/>
      <c r="AQ18" s="1575"/>
      <c r="AR18" s="1587"/>
      <c r="AS18" s="1575"/>
      <c r="AT18" s="1575"/>
      <c r="AU18" s="1576"/>
      <c r="AV18" s="233"/>
    </row>
    <row r="19" spans="2:48" ht="13" x14ac:dyDescent="0.3">
      <c r="B19" s="232"/>
      <c r="C19" s="203"/>
      <c r="D19" s="205"/>
      <c r="E19" s="205"/>
      <c r="F19" s="208" t="s">
        <v>190</v>
      </c>
      <c r="G19" s="217">
        <f>IF(HwyRail,(ArrRate1*GateTime1/60)/(1-ArrRate1/DepRate1)*NumTrain1/AnnualFactor*(1-PerTruckNB),((1-PerPeakADT)*ADT1NB)*(1-IF(OR(AuxLane,OffRamp),PerWeaveNB,PerTruckNB)))</f>
        <v>0</v>
      </c>
      <c r="H19" s="218"/>
      <c r="I19" s="219">
        <f>IF(ISNUMBER(H19),H19,G19)</f>
        <v>0</v>
      </c>
      <c r="J19" s="214"/>
      <c r="K19" s="206"/>
      <c r="L19" s="233"/>
      <c r="N19" s="232"/>
      <c r="O19" s="556" t="s">
        <v>1</v>
      </c>
      <c r="P19" s="205"/>
      <c r="Q19" s="205"/>
      <c r="R19" s="205"/>
      <c r="S19" s="205"/>
      <c r="T19" s="739"/>
      <c r="U19" s="205"/>
      <c r="V19" s="205"/>
      <c r="W19" s="206"/>
      <c r="X19" s="233"/>
      <c r="Y19" s="199"/>
      <c r="AA19" s="978"/>
      <c r="AB19" s="982"/>
      <c r="AC19" s="61"/>
      <c r="AD19" s="61"/>
      <c r="AE19" s="210"/>
      <c r="AF19" s="210"/>
      <c r="AG19" s="988"/>
      <c r="AH19" s="211"/>
      <c r="AI19" s="233"/>
      <c r="AJ19" s="199"/>
      <c r="AL19" s="232"/>
      <c r="AM19" s="1589" t="s">
        <v>802</v>
      </c>
      <c r="AN19" s="1575"/>
      <c r="AO19" s="1575"/>
      <c r="AP19" s="1574"/>
      <c r="AQ19" s="1575"/>
      <c r="AR19" s="1587"/>
      <c r="AS19" s="1575"/>
      <c r="AT19" s="1575"/>
      <c r="AU19" s="1576"/>
      <c r="AV19" s="233"/>
    </row>
    <row r="20" spans="2:48" x14ac:dyDescent="0.25">
      <c r="B20" s="232"/>
      <c r="C20" s="203"/>
      <c r="D20" s="205"/>
      <c r="E20" s="205"/>
      <c r="F20" s="208" t="s">
        <v>491</v>
      </c>
      <c r="G20" s="220">
        <f>IF(OR(AuxLane,OffRamp),((1-PerPeakADT)*ADT1NB)*(PerWeaveNB-PerTruckNB),0)+IF(AuxLane,RampVolNP*(24-PeakLngthNB),0)</f>
        <v>0</v>
      </c>
      <c r="H20" s="791"/>
      <c r="I20" s="222">
        <f>IF(ISNUMBER(H20),H20,G20)</f>
        <v>0</v>
      </c>
      <c r="J20" s="792"/>
      <c r="K20" s="206"/>
      <c r="L20" s="233"/>
      <c r="N20" s="232"/>
      <c r="O20" s="203"/>
      <c r="P20" s="208"/>
      <c r="Q20" s="208" t="s">
        <v>863</v>
      </c>
      <c r="R20" s="208"/>
      <c r="S20" s="956">
        <f>IF(HwyRail,0,IF(ISNUMBER(AccStAvgNB),IF(ISNUMBER(AccStAvgB),PFatStAvgB*AccStAvgB,PFatStAvgNB*AccStAvgNB),FatalRateNB)*U15-IF(IM,0.21*FatalRateNB,0))</f>
        <v>5.0000000000000001E-3</v>
      </c>
      <c r="T20" s="957"/>
      <c r="U20" s="958">
        <f>IF(ISNUMBER(T20),ROUND(T20,3),S20)</f>
        <v>5.0000000000000001E-3</v>
      </c>
      <c r="V20" s="214"/>
      <c r="W20" s="206"/>
      <c r="X20" s="233"/>
      <c r="Y20" s="199"/>
      <c r="AA20" s="983"/>
      <c r="AB20" s="986"/>
      <c r="AC20" s="36"/>
      <c r="AD20" s="36"/>
      <c r="AE20" s="984"/>
      <c r="AF20" s="984"/>
      <c r="AG20" s="984"/>
      <c r="AH20" s="987"/>
      <c r="AI20" s="985"/>
      <c r="AJ20" s="987"/>
      <c r="AL20" s="232"/>
      <c r="AM20" s="1588"/>
      <c r="AN20" s="1575"/>
      <c r="AO20" s="1573" t="s">
        <v>188</v>
      </c>
      <c r="AP20" s="1574"/>
      <c r="AQ20" s="1575"/>
      <c r="AR20" s="1587"/>
      <c r="AS20" s="1590"/>
      <c r="AT20" s="1591"/>
      <c r="AU20" s="1576"/>
      <c r="AV20" s="233"/>
    </row>
    <row r="21" spans="2:48" ht="13" x14ac:dyDescent="0.3">
      <c r="B21" s="232"/>
      <c r="C21" s="203"/>
      <c r="D21" s="205"/>
      <c r="E21" s="205"/>
      <c r="F21" s="208" t="s">
        <v>191</v>
      </c>
      <c r="G21" s="220">
        <f>IF(HwyRail,(ArrRate1*GateTime1/60)/(1-ArrRate1/DepRate1)*NumTrain1/AnnualFactor*PerTruckNB,((1-PerPeakADT)*ADT1NB)*PerTruckNB)</f>
        <v>0</v>
      </c>
      <c r="H21" s="221"/>
      <c r="I21" s="222">
        <f>IF(ISNUMBER(H21),H21,G21)</f>
        <v>0</v>
      </c>
      <c r="J21" s="215"/>
      <c r="K21" s="206"/>
      <c r="L21" s="233"/>
      <c r="M21" s="641"/>
      <c r="N21" s="232"/>
      <c r="O21" s="203"/>
      <c r="P21" s="208"/>
      <c r="Q21" s="208" t="s">
        <v>864</v>
      </c>
      <c r="R21" s="208"/>
      <c r="S21" s="959">
        <f>IF(HwyRail,0,IF(ISNUMBER(AccStAvgNB),IF(ISNUMBER(AccStAvgB),PInjStAvgB*AccStAvgB,PInjStAvgNB*AccStAvgNB),InjuryRateNB)*U16+IF(IM,0.21*FatalRateNB,0))</f>
        <v>0.28000000000000003</v>
      </c>
      <c r="T21" s="960"/>
      <c r="U21" s="961">
        <f>IF(ISNUMBER(T21),ROUND(T21,2),S21)</f>
        <v>0.28000000000000003</v>
      </c>
      <c r="V21" s="215"/>
      <c r="W21" s="206"/>
      <c r="X21" s="233"/>
      <c r="Y21" s="199"/>
      <c r="AA21" s="232"/>
      <c r="AB21" s="200" t="s">
        <v>196</v>
      </c>
      <c r="AC21" s="201"/>
      <c r="AD21" s="201"/>
      <c r="AE21" s="201"/>
      <c r="AF21" s="201"/>
      <c r="AG21" s="201"/>
      <c r="AH21" s="202"/>
      <c r="AI21" s="233"/>
      <c r="AJ21" s="199"/>
      <c r="AL21" s="232"/>
      <c r="AM21" s="1588"/>
      <c r="AN21" s="1575"/>
      <c r="AO21" s="1574"/>
      <c r="AP21" s="1574" t="s">
        <v>247</v>
      </c>
      <c r="AQ21" s="1577" t="e">
        <f>AS9/AQ9</f>
        <v>#DIV/0!</v>
      </c>
      <c r="AR21" s="1578"/>
      <c r="AS21" s="1579" t="e">
        <f t="shared" ref="AS21:AS24" si="2">IF(ISNUMBER(AR21),AR21,AQ21)</f>
        <v>#DIV/0!</v>
      </c>
      <c r="AT21" s="1580"/>
      <c r="AU21" s="1576"/>
      <c r="AV21" s="233"/>
    </row>
    <row r="22" spans="2:48" ht="13" x14ac:dyDescent="0.3">
      <c r="B22" s="232"/>
      <c r="C22" s="203"/>
      <c r="D22" s="205"/>
      <c r="E22" s="205"/>
      <c r="F22" s="208" t="s">
        <v>194</v>
      </c>
      <c r="G22" s="223">
        <f>IF(HwyRail,IdleSpeed,IF(SUM(I19:I21)=0,55,MIN(FFSpeedNB/(1+GenAlphaNB*MIN(SUM(I19:I21)/((GenLanesNB+HOVLanesNB)*GenLaneCapNB*(24-PeakLngthNB)),MaxVC)^GenBetaNB),IF(Passing,AVERAGE(TruckSpeed,FFSpeedNB),FFSpeedNB)))*IF(FreeConn,VLOOKUP(PerWeaveNB,SpeedWeaveAdj,2),1)*IF(OR(HOVConn,HOVDrop),VLOOKUP(PerWeaveNB,SpeedWeaveAdj,3),1)*IF(Pavement,VLOOKUP(IRI1NB,SpeedPavAdj,2),1))</f>
        <v>55</v>
      </c>
      <c r="H22" s="224"/>
      <c r="I22" s="225">
        <f>MAX(IF(ISNUMBER(H22),H22,G22),5)</f>
        <v>55</v>
      </c>
      <c r="J22" s="215"/>
      <c r="K22" s="206"/>
      <c r="L22" s="233"/>
      <c r="N22" s="232"/>
      <c r="O22" s="203"/>
      <c r="P22" s="208"/>
      <c r="Q22" s="208" t="s">
        <v>865</v>
      </c>
      <c r="R22" s="208"/>
      <c r="S22" s="962">
        <f>IF(HwyRail,0,IF(ISNUMBER(AccStAvgNB),IF(ISNUMBER(AccStAvgB),(1-PFatStAvgB-PInjStAvgB)*AccStAvgB,(1-PFatStAvgNB-PInjStAvgNB)*AccStAvgNB),PDORateNB)*U17)</f>
        <v>0.61</v>
      </c>
      <c r="T22" s="963"/>
      <c r="U22" s="964">
        <f>IF(ISNUMBER(T22),ROUND(T22,2),S22)</f>
        <v>0.61</v>
      </c>
      <c r="V22" s="216"/>
      <c r="W22" s="206"/>
      <c r="X22" s="233"/>
      <c r="Y22" s="199"/>
      <c r="AA22" s="232"/>
      <c r="AB22" s="556"/>
      <c r="AC22" s="205"/>
      <c r="AD22" s="205"/>
      <c r="AE22" s="205"/>
      <c r="AF22" s="205"/>
      <c r="AG22" s="205"/>
      <c r="AH22" s="206"/>
      <c r="AI22" s="233"/>
      <c r="AJ22" s="199"/>
      <c r="AL22" s="232"/>
      <c r="AM22" s="1588"/>
      <c r="AN22" s="1575"/>
      <c r="AO22" s="1574"/>
      <c r="AP22" s="1574" t="s">
        <v>248</v>
      </c>
      <c r="AQ22" s="1581" t="e">
        <f t="shared" ref="AQ22:AQ24" si="3">AS10/AQ10</f>
        <v>#DIV/0!</v>
      </c>
      <c r="AR22" s="1582"/>
      <c r="AS22" s="961" t="e">
        <f t="shared" si="2"/>
        <v>#DIV/0!</v>
      </c>
      <c r="AT22" s="1583"/>
      <c r="AU22" s="1576"/>
      <c r="AV22" s="233"/>
    </row>
    <row r="23" spans="2:48" x14ac:dyDescent="0.25">
      <c r="B23" s="232"/>
      <c r="C23" s="203"/>
      <c r="D23" s="205"/>
      <c r="E23" s="205"/>
      <c r="F23" s="208" t="s">
        <v>492</v>
      </c>
      <c r="G23" s="788">
        <f>IF(NWV1NB=0,55,IF(OR(AuxLane,OffRamp),MAX(5,MIN(NNS1NB,1.1*(FFSpeedNB-(FFSpeedNB-42)*(0.321+0.0039*EXP((NWV1NB+NTV1NB)/NumDirections/(24-PeakLngthNB)/1000)-0.002*(IF(OffRamp,1083,SegmentNB*5280)*RampFFSpdNB/1000)))*IF(Pavement,VLOOKUP(IRI1NB,SpeedPavAdj,2),1))),NNS1NB))</f>
        <v>55</v>
      </c>
      <c r="H23" s="789"/>
      <c r="I23" s="225">
        <f>MAX(IF(ISNUMBER(H23),H23,G23),5)</f>
        <v>55</v>
      </c>
      <c r="J23" s="790"/>
      <c r="K23" s="206"/>
      <c r="L23" s="233"/>
      <c r="N23" s="232"/>
      <c r="O23" s="203"/>
      <c r="P23" s="208" t="s">
        <v>866</v>
      </c>
      <c r="Q23" s="208"/>
      <c r="R23" s="208"/>
      <c r="S23" s="965">
        <f>SUM(S20:S22)</f>
        <v>0.89500000000000002</v>
      </c>
      <c r="T23" s="205"/>
      <c r="U23" s="205"/>
      <c r="V23" s="205"/>
      <c r="W23" s="206"/>
      <c r="X23" s="233"/>
      <c r="Y23" s="199"/>
      <c r="AA23" s="978"/>
      <c r="AB23" s="981"/>
      <c r="AC23" s="208" t="s">
        <v>188</v>
      </c>
      <c r="AD23" s="205"/>
      <c r="AE23" s="205"/>
      <c r="AF23" s="205"/>
      <c r="AG23" s="205"/>
      <c r="AH23" s="206"/>
      <c r="AI23" s="233"/>
      <c r="AJ23" s="199"/>
      <c r="AL23" s="232"/>
      <c r="AM23" s="1588"/>
      <c r="AN23" s="1575"/>
      <c r="AO23" s="1574"/>
      <c r="AP23" s="1574" t="s">
        <v>501</v>
      </c>
      <c r="AQ23" s="1581" t="e">
        <f t="shared" si="3"/>
        <v>#DIV/0!</v>
      </c>
      <c r="AR23" s="1582"/>
      <c r="AS23" s="961" t="e">
        <f t="shared" si="2"/>
        <v>#DIV/0!</v>
      </c>
      <c r="AT23" s="1583"/>
      <c r="AU23" s="1576"/>
      <c r="AV23" s="233"/>
    </row>
    <row r="24" spans="2:48" x14ac:dyDescent="0.25">
      <c r="B24" s="232"/>
      <c r="C24" s="203"/>
      <c r="D24" s="205"/>
      <c r="E24" s="205"/>
      <c r="F24" s="208" t="s">
        <v>96</v>
      </c>
      <c r="G24" s="226">
        <f>IF(HwyRail,IdleSpeed,IF(NTV1NB=0,55,MIN(TruckSpeed,IF(OR(AuxLane,OffRamp),NWS1NB,NNS1NB)/IF(Pavement,VLOOKUP(IRI1NB,SpeedPavAdj,2),1)))*IF(Pavement,VLOOKUP(IRI1NB,SpeedPavAdj,3),1))</f>
        <v>55</v>
      </c>
      <c r="H24" s="227"/>
      <c r="I24" s="228">
        <f>MAX(IF(ISNUMBER(H24),H24,G24),5)</f>
        <v>55</v>
      </c>
      <c r="J24" s="216"/>
      <c r="K24" s="206"/>
      <c r="L24" s="233"/>
      <c r="M24" s="641"/>
      <c r="N24" s="232"/>
      <c r="O24" s="209"/>
      <c r="P24" s="210"/>
      <c r="Q24" s="210"/>
      <c r="R24" s="212"/>
      <c r="S24" s="210"/>
      <c r="T24" s="210"/>
      <c r="U24" s="210"/>
      <c r="V24" s="213"/>
      <c r="W24" s="211"/>
      <c r="X24" s="233"/>
      <c r="Y24" s="199"/>
      <c r="AA24" s="978"/>
      <c r="AB24" s="981"/>
      <c r="AC24" s="33"/>
      <c r="AD24" s="208" t="s">
        <v>343</v>
      </c>
      <c r="AE24" s="217">
        <f>PeakLngthNB*HOVvolNB*AVOHovNB*AnnualFactor</f>
        <v>0</v>
      </c>
      <c r="AF24" s="972">
        <f>PeakLngthNB*HOVvolB*AVOHovB*AnnualFactor</f>
        <v>0</v>
      </c>
      <c r="AG24" s="971"/>
      <c r="AH24" s="206"/>
      <c r="AI24" s="233"/>
      <c r="AJ24" s="199"/>
      <c r="AL24" s="232"/>
      <c r="AM24" s="1588"/>
      <c r="AN24" s="1575"/>
      <c r="AO24" s="1574"/>
      <c r="AP24" s="1574" t="s">
        <v>249</v>
      </c>
      <c r="AQ24" s="1584" t="e">
        <f t="shared" si="3"/>
        <v>#DIV/0!</v>
      </c>
      <c r="AR24" s="1585"/>
      <c r="AS24" s="964" t="e">
        <f t="shared" si="2"/>
        <v>#DIV/0!</v>
      </c>
      <c r="AT24" s="1586"/>
      <c r="AU24" s="1576"/>
      <c r="AV24" s="233"/>
    </row>
    <row r="25" spans="2:48" ht="13" thickBot="1" x14ac:dyDescent="0.3">
      <c r="B25" s="232"/>
      <c r="C25" s="203"/>
      <c r="D25" s="205"/>
      <c r="E25" s="205"/>
      <c r="F25" s="208"/>
      <c r="G25" s="205"/>
      <c r="H25" s="205"/>
      <c r="I25" s="205"/>
      <c r="J25" s="205"/>
      <c r="K25" s="206"/>
      <c r="L25" s="233"/>
      <c r="N25" s="236"/>
      <c r="O25" s="237"/>
      <c r="P25" s="237"/>
      <c r="Q25" s="237"/>
      <c r="R25" s="237"/>
      <c r="S25" s="237"/>
      <c r="T25" s="237"/>
      <c r="U25" s="237"/>
      <c r="V25" s="237"/>
      <c r="W25" s="237"/>
      <c r="X25" s="238"/>
      <c r="Y25" s="199"/>
      <c r="AA25" s="978"/>
      <c r="AB25" s="981"/>
      <c r="AC25" s="33"/>
      <c r="AD25" s="208" t="s">
        <v>344</v>
      </c>
      <c r="AE25" s="220">
        <f>(PerPeakADT*ADT20NB*(1-PerTruckNB)-PeakLngthNB*HOVvolNB+IF(AuxLane,RampVolP*PeakLngthNB,0))*AVOPeakNB*AnnualFactor</f>
        <v>0</v>
      </c>
      <c r="AF25" s="973">
        <f>(PerPeakADT*ADT20B*(1-PerTruckB)-PeakLngthNB*HOVvolB+IF(AuxLane,RampVolP*PeakLngthNB,0))*AVOPeakB*AnnualFactor</f>
        <v>0</v>
      </c>
      <c r="AG25" s="976">
        <f>IF(AF25-AE25=0,0,(AF25-AE25)/(SUM($AF$25:$AF$26)-SUM($AE$25:$AE$26))*(SUM($AF$24:$AF$26)-SUM($AE$24:$AE$26)))</f>
        <v>0</v>
      </c>
      <c r="AH25" s="206"/>
      <c r="AI25" s="233"/>
      <c r="AJ25" s="199"/>
      <c r="AL25" s="232"/>
      <c r="AM25" s="1588"/>
      <c r="AN25" s="1575"/>
      <c r="AO25" s="1574"/>
      <c r="AP25" s="1574"/>
      <c r="AQ25" s="1575"/>
      <c r="AR25" s="1587"/>
      <c r="AS25" s="1575"/>
      <c r="AT25" s="1575"/>
      <c r="AU25" s="1576"/>
      <c r="AV25" s="233"/>
    </row>
    <row r="26" spans="2:48" ht="13.5" thickTop="1" x14ac:dyDescent="0.3">
      <c r="B26" s="232"/>
      <c r="C26" s="203"/>
      <c r="D26" s="204" t="s">
        <v>196</v>
      </c>
      <c r="E26" s="205"/>
      <c r="F26" s="208"/>
      <c r="G26" s="205"/>
      <c r="H26" s="205"/>
      <c r="I26" s="205"/>
      <c r="J26" s="205"/>
      <c r="K26" s="206"/>
      <c r="L26" s="233"/>
      <c r="AA26" s="978"/>
      <c r="AB26" s="981"/>
      <c r="AC26" s="33"/>
      <c r="AD26" s="208" t="s">
        <v>345</v>
      </c>
      <c r="AE26" s="974">
        <f>PerPeakADT*ADT20NB*PerTruckNB*AnnualFactor</f>
        <v>0</v>
      </c>
      <c r="AF26" s="975">
        <f>PerPeakADT*ADT20B*PerTruckB*AnnualFactor</f>
        <v>0</v>
      </c>
      <c r="AG26" s="977">
        <f>IF(AF26-AE26=0,0,(AF26-AE26)/(SUM($AF$25:$AF$26)-SUM($AE$25:$AE$26))*(SUM($AF$24:$AF$26)-SUM($AE$24:$AE$26)))</f>
        <v>0</v>
      </c>
      <c r="AH26" s="206"/>
      <c r="AI26" s="233"/>
      <c r="AJ26" s="199"/>
      <c r="AL26" s="232"/>
      <c r="AM26" s="1588"/>
      <c r="AN26" s="1575"/>
      <c r="AO26" s="1573" t="s">
        <v>195</v>
      </c>
      <c r="AP26" s="1574"/>
      <c r="AQ26" s="1575"/>
      <c r="AR26" s="1587"/>
      <c r="AS26" s="1575"/>
      <c r="AT26" s="1575"/>
      <c r="AU26" s="1576"/>
      <c r="AV26" s="233"/>
    </row>
    <row r="27" spans="2:48" x14ac:dyDescent="0.25">
      <c r="B27" s="232"/>
      <c r="C27" s="203"/>
      <c r="D27" s="205"/>
      <c r="E27" s="207" t="s">
        <v>188</v>
      </c>
      <c r="F27" s="208"/>
      <c r="G27" s="205"/>
      <c r="H27" s="205"/>
      <c r="I27" s="205"/>
      <c r="J27" s="205"/>
      <c r="K27" s="206"/>
      <c r="L27" s="233"/>
      <c r="AA27" s="978"/>
      <c r="AB27" s="981"/>
      <c r="AC27" s="205"/>
      <c r="AD27" s="205"/>
      <c r="AE27" s="33"/>
      <c r="AF27" s="33"/>
      <c r="AG27" s="33"/>
      <c r="AH27" s="206"/>
      <c r="AI27" s="233"/>
      <c r="AJ27" s="199"/>
      <c r="AL27" s="232"/>
      <c r="AM27" s="1588"/>
      <c r="AN27" s="1575"/>
      <c r="AO27" s="1574"/>
      <c r="AP27" s="1574" t="s">
        <v>248</v>
      </c>
      <c r="AQ27" s="1577" t="e">
        <f t="shared" ref="AQ27:AQ29" si="4">AS15/AQ15</f>
        <v>#DIV/0!</v>
      </c>
      <c r="AR27" s="1578"/>
      <c r="AS27" s="1579" t="e">
        <f t="shared" ref="AS27:AS29" si="5">IF(ISNUMBER(AR27),AR27,AQ27)</f>
        <v>#DIV/0!</v>
      </c>
      <c r="AT27" s="1580"/>
      <c r="AU27" s="1576"/>
      <c r="AV27" s="233"/>
    </row>
    <row r="28" spans="2:48" x14ac:dyDescent="0.25">
      <c r="B28" s="232"/>
      <c r="C28" s="203"/>
      <c r="D28" s="205"/>
      <c r="E28" s="205"/>
      <c r="F28" s="208" t="s">
        <v>189</v>
      </c>
      <c r="G28" s="217">
        <f>IF(HwyRail,0,IF(Queuing,PeakLngthNB*(DepRate1-ADT1NB*(1-PerPeakADT)/(24-PeakLngthNB))/(ADT1NB/ADT20NB*DepRate20-ADT1NB*(1-PerPeakADT)/(24-PeakLngthNB)),PeakLngthNB)*HOVvolNB*IF(OR(HOVConn,HOVDrop),1-PerWeaveNB,1))</f>
        <v>0</v>
      </c>
      <c r="H28" s="218"/>
      <c r="I28" s="219">
        <f>IF(ISNUMBER(H28),H28,G28)</f>
        <v>0</v>
      </c>
      <c r="J28" s="214"/>
      <c r="K28" s="206"/>
      <c r="L28" s="233"/>
      <c r="AA28" s="978"/>
      <c r="AB28" s="981"/>
      <c r="AC28" s="208" t="s">
        <v>195</v>
      </c>
      <c r="AD28" s="33"/>
      <c r="AE28" s="205"/>
      <c r="AF28" s="205"/>
      <c r="AG28" s="205"/>
      <c r="AH28" s="206"/>
      <c r="AI28" s="233"/>
      <c r="AJ28" s="199"/>
      <c r="AL28" s="232"/>
      <c r="AM28" s="1588"/>
      <c r="AN28" s="1575"/>
      <c r="AO28" s="1574"/>
      <c r="AP28" s="1574" t="s">
        <v>501</v>
      </c>
      <c r="AQ28" s="1581" t="e">
        <f t="shared" si="4"/>
        <v>#DIV/0!</v>
      </c>
      <c r="AR28" s="1582"/>
      <c r="AS28" s="961" t="e">
        <f t="shared" si="5"/>
        <v>#DIV/0!</v>
      </c>
      <c r="AT28" s="1583"/>
      <c r="AU28" s="1576"/>
      <c r="AV28" s="233"/>
    </row>
    <row r="29" spans="2:48" x14ac:dyDescent="0.25">
      <c r="B29" s="232"/>
      <c r="C29" s="203"/>
      <c r="D29" s="205"/>
      <c r="E29" s="205"/>
      <c r="F29" s="208" t="s">
        <v>190</v>
      </c>
      <c r="G29" s="220">
        <f>IF(HwyRail,0,IF(Queuing,PeakLngthNB*(DepRate1-ADT1NB*(1-PerPeakADT)/(24-PeakLngthNB))/(ADT1NB/ADT20NB*DepRate20-ADT1NB*(1-PerPeakADT)/(24-PeakLngthNB))*DepRate20,PerPeakADT*ADT20NB)*(1-IF(OR(AuxLane,OffRamp),PerWeaveNB,PerTruckNB)-IF(Queuing,HOVvolNB/DepRate20,0))*VLOOKUP(TMSLookup,TMSAdj,3)-IF(Queuing,0,HOVvolNB*PeakLngthNB))</f>
        <v>0</v>
      </c>
      <c r="H29" s="221"/>
      <c r="I29" s="222">
        <f>IF(ISNUMBER(H29),H29,G29)</f>
        <v>0</v>
      </c>
      <c r="J29" s="215"/>
      <c r="K29" s="206"/>
      <c r="L29" s="233"/>
      <c r="R29" s="641"/>
      <c r="AA29" s="978"/>
      <c r="AB29" s="981"/>
      <c r="AC29" s="33"/>
      <c r="AD29" s="208" t="s">
        <v>344</v>
      </c>
      <c r="AE29" s="217">
        <f>((1-PerPeakADT)*ADT20NB*(1-PerTruckNB)+IF(AuxLane,RampVolNP*(24-PeakLngthNB),0))*AVONonNB*AnnualFactor</f>
        <v>0</v>
      </c>
      <c r="AF29" s="972">
        <f>((1-PerPeakADT)*ADT20B*(1-PerTruckB)+IF(AuxLane,RampVolNP*(24-PeakLngthNB),0))*AVONonB*AnnualFactor</f>
        <v>0</v>
      </c>
      <c r="AG29" s="976">
        <f>AF29-AE29</f>
        <v>0</v>
      </c>
      <c r="AH29" s="206"/>
      <c r="AI29" s="233"/>
      <c r="AJ29" s="199"/>
      <c r="AL29" s="232"/>
      <c r="AM29" s="1588"/>
      <c r="AN29" s="1575"/>
      <c r="AO29" s="1575"/>
      <c r="AP29" s="1574" t="s">
        <v>249</v>
      </c>
      <c r="AQ29" s="1584" t="e">
        <f t="shared" si="4"/>
        <v>#DIV/0!</v>
      </c>
      <c r="AR29" s="1585"/>
      <c r="AS29" s="964" t="e">
        <f t="shared" si="5"/>
        <v>#DIV/0!</v>
      </c>
      <c r="AT29" s="1586"/>
      <c r="AU29" s="1576"/>
      <c r="AV29" s="233"/>
    </row>
    <row r="30" spans="2:48" x14ac:dyDescent="0.25">
      <c r="B30" s="232"/>
      <c r="C30" s="203"/>
      <c r="D30" s="205"/>
      <c r="E30" s="205"/>
      <c r="F30" s="208" t="s">
        <v>491</v>
      </c>
      <c r="G30" s="220">
        <f>IF(OR(AuxLane,OffRamp),(PerPeakADT*ADT20NB)*(PerWeaveNB-PerTruckNB)*VLOOKUP(TMSLookup,TMSAdj,3),0)+IF(AuxLane,RampVolP*PeakLngthNB,0)+IF(OR(HOVConn,HOVDrop),PerWeaveNB*HOVvolNB*PeakLngthNB,0)</f>
        <v>0</v>
      </c>
      <c r="H30" s="221"/>
      <c r="I30" s="222">
        <f>IF(ISNUMBER(H30),H30,G30)</f>
        <v>0</v>
      </c>
      <c r="J30" s="215"/>
      <c r="K30" s="206"/>
      <c r="L30" s="233"/>
      <c r="AA30" s="978"/>
      <c r="AB30" s="981"/>
      <c r="AC30" s="33"/>
      <c r="AD30" s="208" t="s">
        <v>345</v>
      </c>
      <c r="AE30" s="974">
        <f>(1-PerPeakADT)*ADT20NB*PerTruckNB*AnnualFactor</f>
        <v>0</v>
      </c>
      <c r="AF30" s="975">
        <f>(1-PerPeakADT)*ADT20B*PerTruckB*AnnualFactor</f>
        <v>0</v>
      </c>
      <c r="AG30" s="977">
        <f>AF30-AE30</f>
        <v>0</v>
      </c>
      <c r="AH30" s="206"/>
      <c r="AI30" s="233"/>
      <c r="AJ30" s="199"/>
      <c r="AL30" s="232"/>
      <c r="AM30" s="1592"/>
      <c r="AN30" s="1593"/>
      <c r="AO30" s="1593"/>
      <c r="AP30" s="1593"/>
      <c r="AQ30" s="1593"/>
      <c r="AR30" s="1594"/>
      <c r="AS30" s="1593"/>
      <c r="AT30" s="1593"/>
      <c r="AU30" s="1595"/>
      <c r="AV30" s="233"/>
    </row>
    <row r="31" spans="2:48" ht="13" thickBot="1" x14ac:dyDescent="0.3">
      <c r="B31" s="232"/>
      <c r="C31" s="203"/>
      <c r="D31" s="205"/>
      <c r="E31" s="205"/>
      <c r="F31" s="208" t="s">
        <v>191</v>
      </c>
      <c r="G31" s="220">
        <f>IF(HwyRail,0,IF(Queuing,PeakLngthNB*(DepRate1-ADT1NB*(1-PerPeakADT)/(24-PeakLngthNB))/(ADT1NB/ADT20NB*DepRate20-ADT1NB*(1-PerPeakADT)/(24-PeakLngthNB))*DepRate20,PerPeakADT*ADT20NB)*PerTruckNB*VLOOKUP(TMSLookup,TMSAdj,3))</f>
        <v>0</v>
      </c>
      <c r="H31" s="221"/>
      <c r="I31" s="222">
        <f>IF(ISNUMBER(H31),H31,G31)</f>
        <v>0</v>
      </c>
      <c r="J31" s="215"/>
      <c r="K31" s="206"/>
      <c r="L31" s="233"/>
      <c r="AA31" s="978"/>
      <c r="AB31" s="981"/>
      <c r="AC31" s="33"/>
      <c r="AD31" s="208"/>
      <c r="AE31" s="205"/>
      <c r="AF31" s="205"/>
      <c r="AG31" s="205"/>
      <c r="AH31" s="206"/>
      <c r="AI31" s="233"/>
      <c r="AJ31" s="199"/>
      <c r="AL31" s="236"/>
      <c r="AM31" s="237"/>
      <c r="AN31" s="237"/>
      <c r="AO31" s="237"/>
      <c r="AP31" s="237"/>
      <c r="AQ31" s="237"/>
      <c r="AR31" s="237"/>
      <c r="AS31" s="237"/>
      <c r="AT31" s="237"/>
      <c r="AU31" s="237"/>
      <c r="AV31" s="238"/>
    </row>
    <row r="32" spans="2:48" ht="13" thickTop="1" x14ac:dyDescent="0.25">
      <c r="B32" s="232"/>
      <c r="C32" s="203"/>
      <c r="D32" s="205"/>
      <c r="E32" s="205"/>
      <c r="F32" s="208" t="s">
        <v>192</v>
      </c>
      <c r="G32" s="223">
        <f>IF(PHV20NB=0,55,IF(HOVLanesNB=0,PNS20NB,IF(Queuing,ImpactedNB/(MAX(PeakLngthNB/DepRate20/2*(ArrRate20-DepRate20)*(DepRate1-ADT1NB*(1-PerPeakADT)/(24-PeakLngthNB))/(ArrRate1-ADT1NB*(1-PerPeakADT)/(24-PeakLngthNB)),0)+ImpactedNB/FFSpeedNB),FFSpeedNB/(1+HOVAlpha*MIN(PHV20NB/(HOVLanesNB*HOVLaneCap*PeakLngthNB),MaxVC)^HOVBeta))*IF(Pavement,VLOOKUP(IRI20NB,SpeedPavAdj,2),1)))</f>
        <v>55</v>
      </c>
      <c r="H32" s="224"/>
      <c r="I32" s="225">
        <f>MAX(IF(ISNUMBER(H32),H32,G32),5)</f>
        <v>55</v>
      </c>
      <c r="J32" s="215"/>
      <c r="K32" s="206"/>
      <c r="L32" s="233"/>
      <c r="AA32" s="978"/>
      <c r="AB32" s="981"/>
      <c r="AC32" s="33"/>
      <c r="AD32" s="208"/>
      <c r="AE32" s="33"/>
      <c r="AF32" s="33"/>
      <c r="AG32" s="33"/>
      <c r="AH32" s="206"/>
      <c r="AI32" s="233"/>
      <c r="AJ32" s="199"/>
    </row>
    <row r="33" spans="2:36" x14ac:dyDescent="0.25">
      <c r="B33" s="232"/>
      <c r="C33" s="203"/>
      <c r="D33" s="205"/>
      <c r="E33" s="205"/>
      <c r="F33" s="208" t="s">
        <v>194</v>
      </c>
      <c r="G33" s="223">
        <f>IF(SUM(I28:I31)=0,55,IF(Queuing,ImpactedNB/(MAX(PeakLngthNB/DepRate20/2*(ArrRate20-DepRate20)*(DepRate1-ADT1NB*(1-PerPeakADT)/(24-PeakLngthNB))/(ArrRate1-ADT1NB*(1-PerPeakADT)/(24-PeakLngthNB)),0)+ImpactedNB/FFSpeedNB),MIN(FFSpeedNB/(1+GenAlphaNB*MIN(SUM(IF(HOVLanesNB=0,I28:I31,I29:I31))/(GenLanesNB*GenLaneCapNB*PeakLngthNB),MaxVC)^GenBetaNB)*VLOOKUP(TMSLookup,TMSAdj,2),IF(Passing,AVERAGE(TruckSpeed,FFSpeedNB),FFSpeedNB))))*IF(FreeConn,VLOOKUP(PerWeaveNB,SpeedWeaveAdj,2),1)*IF(OR(HOVConn,HOVDrop),VLOOKUP(PerWeaveNB,SpeedWeaveAdj,3),1)*IF(Pavement,VLOOKUP(IRI20NB,SpeedPavAdj,2),1)</f>
        <v>55</v>
      </c>
      <c r="H33" s="224"/>
      <c r="I33" s="225">
        <f>MAX(IF(ISNUMBER(H33),H33,G33),5)</f>
        <v>55</v>
      </c>
      <c r="J33" s="215"/>
      <c r="K33" s="206"/>
      <c r="L33" s="233"/>
      <c r="AA33" s="978"/>
      <c r="AB33" s="981"/>
      <c r="AC33" s="208" t="s">
        <v>386</v>
      </c>
      <c r="AD33" s="205"/>
      <c r="AE33" s="989">
        <f>SUM(AE24:AE30)</f>
        <v>0</v>
      </c>
      <c r="AF33" s="990">
        <f>SUM(AF24:AF30)</f>
        <v>0</v>
      </c>
      <c r="AG33" s="991">
        <f>AF33-AE33</f>
        <v>0</v>
      </c>
      <c r="AH33" s="206"/>
      <c r="AI33" s="233"/>
      <c r="AJ33" s="199"/>
    </row>
    <row r="34" spans="2:36" ht="13" thickBot="1" x14ac:dyDescent="0.3">
      <c r="B34" s="232"/>
      <c r="C34" s="203"/>
      <c r="D34" s="205"/>
      <c r="E34" s="205"/>
      <c r="F34" s="208" t="s">
        <v>492</v>
      </c>
      <c r="G34" s="788">
        <f>IF(PWV20NB=0,55,IF(OR(AuxLane,OffRamp),MAX(5,MIN(PNS20NB,1.1*(FFSpeedNB-(FFSpeedNB-42)*(0.321+0.0039*EXP((PWV20NB+PTV20NB)/NumDirections/PeakLngthNB/1000)-0.002*(IF(OffRamp,1083,SegmentNB*5280)*RampFFSpdNB/1000)))*VLOOKUP(TMSLookup,TMSAdj,2)*IF(Pavement,VLOOKUP(IRI20NB,SpeedPavAdj,2),1))),PNS20NB))</f>
        <v>55</v>
      </c>
      <c r="H34" s="789"/>
      <c r="I34" s="225">
        <f>MAX(IF(ISNUMBER(H34),H34,G34),5)</f>
        <v>55</v>
      </c>
      <c r="J34" s="790"/>
      <c r="K34" s="206"/>
      <c r="L34" s="233"/>
      <c r="AA34" s="978"/>
      <c r="AB34" s="982"/>
      <c r="AC34" s="210"/>
      <c r="AD34" s="210"/>
      <c r="AE34" s="210"/>
      <c r="AF34" s="210"/>
      <c r="AG34" s="210"/>
      <c r="AH34" s="211"/>
      <c r="AI34" s="233"/>
      <c r="AJ34" s="199"/>
    </row>
    <row r="35" spans="2:36" ht="13.5" thickTop="1" thickBot="1" x14ac:dyDescent="0.3">
      <c r="B35" s="232"/>
      <c r="C35" s="203"/>
      <c r="D35" s="205"/>
      <c r="E35" s="205"/>
      <c r="F35" s="208" t="s">
        <v>96</v>
      </c>
      <c r="G35" s="226">
        <f>IF(PTV20NB=0,55,MIN(TruckSpeed,IF(OR(AuxLane,OffRamp),PWS20NB,PNS20NB)/IF(Pavement,VLOOKUP(IRI20NB,SpeedPavAdj,2),1)))*IF(Pavement,VLOOKUP(IRI20NB,SpeedPavAdj,3),1)</f>
        <v>55</v>
      </c>
      <c r="H35" s="227"/>
      <c r="I35" s="228">
        <f>MAX(IF(ISNUMBER(H35),H35,G35),5)</f>
        <v>55</v>
      </c>
      <c r="J35" s="216"/>
      <c r="K35" s="206"/>
      <c r="L35" s="233"/>
      <c r="N35" s="229"/>
      <c r="O35" s="53"/>
      <c r="P35" s="2"/>
      <c r="Q35" s="2"/>
      <c r="R35" s="2"/>
      <c r="S35" s="2"/>
      <c r="T35" s="2"/>
      <c r="U35" s="53"/>
      <c r="V35" s="53"/>
      <c r="W35" s="230"/>
      <c r="X35" s="231"/>
      <c r="Y35" s="199"/>
      <c r="AA35" s="979"/>
      <c r="AB35" s="980"/>
      <c r="AC35" s="237"/>
      <c r="AD35" s="237"/>
      <c r="AE35" s="237"/>
      <c r="AF35" s="237"/>
      <c r="AG35" s="237"/>
      <c r="AH35" s="237"/>
      <c r="AI35" s="238"/>
      <c r="AJ35" s="199"/>
    </row>
    <row r="36" spans="2:36" ht="18.5" thickTop="1" x14ac:dyDescent="0.25">
      <c r="B36" s="232"/>
      <c r="C36" s="203"/>
      <c r="D36" s="205"/>
      <c r="E36" s="205"/>
      <c r="F36" s="208"/>
      <c r="G36" s="205"/>
      <c r="H36" s="205"/>
      <c r="I36" s="205"/>
      <c r="J36" s="205"/>
      <c r="K36" s="206"/>
      <c r="L36" s="233"/>
      <c r="N36" s="232"/>
      <c r="O36" s="26"/>
      <c r="P36" s="19" t="s">
        <v>535</v>
      </c>
      <c r="Q36" s="21"/>
      <c r="R36" s="21" t="s">
        <v>537</v>
      </c>
      <c r="S36" s="47"/>
      <c r="T36" s="3"/>
      <c r="U36" s="3"/>
      <c r="V36" s="198"/>
      <c r="W36" s="199"/>
      <c r="X36" s="233"/>
      <c r="Y36" s="199"/>
      <c r="AA36" s="555"/>
      <c r="AB36" s="555"/>
    </row>
    <row r="37" spans="2:36" x14ac:dyDescent="0.25">
      <c r="B37" s="232"/>
      <c r="C37" s="203"/>
      <c r="D37" s="205"/>
      <c r="E37" s="207" t="s">
        <v>195</v>
      </c>
      <c r="F37" s="208"/>
      <c r="G37" s="205"/>
      <c r="H37" s="205"/>
      <c r="I37" s="205"/>
      <c r="J37" s="205"/>
      <c r="K37" s="206"/>
      <c r="L37" s="233"/>
      <c r="N37" s="232"/>
      <c r="O37" s="26"/>
      <c r="P37" s="26"/>
      <c r="Q37" s="26"/>
      <c r="R37" s="843" t="s">
        <v>584</v>
      </c>
      <c r="S37" s="198"/>
      <c r="T37" s="198"/>
      <c r="U37" s="198"/>
      <c r="V37" s="198"/>
      <c r="W37" s="844"/>
      <c r="X37" s="233"/>
      <c r="Y37" s="199"/>
      <c r="AA37" s="555"/>
      <c r="AB37" s="555"/>
    </row>
    <row r="38" spans="2:36" x14ac:dyDescent="0.25">
      <c r="B38" s="232"/>
      <c r="C38" s="203"/>
      <c r="D38" s="205"/>
      <c r="E38" s="205"/>
      <c r="F38" s="208" t="s">
        <v>190</v>
      </c>
      <c r="G38" s="217">
        <f>IF(HwyRail,(ArrRate20*GateTime20/60)/(1-ArrRate20/DepRate20)*NumTrain20/AnnualFactor*(1-PerTruckNB),IF(Queuing,ADT20NB-PeakLngthNB*(DepRate1-ADT1NB*(1-PerPeakADT)/(24-PeakLngthNB))/(ADT1NB/ADT20NB*DepRate20-ADT1NB*(1-PerPeakADT)/(24-PeakLngthNB))*DepRate20,(1-PerPeakADT)*ADT20NB)*(1-IF(OR(AuxLane,OffRamp),PerWeaveNB,PerTruckNB)))</f>
        <v>0</v>
      </c>
      <c r="H38" s="218"/>
      <c r="I38" s="219">
        <f>IF(ISNUMBER(H38),H38,G38)</f>
        <v>0</v>
      </c>
      <c r="J38" s="214"/>
      <c r="K38" s="206"/>
      <c r="L38" s="233"/>
      <c r="N38" s="232"/>
      <c r="O38" s="26"/>
      <c r="P38" s="26"/>
      <c r="Q38" s="26"/>
      <c r="R38" s="843"/>
      <c r="S38" s="198"/>
      <c r="T38" s="198"/>
      <c r="U38" s="198"/>
      <c r="V38" s="198"/>
      <c r="W38" s="844"/>
      <c r="X38" s="233"/>
      <c r="Y38" s="199"/>
      <c r="AA38" s="555"/>
      <c r="AB38" s="555"/>
    </row>
    <row r="39" spans="2:36" x14ac:dyDescent="0.25">
      <c r="B39" s="232"/>
      <c r="C39" s="203"/>
      <c r="D39" s="205"/>
      <c r="E39" s="205"/>
      <c r="F39" s="208" t="s">
        <v>491</v>
      </c>
      <c r="G39" s="220">
        <f>IF(OR(AuxLane,OffRamp),((1-PerPeakADT)*ADT20NB)*(PerWeaveNB-PerTruckNB),0)+IF(AuxLane,RampVolNP*(24-PeakLngthNB),0)</f>
        <v>0</v>
      </c>
      <c r="H39" s="791"/>
      <c r="I39" s="222">
        <f>IF(ISNUMBER(H39),H39,G39)</f>
        <v>0</v>
      </c>
      <c r="J39" s="792"/>
      <c r="K39" s="206"/>
      <c r="L39" s="233"/>
      <c r="N39" s="232"/>
      <c r="O39" s="858"/>
      <c r="P39" s="849"/>
      <c r="Q39" s="849"/>
      <c r="R39" s="849"/>
      <c r="S39" s="849"/>
      <c r="T39" s="849"/>
      <c r="U39" s="856"/>
      <c r="V39" s="198"/>
      <c r="W39" s="844"/>
      <c r="X39" s="233"/>
      <c r="Y39" s="199"/>
      <c r="AA39" s="555"/>
      <c r="AB39" s="555"/>
    </row>
    <row r="40" spans="2:36" ht="13" x14ac:dyDescent="0.3">
      <c r="B40" s="232"/>
      <c r="C40" s="203"/>
      <c r="D40" s="205"/>
      <c r="E40" s="205"/>
      <c r="F40" s="208" t="s">
        <v>191</v>
      </c>
      <c r="G40" s="220">
        <f>IF(HwyRail,(ArrRate20*GateTime20/60)/(1-ArrRate20/DepRate20)*NumTrain20/AnnualFactor*PerTruckNB,IF(Queuing,ADT20NB-PeakLngthNB*(DepRate1-ADT1NB*(1-PerPeakADT)/(24-PeakLngthNB))/(ADT1NB/ADT20NB*DepRate20-ADT1NB*(1-PerPeakADT)/(24-PeakLngthNB))*DepRate20,(1-PerPeakADT)*ADT20NB)*PerTruckNB)</f>
        <v>0</v>
      </c>
      <c r="H40" s="221"/>
      <c r="I40" s="222">
        <f>IF(ISNUMBER(H40),H40,G40)</f>
        <v>0</v>
      </c>
      <c r="J40" s="215"/>
      <c r="K40" s="206"/>
      <c r="L40" s="233"/>
      <c r="N40" s="232"/>
      <c r="O40" s="556" t="s">
        <v>549</v>
      </c>
      <c r="P40" s="33"/>
      <c r="Q40" s="33"/>
      <c r="R40" s="855"/>
      <c r="S40" s="850"/>
      <c r="T40" s="866" t="str">
        <f>IF(SUM(T43:T44,T51:T54,T57:T60,T65:T68,T71:T74)&gt;0,"Y","N")</f>
        <v>N</v>
      </c>
      <c r="U40" s="672"/>
      <c r="V40" s="852"/>
      <c r="W40" s="853"/>
      <c r="X40" s="233"/>
      <c r="Y40" s="199"/>
      <c r="AA40" s="555"/>
      <c r="AB40" s="555"/>
    </row>
    <row r="41" spans="2:36" ht="13" x14ac:dyDescent="0.3">
      <c r="B41" s="232"/>
      <c r="C41" s="203"/>
      <c r="D41" s="205"/>
      <c r="E41" s="205"/>
      <c r="F41" s="208" t="s">
        <v>194</v>
      </c>
      <c r="G41" s="223">
        <f>IF(HwyRail,IdleSpeed,IF(SUM(I38:I40)=0,55,MIN(FFSpeedNB/(1+GenAlphaNB*MIN(SUM(I38:I40)/((GenLanesNB+HOVLanesNB)*GenLaneCapNB*(24-PeakLngthNB*IF(Queuing,(DepRate1-ADT1NB*(1-PerPeakADT)/(24-PeakLngthNB))/(ADT1NB/ADT20NB*DepRate20-ADT1NB*(1-PerPeakADT)/(24-PeakLngthNB)),1))),MaxVC)^GenBetaNB),IF(Passing,AVERAGE(TruckSpeed,FFSpeedNB),FFSpeedNB)))*IF(FreeConn,VLOOKUP(PerWeaveNB,SpeedWeaveAdj,2),1)*IF(OR(HOVConn,HOVDrop),VLOOKUP(PerWeaveNB,SpeedWeaveAdj,3),1)*IF(Pavement,VLOOKUP(IRI20NB,SpeedPavAdj,2),1))</f>
        <v>55</v>
      </c>
      <c r="H41" s="224"/>
      <c r="I41" s="225">
        <f>MAX(IF(ISNUMBER(H41),H41,G41),5)</f>
        <v>55</v>
      </c>
      <c r="J41" s="215"/>
      <c r="K41" s="206"/>
      <c r="L41" s="233"/>
      <c r="N41" s="232"/>
      <c r="O41" s="556"/>
      <c r="P41" s="33"/>
      <c r="Q41" s="33"/>
      <c r="R41" s="855"/>
      <c r="S41" s="850"/>
      <c r="T41" s="850"/>
      <c r="U41" s="672"/>
      <c r="V41" s="852"/>
      <c r="W41" s="853"/>
      <c r="X41" s="233"/>
      <c r="Y41" s="199"/>
      <c r="AA41" s="555"/>
      <c r="AB41" s="555"/>
    </row>
    <row r="42" spans="2:36" ht="13" x14ac:dyDescent="0.3">
      <c r="B42" s="232"/>
      <c r="C42" s="203"/>
      <c r="D42" s="205"/>
      <c r="E42" s="205"/>
      <c r="F42" s="208" t="s">
        <v>492</v>
      </c>
      <c r="G42" s="788">
        <f>IF(NWV20NB=0,55,IF(OR(AuxLane,OffRamp),MAX(5,MIN(NNS20NB,1.1*(FFSpeedNB-(FFSpeedNB-42)*(0.321+0.0039*EXP((NWV20NB+NTV20NB)/NumDirections/(24-PeakLngthNB)/1000)-0.002*(IF(OffRamp,1083,SegmentNB*5280)*RampFFSpdNB/1000)))*IF(Pavement,VLOOKUP(IRI20NB,SpeedPavAdj,2),1))),NNS20NB))</f>
        <v>55</v>
      </c>
      <c r="H42" s="789"/>
      <c r="I42" s="225">
        <f>MAX(IF(ISNUMBER(H42),H42,G42),5)</f>
        <v>55</v>
      </c>
      <c r="J42" s="790"/>
      <c r="K42" s="206"/>
      <c r="L42" s="233"/>
      <c r="N42" s="232"/>
      <c r="O42" s="556" t="s">
        <v>550</v>
      </c>
      <c r="P42" s="33"/>
      <c r="Q42" s="33"/>
      <c r="R42" s="208"/>
      <c r="S42" s="850"/>
      <c r="T42" s="850"/>
      <c r="U42" s="672"/>
      <c r="V42" s="852"/>
      <c r="W42" s="853"/>
      <c r="X42" s="233"/>
      <c r="Y42" s="199"/>
      <c r="AA42" s="555"/>
      <c r="AB42" s="555"/>
    </row>
    <row r="43" spans="2:36" x14ac:dyDescent="0.25">
      <c r="B43" s="232"/>
      <c r="C43" s="203"/>
      <c r="D43" s="205"/>
      <c r="E43" s="205"/>
      <c r="F43" s="208" t="s">
        <v>96</v>
      </c>
      <c r="G43" s="226">
        <f>IF(HwyRail,IdleSpeed,IF(NTV20NB=0,55,MIN(TruckSpeed,IF(OR(AuxLane,OffRamp),NWS20NB,NNS20NB)/IF(Pavement,VLOOKUP(IRI20NB,SpeedPavAdj,2),1)))*IF(Pavement,VLOOKUP(IRI20NB,SpeedPavAdj,3),1))</f>
        <v>55</v>
      </c>
      <c r="H43" s="227"/>
      <c r="I43" s="228">
        <f>MAX(IF(ISNUMBER(H43),H43,G43),5)</f>
        <v>55</v>
      </c>
      <c r="J43" s="216"/>
      <c r="K43" s="206"/>
      <c r="L43" s="233"/>
      <c r="N43" s="232"/>
      <c r="O43" s="57"/>
      <c r="P43" s="33"/>
      <c r="Q43" s="33"/>
      <c r="R43" s="208" t="s">
        <v>547</v>
      </c>
      <c r="S43" s="850"/>
      <c r="T43" s="867"/>
      <c r="U43" s="672" t="s">
        <v>262</v>
      </c>
      <c r="V43" s="859" t="str">
        <f>IF(ASM,"",IF(AND(ISBLANK(T43),RADataAvail="Y"),"&lt;-- Please enter aggregate segment length",""))</f>
        <v/>
      </c>
      <c r="W43" s="853"/>
      <c r="X43" s="233"/>
      <c r="Y43" s="199"/>
      <c r="AA43" s="555"/>
      <c r="AB43" s="555"/>
    </row>
    <row r="44" spans="2:36" x14ac:dyDescent="0.25">
      <c r="B44" s="232"/>
      <c r="C44" s="209"/>
      <c r="D44" s="210"/>
      <c r="E44" s="210"/>
      <c r="F44" s="213"/>
      <c r="G44" s="210"/>
      <c r="H44" s="210"/>
      <c r="I44" s="210"/>
      <c r="J44" s="213"/>
      <c r="K44" s="211"/>
      <c r="L44" s="233"/>
      <c r="N44" s="232"/>
      <c r="O44" s="57"/>
      <c r="P44" s="33"/>
      <c r="Q44" s="33"/>
      <c r="R44" s="855" t="s">
        <v>548</v>
      </c>
      <c r="S44" s="850"/>
      <c r="T44" s="867"/>
      <c r="U44" s="672" t="s">
        <v>262</v>
      </c>
      <c r="V44" s="859" t="str">
        <f>IF(AND(ISBLANK(T44),OR(ASM,RADataAvail="Y")),"&lt;-- Please enter aggregate segment length","")</f>
        <v/>
      </c>
      <c r="W44" s="853"/>
      <c r="X44" s="233"/>
      <c r="Y44" s="199"/>
      <c r="AA44" s="555"/>
      <c r="AB44" s="555"/>
    </row>
    <row r="45" spans="2:36" x14ac:dyDescent="0.25">
      <c r="B45" s="232"/>
      <c r="C45" s="199"/>
      <c r="D45" s="199"/>
      <c r="E45" s="199"/>
      <c r="F45" s="576"/>
      <c r="G45" s="199"/>
      <c r="H45" s="199"/>
      <c r="I45" s="199"/>
      <c r="J45" s="199"/>
      <c r="K45" s="199"/>
      <c r="L45" s="233"/>
      <c r="N45" s="232"/>
      <c r="O45" s="59"/>
      <c r="P45" s="61"/>
      <c r="Q45" s="61"/>
      <c r="R45" s="854"/>
      <c r="S45" s="851"/>
      <c r="T45" s="851"/>
      <c r="U45" s="857"/>
      <c r="V45" s="852"/>
      <c r="W45" s="853"/>
      <c r="X45" s="233"/>
      <c r="Y45" s="199"/>
      <c r="AA45" s="555"/>
      <c r="AB45" s="555"/>
    </row>
    <row r="46" spans="2:36" ht="13" x14ac:dyDescent="0.3">
      <c r="B46" s="232"/>
      <c r="C46" s="200" t="s">
        <v>1</v>
      </c>
      <c r="D46" s="201"/>
      <c r="E46" s="201"/>
      <c r="F46" s="577"/>
      <c r="G46" s="201"/>
      <c r="H46" s="201"/>
      <c r="I46" s="201"/>
      <c r="J46" s="201"/>
      <c r="K46" s="202"/>
      <c r="L46" s="233"/>
      <c r="N46" s="232"/>
      <c r="O46" s="26"/>
      <c r="P46" s="26"/>
      <c r="Q46" s="26"/>
      <c r="R46" s="26"/>
      <c r="S46" s="26"/>
      <c r="T46" s="26"/>
      <c r="U46" s="26"/>
      <c r="V46" s="26"/>
      <c r="W46" s="199"/>
      <c r="X46" s="233"/>
      <c r="Y46" s="199"/>
      <c r="AA46" s="555"/>
      <c r="AB46" s="555"/>
    </row>
    <row r="47" spans="2:36" ht="13" x14ac:dyDescent="0.3">
      <c r="B47" s="232"/>
      <c r="C47" s="203"/>
      <c r="D47" s="204" t="s">
        <v>187</v>
      </c>
      <c r="E47" s="205"/>
      <c r="F47" s="208"/>
      <c r="G47" s="205"/>
      <c r="H47" s="205"/>
      <c r="I47" s="205"/>
      <c r="J47" s="205"/>
      <c r="K47" s="206"/>
      <c r="L47" s="233"/>
      <c r="N47" s="232"/>
      <c r="O47" s="26"/>
      <c r="P47" s="26"/>
      <c r="Q47" s="26"/>
      <c r="R47" s="26"/>
      <c r="S47" s="26"/>
      <c r="T47" s="235" t="s">
        <v>544</v>
      </c>
      <c r="U47" s="235" t="s">
        <v>542</v>
      </c>
      <c r="V47" s="26"/>
      <c r="W47" s="199"/>
      <c r="X47" s="233"/>
      <c r="Y47" s="199"/>
      <c r="AA47" s="555"/>
      <c r="AB47" s="555"/>
    </row>
    <row r="48" spans="2:36" ht="13" x14ac:dyDescent="0.3">
      <c r="B48" s="232"/>
      <c r="C48" s="203"/>
      <c r="D48" s="205"/>
      <c r="E48" s="207" t="s">
        <v>188</v>
      </c>
      <c r="F48" s="208"/>
      <c r="G48" s="205"/>
      <c r="H48" s="205"/>
      <c r="I48" s="205"/>
      <c r="J48" s="205"/>
      <c r="K48" s="206"/>
      <c r="L48" s="233"/>
      <c r="M48" s="641"/>
      <c r="N48" s="232"/>
      <c r="O48" s="234"/>
      <c r="P48" s="234"/>
      <c r="Q48" s="234"/>
      <c r="R48" s="234"/>
      <c r="S48" s="235"/>
      <c r="T48" s="235" t="s">
        <v>543</v>
      </c>
      <c r="U48" s="235" t="s">
        <v>541</v>
      </c>
      <c r="V48" s="234" t="s">
        <v>538</v>
      </c>
      <c r="W48" s="199"/>
      <c r="X48" s="233"/>
      <c r="Y48" s="199"/>
      <c r="AA48" s="555"/>
      <c r="AB48" s="555"/>
    </row>
    <row r="49" spans="2:28" ht="13" x14ac:dyDescent="0.3">
      <c r="B49" s="232"/>
      <c r="C49" s="203"/>
      <c r="D49" s="205"/>
      <c r="E49" s="205"/>
      <c r="F49" s="208" t="s">
        <v>189</v>
      </c>
      <c r="G49" s="217">
        <f>IF(HwyRail,0,HOVvolB*PeakLngthNB*IF(OR(HOVConn,HOVDrop),1-PerWeaveNB,1))</f>
        <v>0</v>
      </c>
      <c r="H49" s="218"/>
      <c r="I49" s="219">
        <f>IF(ISNUMBER(H49),H49,G49)</f>
        <v>0</v>
      </c>
      <c r="J49" s="214"/>
      <c r="K49" s="206"/>
      <c r="L49" s="233"/>
      <c r="N49" s="232"/>
      <c r="O49" s="200" t="s">
        <v>2</v>
      </c>
      <c r="P49" s="201"/>
      <c r="Q49" s="201"/>
      <c r="R49" s="201"/>
      <c r="S49" s="201"/>
      <c r="T49" s="201"/>
      <c r="U49" s="201"/>
      <c r="V49" s="201"/>
      <c r="W49" s="202"/>
      <c r="X49" s="233"/>
      <c r="Y49" s="199"/>
      <c r="AA49" s="555"/>
      <c r="AB49" s="555"/>
    </row>
    <row r="50" spans="2:28" ht="13" x14ac:dyDescent="0.3">
      <c r="B50" s="232"/>
      <c r="C50" s="203"/>
      <c r="D50" s="205"/>
      <c r="E50" s="205"/>
      <c r="F50" s="208" t="s">
        <v>190</v>
      </c>
      <c r="G50" s="220">
        <f>IF(HwyRail,0,(PerPeakADT*ADT1B)*(1-IF(OR(AuxLane,OffRamp),PerWeaveB,PerTruckB))*VLOOKUP(TMSLookup,TMSAdj,5)-HOVvolB*PeakLngthNB-IF(OR(PassRail,LRT,Bus),TPerPeak*TPerHwy*(TAPT1B-TAPT1NB)/AnnualFactor/AVOPeakNB))</f>
        <v>0</v>
      </c>
      <c r="H50" s="221"/>
      <c r="I50" s="222">
        <f>IF(ISNUMBER(H50),H50,G50)</f>
        <v>0</v>
      </c>
      <c r="J50" s="215"/>
      <c r="K50" s="206"/>
      <c r="L50" s="233"/>
      <c r="N50" s="232"/>
      <c r="O50" s="203"/>
      <c r="P50" s="204" t="s">
        <v>187</v>
      </c>
      <c r="Q50" s="205"/>
      <c r="R50" s="205"/>
      <c r="S50" s="205"/>
      <c r="T50" s="205"/>
      <c r="U50" s="205"/>
      <c r="V50" s="205"/>
      <c r="W50" s="206"/>
      <c r="X50" s="233"/>
      <c r="Y50" s="199"/>
      <c r="AA50" s="555"/>
      <c r="AB50" s="555"/>
    </row>
    <row r="51" spans="2:28" x14ac:dyDescent="0.25">
      <c r="B51" s="232"/>
      <c r="C51" s="203"/>
      <c r="D51" s="205"/>
      <c r="E51" s="205"/>
      <c r="F51" s="208" t="s">
        <v>491</v>
      </c>
      <c r="G51" s="220">
        <f>IF(OR(AuxLane,OffRamp),(PerPeakADT*ADT1B)*(PerWeaveB-PerTruckB)*VLOOKUP(TMSLookup,TMSAdj,5),0)+IF(AuxLane,RampVolP*PeakLngthNB,0)+IF(OR(HOVConn,HOVDrop),PerWeaveNB*HOVvolB*PeakLngthNB,0)</f>
        <v>0</v>
      </c>
      <c r="H51" s="221"/>
      <c r="I51" s="222">
        <f>IF(ISNUMBER(H51),H51,G51)</f>
        <v>0</v>
      </c>
      <c r="J51" s="215"/>
      <c r="K51" s="206"/>
      <c r="L51" s="233"/>
      <c r="N51" s="232"/>
      <c r="O51" s="203"/>
      <c r="P51" s="205"/>
      <c r="Q51" s="205"/>
      <c r="R51" s="208" t="s">
        <v>545</v>
      </c>
      <c r="S51" s="205"/>
      <c r="T51" s="845"/>
      <c r="U51" s="219">
        <f>IF(ISNUMBER(T51),T51,0)</f>
        <v>0</v>
      </c>
      <c r="V51" s="214" t="str">
        <f>IF(ASM,"",IF(AND(ISBLANK(T51),RADataAvail="Y"),"&lt;-- Please enter a volume",""))</f>
        <v/>
      </c>
      <c r="W51" s="206"/>
      <c r="X51" s="233"/>
      <c r="Y51" s="199"/>
      <c r="AA51" s="555"/>
      <c r="AB51" s="555"/>
    </row>
    <row r="52" spans="2:28" x14ac:dyDescent="0.25">
      <c r="B52" s="232"/>
      <c r="C52" s="203"/>
      <c r="D52" s="205"/>
      <c r="E52" s="205"/>
      <c r="F52" s="208" t="s">
        <v>191</v>
      </c>
      <c r="G52" s="220">
        <f>IF(HwyRail,0,(PerPeakADT*ADT1B)*PerTruckB*VLOOKUP(TMSLookup,TMSAdj,5))</f>
        <v>0</v>
      </c>
      <c r="H52" s="221"/>
      <c r="I52" s="222">
        <f>IF(ISNUMBER(H52),H52,G52)</f>
        <v>0</v>
      </c>
      <c r="J52" s="215"/>
      <c r="K52" s="206"/>
      <c r="L52" s="233"/>
      <c r="N52" s="232"/>
      <c r="O52" s="203"/>
      <c r="P52" s="205"/>
      <c r="Q52" s="205"/>
      <c r="R52" s="208" t="s">
        <v>546</v>
      </c>
      <c r="S52" s="205"/>
      <c r="T52" s="846"/>
      <c r="U52" s="222">
        <f>IF(ISNUMBER(T52),T52,0)</f>
        <v>0</v>
      </c>
      <c r="V52" s="215" t="str">
        <f>IF(AND(ISBLANK(T52),OR(ASM,RADataAvail="Y")),"&lt;-- Please enter a volume","")</f>
        <v/>
      </c>
      <c r="W52" s="206"/>
      <c r="X52" s="233"/>
      <c r="Y52" s="199"/>
      <c r="AA52" s="555"/>
      <c r="AB52" s="555"/>
    </row>
    <row r="53" spans="2:28" x14ac:dyDescent="0.25">
      <c r="B53" s="232"/>
      <c r="C53" s="203"/>
      <c r="D53" s="205"/>
      <c r="E53" s="205"/>
      <c r="F53" s="208" t="s">
        <v>192</v>
      </c>
      <c r="G53" s="223">
        <f>IF(PHV1B=0,55,IF(HOVLanesB=0,PNS1B,FFSpeedB/(1+HOVAlpha*MIN(PHV1B/(HOVLanesB*HOVLaneCap*PeakLngthNB),MaxVC)^HOVBeta)*IF(Pavement,VLOOKUP(IRI1B,SpeedPavAdj,2),1)))</f>
        <v>55</v>
      </c>
      <c r="H53" s="224"/>
      <c r="I53" s="225">
        <f>MAX(IF(ISNUMBER(H53),H53,G53),5)</f>
        <v>55</v>
      </c>
      <c r="J53" s="215"/>
      <c r="K53" s="206"/>
      <c r="L53" s="233"/>
      <c r="N53" s="232"/>
      <c r="O53" s="203"/>
      <c r="P53" s="205"/>
      <c r="Q53" s="205"/>
      <c r="R53" s="208" t="s">
        <v>539</v>
      </c>
      <c r="S53" s="205"/>
      <c r="T53" s="847"/>
      <c r="U53" s="225">
        <f>MAX(T53,IdleSpeed)</f>
        <v>5</v>
      </c>
      <c r="V53" s="215" t="str">
        <f>IF(ASM,"",IF(AND(ISBLANK(T53),RADataAvail="Y"),"&lt;-- Please enter a speed",""))</f>
        <v/>
      </c>
      <c r="W53" s="206"/>
      <c r="X53" s="233"/>
      <c r="Y53" s="199"/>
      <c r="AA53" s="555"/>
      <c r="AB53" s="555"/>
    </row>
    <row r="54" spans="2:28" x14ac:dyDescent="0.25">
      <c r="B54" s="232"/>
      <c r="C54" s="203"/>
      <c r="D54" s="205"/>
      <c r="E54" s="205"/>
      <c r="F54" s="208" t="s">
        <v>194</v>
      </c>
      <c r="G54" s="223">
        <f>IF(SUM(I49:I52)=0,55,MIN(FFSpeedB/(1+GenAlphaB*MIN(SUM(IF(HOVLanesB=0,I49:I52,I50:I52))/(GenLanesB*GenLaneCapB*PeakLngthNB),MaxVC)^GenBetaB)*VLOOKUP(TMSLookup,TMSAdj,4),FFSpeedB))*IF(FreeConn,VLOOKUP(PerWeaveB,SpeedWeaveAdj,2),1)*IF(OR(HOVConn,HOVDrop),VLOOKUP(PerWeaveB,SpeedWeaveAdj,3),1)*IF(Pavement,VLOOKUP(IRI1B,SpeedPavAdj,2),1)</f>
        <v>55</v>
      </c>
      <c r="H54" s="224"/>
      <c r="I54" s="225">
        <f>MAX(IF(ISNUMBER(H54),H54,G54),5)</f>
        <v>55</v>
      </c>
      <c r="J54" s="215"/>
      <c r="K54" s="206"/>
      <c r="L54" s="233"/>
      <c r="N54" s="232"/>
      <c r="O54" s="203"/>
      <c r="P54" s="205"/>
      <c r="Q54" s="205"/>
      <c r="R54" s="208" t="s">
        <v>540</v>
      </c>
      <c r="S54" s="205"/>
      <c r="T54" s="848"/>
      <c r="U54" s="228">
        <f>MAX(T54,IdleSpeed)</f>
        <v>5</v>
      </c>
      <c r="V54" s="216" t="str">
        <f>IF(AND(ISBLANK(T54),OR(ASM,RADataAvail="Y")),"&lt;-- Please enter a speed","")</f>
        <v/>
      </c>
      <c r="W54" s="206"/>
      <c r="X54" s="233"/>
      <c r="Y54" s="199"/>
      <c r="AA54" s="555"/>
      <c r="AB54" s="555"/>
    </row>
    <row r="55" spans="2:28" x14ac:dyDescent="0.25">
      <c r="B55" s="232"/>
      <c r="C55" s="203"/>
      <c r="D55" s="205"/>
      <c r="E55" s="205"/>
      <c r="F55" s="208" t="s">
        <v>492</v>
      </c>
      <c r="G55" s="788">
        <f>IF(PWV1B=0,55,IF(AuxLane,MAX(5,MIN(PNS1B,1.1*(FFSpeedB-(FFSpeedB-42)*(0.321+0.0039*EXP((PWV1B+PTV1B)/NumDirections/PeakLngthNB/1000)-0.002*(IF(OffRamp,1083,SegmentB*5280)*RampFFSpdB/1000)))*VLOOKUP(TMSLookup,TMSAdj,4)*IF(Pavement,VLOOKUP(IRI1B,SpeedPavAdj,2),1))),PNS1B))</f>
        <v>55</v>
      </c>
      <c r="H55" s="789"/>
      <c r="I55" s="225">
        <f>MAX(IF(ISNUMBER(H55),H55,G55),5)</f>
        <v>55</v>
      </c>
      <c r="J55" s="790"/>
      <c r="K55" s="206"/>
      <c r="L55" s="233"/>
      <c r="N55" s="232"/>
      <c r="O55" s="203"/>
      <c r="P55" s="205"/>
      <c r="Q55" s="205"/>
      <c r="R55" s="208"/>
      <c r="S55" s="205"/>
      <c r="T55" s="205"/>
      <c r="U55" s="205"/>
      <c r="V55" s="205"/>
      <c r="W55" s="206"/>
      <c r="X55" s="233"/>
      <c r="Y55" s="199"/>
      <c r="AA55" s="555"/>
      <c r="AB55" s="555"/>
    </row>
    <row r="56" spans="2:28" ht="13" x14ac:dyDescent="0.3">
      <c r="B56" s="232"/>
      <c r="C56" s="203"/>
      <c r="D56" s="205"/>
      <c r="E56" s="205"/>
      <c r="F56" s="208" t="s">
        <v>96</v>
      </c>
      <c r="G56" s="226">
        <f>IF(PTV1B=0,55,MIN(TruckSpeed,IF(AuxLane,PWS1B,PNS1B)/IF(Pavement,VLOOKUP(IRI1B,SpeedPavAdj,2),1)))*IF(Pavement,VLOOKUP(IRI1B,SpeedPavAdj,3),1)</f>
        <v>55</v>
      </c>
      <c r="H56" s="227"/>
      <c r="I56" s="228">
        <f>MAX(IF(ISNUMBER(H56),H56,G56),5)</f>
        <v>55</v>
      </c>
      <c r="J56" s="216"/>
      <c r="K56" s="206"/>
      <c r="L56" s="233"/>
      <c r="N56" s="232"/>
      <c r="O56" s="203"/>
      <c r="P56" s="204" t="s">
        <v>196</v>
      </c>
      <c r="Q56" s="205"/>
      <c r="R56" s="208"/>
      <c r="S56" s="205"/>
      <c r="T56" s="205"/>
      <c r="U56" s="205"/>
      <c r="V56" s="205"/>
      <c r="W56" s="206"/>
      <c r="X56" s="233"/>
      <c r="Y56" s="199"/>
      <c r="AA56" s="555"/>
      <c r="AB56" s="555"/>
    </row>
    <row r="57" spans="2:28" x14ac:dyDescent="0.25">
      <c r="B57" s="232"/>
      <c r="C57" s="203"/>
      <c r="D57" s="205"/>
      <c r="E57" s="205"/>
      <c r="F57" s="208"/>
      <c r="G57" s="205"/>
      <c r="H57" s="205"/>
      <c r="I57" s="205"/>
      <c r="J57" s="205"/>
      <c r="K57" s="206"/>
      <c r="L57" s="233"/>
      <c r="N57" s="232"/>
      <c r="O57" s="203"/>
      <c r="P57" s="205"/>
      <c r="Q57" s="205"/>
      <c r="R57" s="208" t="s">
        <v>545</v>
      </c>
      <c r="S57" s="205"/>
      <c r="T57" s="845"/>
      <c r="U57" s="219">
        <f>IF(ISNUMBER(T57),T57,0)</f>
        <v>0</v>
      </c>
      <c r="V57" s="214" t="str">
        <f>IF(ASM,"",IF(AND(ISBLANK(T57),RADataAvail="Y"),"&lt;-- Please enter a volume",""))</f>
        <v/>
      </c>
      <c r="W57" s="206"/>
      <c r="X57" s="233"/>
      <c r="Y57" s="199"/>
      <c r="AA57" s="555"/>
      <c r="AB57" s="555"/>
    </row>
    <row r="58" spans="2:28" x14ac:dyDescent="0.25">
      <c r="B58" s="232"/>
      <c r="C58" s="203"/>
      <c r="D58" s="205"/>
      <c r="E58" s="207" t="s">
        <v>195</v>
      </c>
      <c r="F58" s="208"/>
      <c r="G58" s="205"/>
      <c r="H58" s="205"/>
      <c r="I58" s="205"/>
      <c r="J58" s="205"/>
      <c r="K58" s="206"/>
      <c r="L58" s="233"/>
      <c r="N58" s="232"/>
      <c r="O58" s="203"/>
      <c r="P58" s="205"/>
      <c r="Q58" s="205"/>
      <c r="R58" s="208" t="s">
        <v>546</v>
      </c>
      <c r="S58" s="205"/>
      <c r="T58" s="846"/>
      <c r="U58" s="222">
        <f>IF(ISNUMBER(T58),T58,0)</f>
        <v>0</v>
      </c>
      <c r="V58" s="215" t="str">
        <f>IF(AND(ISBLANK(T58),OR(ASM,RADataAvail="Y")),"&lt;-- Please enter a volume","")</f>
        <v/>
      </c>
      <c r="W58" s="206"/>
      <c r="X58" s="233"/>
      <c r="Y58" s="199"/>
      <c r="AA58" s="555"/>
      <c r="AB58" s="555"/>
    </row>
    <row r="59" spans="2:28" x14ac:dyDescent="0.25">
      <c r="B59" s="232"/>
      <c r="C59" s="203"/>
      <c r="D59" s="205"/>
      <c r="E59" s="205"/>
      <c r="F59" s="208" t="s">
        <v>190</v>
      </c>
      <c r="G59" s="217">
        <f>IF(HwyRail,(ArrRate1*GateTime1/60)/(1-ArrRate1/DepRate1)*NumTrain1/AnnualFactor*(1-PerTruckNB)*ADT20B/ADT20NB,((1-PerPeakADT)*ADT1B)*(1-IF(OR(AuxLane,OffRamp),PerWeaveB,PerTruckB))-IF(OR(PassRail,LRT,Bus),(1-TPerPeak)*TPerHwy*(TAPT1B-TAPT1NB)/AnnualFactor/AVONonNB))</f>
        <v>0</v>
      </c>
      <c r="H59" s="218"/>
      <c r="I59" s="219">
        <f>IF(ISNUMBER(H59),H59,G59)</f>
        <v>0</v>
      </c>
      <c r="J59" s="214"/>
      <c r="K59" s="206"/>
      <c r="L59" s="233"/>
      <c r="N59" s="232"/>
      <c r="O59" s="203"/>
      <c r="P59" s="205"/>
      <c r="Q59" s="205"/>
      <c r="R59" s="208" t="s">
        <v>539</v>
      </c>
      <c r="S59" s="205"/>
      <c r="T59" s="847"/>
      <c r="U59" s="225">
        <f>MAX(T59,IdleSpeed)</f>
        <v>5</v>
      </c>
      <c r="V59" s="215" t="str">
        <f>IF(ASM,"",IF(AND(ISBLANK(T59),RADataAvail="Y"),"&lt;-- Please enter a speed",""))</f>
        <v/>
      </c>
      <c r="W59" s="206"/>
      <c r="X59" s="233"/>
      <c r="Y59" s="199"/>
      <c r="AA59" s="555"/>
      <c r="AB59" s="555"/>
    </row>
    <row r="60" spans="2:28" x14ac:dyDescent="0.25">
      <c r="B60" s="232"/>
      <c r="C60" s="203"/>
      <c r="D60" s="205"/>
      <c r="E60" s="205"/>
      <c r="F60" s="208" t="s">
        <v>491</v>
      </c>
      <c r="G60" s="220">
        <f>IF(OR(AuxLane,OffRamp),((1-PerPeakADT)*ADT1B)*(PerWeaveB-PerTruckB),0)+IF(AuxLane,RampVolNP*(24-PeakLngthNB),0)</f>
        <v>0</v>
      </c>
      <c r="H60" s="791"/>
      <c r="I60" s="222">
        <f>IF(ISNUMBER(H60),H60,G60)</f>
        <v>0</v>
      </c>
      <c r="J60" s="792"/>
      <c r="K60" s="206"/>
      <c r="L60" s="233"/>
      <c r="N60" s="232"/>
      <c r="O60" s="203"/>
      <c r="P60" s="205"/>
      <c r="Q60" s="205"/>
      <c r="R60" s="208" t="s">
        <v>540</v>
      </c>
      <c r="S60" s="205"/>
      <c r="T60" s="848"/>
      <c r="U60" s="228">
        <f>MAX(T60,IdleSpeed)</f>
        <v>5</v>
      </c>
      <c r="V60" s="216" t="str">
        <f>IF(AND(ISBLANK(T60),OR(ASM,RADataAvail="Y")),"&lt;-- Please enter a speed","")</f>
        <v/>
      </c>
      <c r="W60" s="206"/>
      <c r="X60" s="233"/>
      <c r="Y60" s="199"/>
      <c r="AA60" s="555"/>
      <c r="AB60" s="555"/>
    </row>
    <row r="61" spans="2:28" x14ac:dyDescent="0.25">
      <c r="B61" s="232"/>
      <c r="C61" s="203"/>
      <c r="D61" s="205"/>
      <c r="E61" s="205"/>
      <c r="F61" s="208" t="s">
        <v>191</v>
      </c>
      <c r="G61" s="220">
        <f>IF(HwyRail,(ArrRate1*GateTime1/60)/(1-ArrRate1/DepRate1)*NumTrain1/AnnualFactor*PerTruckNB*ADT20B/ADT20NB,((1-PerPeakADT)*ADT1B)*PerTruckB)</f>
        <v>0</v>
      </c>
      <c r="H61" s="221"/>
      <c r="I61" s="222">
        <f>IF(ISNUMBER(H61),H61,G61)</f>
        <v>0</v>
      </c>
      <c r="J61" s="215"/>
      <c r="K61" s="206"/>
      <c r="L61" s="233"/>
      <c r="N61" s="232"/>
      <c r="O61" s="209"/>
      <c r="P61" s="210"/>
      <c r="Q61" s="210"/>
      <c r="R61" s="213"/>
      <c r="S61" s="210"/>
      <c r="T61" s="210"/>
      <c r="U61" s="210"/>
      <c r="V61" s="213"/>
      <c r="W61" s="211"/>
      <c r="X61" s="233"/>
      <c r="Y61" s="199"/>
      <c r="AA61" s="555"/>
      <c r="AB61" s="555"/>
    </row>
    <row r="62" spans="2:28" x14ac:dyDescent="0.25">
      <c r="B62" s="232"/>
      <c r="C62" s="203"/>
      <c r="D62" s="205"/>
      <c r="E62" s="205"/>
      <c r="F62" s="208" t="s">
        <v>194</v>
      </c>
      <c r="G62" s="223">
        <f>IF(HwyRail,FFSpeedB,IF(SUM(I59:I61)=0,55,FFSpeedB/(1+GenAlphaB*MIN(SUM(I59:I61)/((GenLanesB+HOVLanesB)*GenLaneCapB*(24-PeakLngthNB)),MaxVC)^GenBetaB))*IF(FreeConn,VLOOKUP(PerWeaveB,SpeedWeaveAdj,2),1)*IF(OR(HOVConn,HOVDrop),VLOOKUP(PerWeaveB,SpeedWeaveAdj,3),1)*IF(Pavement,VLOOKUP(IRI1B,SpeedPavAdj,2),1))</f>
        <v>55</v>
      </c>
      <c r="H62" s="224"/>
      <c r="I62" s="225">
        <f>MAX(IF(ISNUMBER(H62),H62,G62),5)</f>
        <v>55</v>
      </c>
      <c r="J62" s="215"/>
      <c r="K62" s="206"/>
      <c r="L62" s="233"/>
      <c r="N62" s="232"/>
      <c r="O62" s="199"/>
      <c r="P62" s="199"/>
      <c r="Q62" s="199"/>
      <c r="R62" s="576"/>
      <c r="S62" s="199"/>
      <c r="T62" s="199"/>
      <c r="U62" s="199"/>
      <c r="V62" s="199"/>
      <c r="W62" s="199"/>
      <c r="X62" s="233"/>
      <c r="Y62" s="199"/>
      <c r="AA62" s="555"/>
      <c r="AB62" s="555"/>
    </row>
    <row r="63" spans="2:28" ht="13" x14ac:dyDescent="0.3">
      <c r="B63" s="232"/>
      <c r="C63" s="203"/>
      <c r="D63" s="205"/>
      <c r="E63" s="205"/>
      <c r="F63" s="208" t="s">
        <v>492</v>
      </c>
      <c r="G63" s="788">
        <f>IF(NWV1B=0,55,IF(AuxLane,MAX(5,MIN(NNS1B,1.1*(FFSpeedB-(FFSpeedB-42)*(0.321+0.0039*EXP((NWV1B+NTV1B)/NumDirections/(24-PeakLngthNB)/1000)-0.002*(IF(OffRamp,1083,SegmentB*5280)*RampFFSpdB/1000)))*IF(Pavement,VLOOKUP(IRI1B,SpeedPavAdj,2),1))),NNS1B))</f>
        <v>55</v>
      </c>
      <c r="H63" s="789"/>
      <c r="I63" s="225">
        <f>MAX(IF(ISNUMBER(H63),H63,G63),5)</f>
        <v>55</v>
      </c>
      <c r="J63" s="790"/>
      <c r="K63" s="206"/>
      <c r="L63" s="233"/>
      <c r="M63" s="641"/>
      <c r="N63" s="232"/>
      <c r="O63" s="200" t="s">
        <v>3</v>
      </c>
      <c r="P63" s="201"/>
      <c r="Q63" s="201"/>
      <c r="R63" s="577"/>
      <c r="S63" s="201"/>
      <c r="T63" s="201"/>
      <c r="U63" s="201"/>
      <c r="V63" s="201"/>
      <c r="W63" s="202"/>
      <c r="X63" s="233"/>
      <c r="Y63" s="199"/>
      <c r="AA63" s="555"/>
      <c r="AB63" s="555"/>
    </row>
    <row r="64" spans="2:28" ht="13" x14ac:dyDescent="0.3">
      <c r="B64" s="232"/>
      <c r="C64" s="203"/>
      <c r="D64" s="205"/>
      <c r="E64" s="205"/>
      <c r="F64" s="208" t="s">
        <v>96</v>
      </c>
      <c r="G64" s="226">
        <f>IF(HwyRail,FFSpeedB,IF(NTV1B=0,55,MIN(TruckSpeed,IF(AuxLane,NWS1B,NNS1B)/IF(Pavement,VLOOKUP(IRI1B,SpeedPavAdj,2),1)))*IF(Pavement,VLOOKUP(IRI1B,SpeedPavAdj,3),1))</f>
        <v>55</v>
      </c>
      <c r="H64" s="227"/>
      <c r="I64" s="228">
        <f>MAX(IF(ISNUMBER(H64),H64,G64),5)</f>
        <v>55</v>
      </c>
      <c r="J64" s="216"/>
      <c r="K64" s="206"/>
      <c r="L64" s="233"/>
      <c r="N64" s="232"/>
      <c r="O64" s="203"/>
      <c r="P64" s="204" t="s">
        <v>187</v>
      </c>
      <c r="Q64" s="205"/>
      <c r="R64" s="208"/>
      <c r="S64" s="205"/>
      <c r="T64" s="205"/>
      <c r="U64" s="205"/>
      <c r="V64" s="205"/>
      <c r="W64" s="206"/>
      <c r="X64" s="233"/>
      <c r="Y64" s="199"/>
      <c r="AA64" s="555"/>
      <c r="AB64" s="555"/>
    </row>
    <row r="65" spans="2:28" x14ac:dyDescent="0.25">
      <c r="B65" s="232"/>
      <c r="C65" s="203"/>
      <c r="D65" s="205"/>
      <c r="E65" s="205"/>
      <c r="F65" s="208"/>
      <c r="G65" s="205"/>
      <c r="H65" s="205"/>
      <c r="I65" s="205"/>
      <c r="J65" s="205"/>
      <c r="K65" s="206"/>
      <c r="L65" s="233"/>
      <c r="N65" s="232"/>
      <c r="O65" s="203"/>
      <c r="P65" s="205"/>
      <c r="Q65" s="205"/>
      <c r="R65" s="208" t="s">
        <v>545</v>
      </c>
      <c r="S65" s="205"/>
      <c r="T65" s="845"/>
      <c r="U65" s="219">
        <f>IF(ISNUMBER(T65),T65,0)</f>
        <v>0</v>
      </c>
      <c r="V65" s="214" t="str">
        <f>IF(ASM,"",IF(AND(ISBLANK(T65),RADataAvail="Y"),"&lt;-- Please enter a volume",""))</f>
        <v/>
      </c>
      <c r="W65" s="206"/>
      <c r="X65" s="233"/>
      <c r="Y65" s="199"/>
      <c r="AA65" s="555"/>
      <c r="AB65" s="555"/>
    </row>
    <row r="66" spans="2:28" ht="13" x14ac:dyDescent="0.3">
      <c r="B66" s="232"/>
      <c r="C66" s="203"/>
      <c r="D66" s="204" t="s">
        <v>196</v>
      </c>
      <c r="E66" s="205"/>
      <c r="F66" s="208"/>
      <c r="G66" s="205"/>
      <c r="H66" s="205"/>
      <c r="I66" s="205"/>
      <c r="J66" s="205"/>
      <c r="K66" s="206"/>
      <c r="L66" s="233"/>
      <c r="N66" s="232"/>
      <c r="O66" s="203"/>
      <c r="P66" s="205"/>
      <c r="Q66" s="205"/>
      <c r="R66" s="208" t="s">
        <v>546</v>
      </c>
      <c r="S66" s="205"/>
      <c r="T66" s="846"/>
      <c r="U66" s="222">
        <f>IF(ISNUMBER(T66),T66,0)</f>
        <v>0</v>
      </c>
      <c r="V66" s="215" t="str">
        <f>IF(AND(ISBLANK(T66),OR(ASM,RADataAvail="Y")),"&lt;-- Please enter a volume","")</f>
        <v/>
      </c>
      <c r="W66" s="206"/>
      <c r="X66" s="233"/>
      <c r="Y66" s="199"/>
      <c r="AA66" s="555"/>
      <c r="AB66" s="555"/>
    </row>
    <row r="67" spans="2:28" x14ac:dyDescent="0.25">
      <c r="B67" s="232"/>
      <c r="C67" s="203"/>
      <c r="D67" s="205"/>
      <c r="E67" s="207" t="s">
        <v>188</v>
      </c>
      <c r="F67" s="208"/>
      <c r="G67" s="205"/>
      <c r="H67" s="205"/>
      <c r="I67" s="205"/>
      <c r="J67" s="205"/>
      <c r="K67" s="206"/>
      <c r="L67" s="233"/>
      <c r="N67" s="232"/>
      <c r="O67" s="203"/>
      <c r="P67" s="205"/>
      <c r="Q67" s="205"/>
      <c r="R67" s="208" t="s">
        <v>539</v>
      </c>
      <c r="S67" s="205"/>
      <c r="T67" s="847"/>
      <c r="U67" s="225">
        <f>MAX(T67,IdleSpeed)</f>
        <v>5</v>
      </c>
      <c r="V67" s="215" t="str">
        <f>IF(ASM,"",IF(AND(ISBLANK(T67),RADataAvail="Y"),"&lt;-- Please enter a speed",""))</f>
        <v/>
      </c>
      <c r="W67" s="206"/>
      <c r="X67" s="233"/>
      <c r="Y67" s="199"/>
      <c r="AA67" s="555"/>
      <c r="AB67" s="555"/>
    </row>
    <row r="68" spans="2:28" x14ac:dyDescent="0.25">
      <c r="B68" s="232"/>
      <c r="C68" s="203"/>
      <c r="D68" s="205"/>
      <c r="E68" s="205"/>
      <c r="F68" s="208" t="s">
        <v>189</v>
      </c>
      <c r="G68" s="217">
        <f>IF(HwyRail,0,IF(Queuing,PeakLngthNB*(DepRate1-ADT1NB*(1-PerPeakADT)/(24-PeakLngthNB))/(ADT1NB/ADT20NB*DepRate20-ADT1NB*(1-PerPeakADT)/(24-PeakLngthNB)),PeakLngthNB)*HOVvolB*IF(OR(HOVConn,HOVDrop),1-PerWeaveNB,1))</f>
        <v>0</v>
      </c>
      <c r="H68" s="218"/>
      <c r="I68" s="219">
        <f>IF(ISNUMBER(H68),H68,G68)</f>
        <v>0</v>
      </c>
      <c r="J68" s="214"/>
      <c r="K68" s="206"/>
      <c r="L68" s="233"/>
      <c r="N68" s="232"/>
      <c r="O68" s="203"/>
      <c r="P68" s="205"/>
      <c r="Q68" s="205"/>
      <c r="R68" s="208" t="s">
        <v>540</v>
      </c>
      <c r="S68" s="205"/>
      <c r="T68" s="848"/>
      <c r="U68" s="228">
        <f>MAX(T68,IdleSpeed)</f>
        <v>5</v>
      </c>
      <c r="V68" s="216" t="str">
        <f>IF(AND(ISBLANK(T68),OR(ASM,RADataAvail="Y")),"&lt;-- Please enter a speed","")</f>
        <v/>
      </c>
      <c r="W68" s="206"/>
      <c r="X68" s="233"/>
      <c r="Y68" s="199"/>
      <c r="AA68" s="555"/>
      <c r="AB68" s="555"/>
    </row>
    <row r="69" spans="2:28" x14ac:dyDescent="0.25">
      <c r="B69" s="232"/>
      <c r="C69" s="203"/>
      <c r="D69" s="205"/>
      <c r="E69" s="205"/>
      <c r="F69" s="208" t="s">
        <v>190</v>
      </c>
      <c r="G69" s="220">
        <f>IF(HwyRail,0,IF(Queuing,ADT20B*DepRate20*PeakLngthNB*(DepRate1-ADT1NB*(1-PerPeakADT)/(24-PeakLngthNB))/(ADT1NB/ADT20NB*DepRate20-ADT1NB*(1-PerPeakADT)/(24-PeakLngthNB))/ADT20NB,PerPeakADT*ADT20B)*(1-IF(OR(AuxLane,OffRamp),PerWeaveB,PerTruckB)-IF(Queuing,HOVvolB/DepRate20*ADT20NB/ADT20B,0))*VLOOKUP(TMSLookup,TMSAdj,5)-IF(Queuing,0,HOVvolB*PeakLngthNB)-IF(OR(PassRail,LRT,Bus),TPerPeak*TPerHwy*(TAPT20B-TAPT20NB)/AnnualFactor/AVOPeakNB))</f>
        <v>0</v>
      </c>
      <c r="H69" s="221"/>
      <c r="I69" s="222">
        <f>IF(ISNUMBER(H69),H69,G69)</f>
        <v>0</v>
      </c>
      <c r="J69" s="215"/>
      <c r="K69" s="206"/>
      <c r="L69" s="233"/>
      <c r="N69" s="232"/>
      <c r="O69" s="203"/>
      <c r="P69" s="205"/>
      <c r="Q69" s="205"/>
      <c r="R69" s="208"/>
      <c r="S69" s="205"/>
      <c r="T69" s="205"/>
      <c r="U69" s="205"/>
      <c r="V69" s="205"/>
      <c r="W69" s="206"/>
      <c r="X69" s="233"/>
      <c r="Y69" s="199"/>
      <c r="AA69" s="555"/>
      <c r="AB69" s="555"/>
    </row>
    <row r="70" spans="2:28" ht="13" x14ac:dyDescent="0.3">
      <c r="B70" s="232"/>
      <c r="C70" s="203"/>
      <c r="D70" s="205"/>
      <c r="E70" s="205"/>
      <c r="F70" s="208" t="s">
        <v>491</v>
      </c>
      <c r="G70" s="220">
        <f>IF(OR(AuxLane,OffRamp),(PerPeakADT*ADT20B)*(PerWeaveB-PerTruckB)*VLOOKUP(TMSLookup,TMSAdj,5),0)+IF(AuxLane,RampVolP*PeakLngthNB,0)+IF(OR(HOVConn,HOVDrop),PerWeaveNB*HOVvolB*PeakLngthNB,0)</f>
        <v>0</v>
      </c>
      <c r="H70" s="221"/>
      <c r="I70" s="222">
        <f>IF(ISNUMBER(H70),H70,G70)</f>
        <v>0</v>
      </c>
      <c r="J70" s="215"/>
      <c r="K70" s="206"/>
      <c r="L70" s="233"/>
      <c r="N70" s="232"/>
      <c r="O70" s="203"/>
      <c r="P70" s="204" t="s">
        <v>196</v>
      </c>
      <c r="Q70" s="205"/>
      <c r="R70" s="208"/>
      <c r="S70" s="205"/>
      <c r="T70" s="205"/>
      <c r="U70" s="205"/>
      <c r="V70" s="205"/>
      <c r="W70" s="206"/>
      <c r="X70" s="233"/>
      <c r="Y70" s="199"/>
      <c r="AA70" s="555"/>
      <c r="AB70" s="555"/>
    </row>
    <row r="71" spans="2:28" x14ac:dyDescent="0.25">
      <c r="B71" s="232"/>
      <c r="C71" s="203"/>
      <c r="D71" s="205"/>
      <c r="E71" s="205"/>
      <c r="F71" s="208" t="s">
        <v>191</v>
      </c>
      <c r="G71" s="220">
        <f>IF(HwyRail,0,IF(Queuing,ADT20B*DepRate20*PeakLngthNB*(DepRate1-ADT1NB*(1-PerPeakADT)/(24-PeakLngthNB))/(ADT1NB/ADT20NB*DepRate20-ADT1NB*(1-PerPeakADT)/(24-PeakLngthNB))/ADT20NB,PerPeakADT*ADT20B)*PerTruckB*VLOOKUP(TMSLookup,TMSAdj,5))</f>
        <v>0</v>
      </c>
      <c r="H71" s="221"/>
      <c r="I71" s="222">
        <f>IF(ISNUMBER(H71),H71,G71)</f>
        <v>0</v>
      </c>
      <c r="J71" s="215"/>
      <c r="K71" s="206"/>
      <c r="L71" s="233"/>
      <c r="N71" s="232"/>
      <c r="O71" s="203"/>
      <c r="P71" s="205"/>
      <c r="Q71" s="205"/>
      <c r="R71" s="208" t="s">
        <v>545</v>
      </c>
      <c r="S71" s="205"/>
      <c r="T71" s="845"/>
      <c r="U71" s="219">
        <f>IF(ISNUMBER(T71),T71,0)</f>
        <v>0</v>
      </c>
      <c r="V71" s="214" t="str">
        <f>IF(ASM,"",IF(AND(ISBLANK(T71),RADataAvail="Y"),"&lt;-- Please enter a volume",""))</f>
        <v/>
      </c>
      <c r="W71" s="206"/>
      <c r="X71" s="233"/>
      <c r="Y71" s="199"/>
      <c r="AA71" s="555"/>
      <c r="AB71" s="555"/>
    </row>
    <row r="72" spans="2:28" x14ac:dyDescent="0.25">
      <c r="B72" s="232"/>
      <c r="C72" s="203"/>
      <c r="D72" s="205"/>
      <c r="E72" s="205"/>
      <c r="F72" s="208" t="s">
        <v>192</v>
      </c>
      <c r="G72" s="223">
        <f>IF(PHV20B=0,55,IF(HOVLanesB=0,PNS20B,FFSpeedB/(1+HOVAlpha*MIN(PHV20B/(HOVLanesB*HOVLaneCap*PeakLngthNB*IF(Queuing,(DepRate1-ADT1NB*(1-PerPeakADT)/(24-PeakLngthNB))/(ADT1NB/ADT20NB*DepRate20-ADT1NB*(1-PerPeakADT)/(24-PeakLngthNB)),1)),MaxVC)^HOVBeta)*IF(Pavement,VLOOKUP(IRI20B,SpeedPavAdj,2),1)))</f>
        <v>55</v>
      </c>
      <c r="H72" s="224"/>
      <c r="I72" s="225">
        <f>MAX(IF(ISNUMBER(H72),H72,G72),5)</f>
        <v>55</v>
      </c>
      <c r="J72" s="215"/>
      <c r="K72" s="206"/>
      <c r="L72" s="233"/>
      <c r="N72" s="232"/>
      <c r="O72" s="203"/>
      <c r="P72" s="205"/>
      <c r="Q72" s="205"/>
      <c r="R72" s="208" t="s">
        <v>546</v>
      </c>
      <c r="S72" s="205"/>
      <c r="T72" s="846"/>
      <c r="U72" s="222">
        <f>IF(ISNUMBER(T72),T72,0)</f>
        <v>0</v>
      </c>
      <c r="V72" s="215" t="str">
        <f>IF(AND(ISBLANK(T72),OR(ASM,RADataAvail="Y")),"&lt;-- Please enter a volume","")</f>
        <v/>
      </c>
      <c r="W72" s="206"/>
      <c r="X72" s="233"/>
      <c r="Y72" s="199"/>
      <c r="AA72" s="555"/>
      <c r="AB72" s="555"/>
    </row>
    <row r="73" spans="2:28" x14ac:dyDescent="0.25">
      <c r="B73" s="232"/>
      <c r="C73" s="203"/>
      <c r="D73" s="205"/>
      <c r="E73" s="205"/>
      <c r="F73" s="208" t="s">
        <v>194</v>
      </c>
      <c r="G73" s="223">
        <f>IF(SUM(I68:I71)=0,55,MIN(FFSpeedB/(1+GenAlphaB*MIN(SUM(IF(HOVLanesB=0,I68:I71,I69:I71))/(GenLanesB*GenLaneCapB*PeakLngthNB*IF(Queuing,(DepRate1-ADT1NB*(1-PerPeakADT)/(24-PeakLngthNB))/(ADT1NB/ADT20NB*DepRate20-ADT1NB*(1-PerPeakADT)/(24-PeakLngthNB)),1)),MaxVC)^GenBetaB)*VLOOKUP(TMSLookup,TMSAdj,4),FFSpeedB))*IF(FreeConn,VLOOKUP(PerWeaveB,SpeedWeaveAdj,2),1)*IF(OR(HOVConn,HOVDrop),VLOOKUP(PerWeaveB,SpeedWeaveAdj,3),1)*IF(Pavement,VLOOKUP(IRI20B,SpeedPavAdj,2),1)</f>
        <v>55</v>
      </c>
      <c r="H73" s="224"/>
      <c r="I73" s="225">
        <f>MAX(IF(ISNUMBER(H73),H73,G73),5)</f>
        <v>55</v>
      </c>
      <c r="J73" s="215"/>
      <c r="K73" s="206"/>
      <c r="L73" s="233"/>
      <c r="N73" s="232"/>
      <c r="O73" s="203"/>
      <c r="P73" s="205"/>
      <c r="Q73" s="205"/>
      <c r="R73" s="208" t="s">
        <v>539</v>
      </c>
      <c r="S73" s="205"/>
      <c r="T73" s="847"/>
      <c r="U73" s="225">
        <f>MAX(T73,IdleSpeed)</f>
        <v>5</v>
      </c>
      <c r="V73" s="215" t="str">
        <f>IF(ASM,"",IF(AND(ISBLANK(T73),RADataAvail="Y"),"&lt;-- Please enter a speed",""))</f>
        <v/>
      </c>
      <c r="W73" s="206"/>
      <c r="X73" s="233"/>
      <c r="Y73" s="199"/>
      <c r="AA73" s="555"/>
      <c r="AB73" s="555"/>
    </row>
    <row r="74" spans="2:28" x14ac:dyDescent="0.25">
      <c r="B74" s="232"/>
      <c r="C74" s="203"/>
      <c r="D74" s="205"/>
      <c r="E74" s="205"/>
      <c r="F74" s="208" t="s">
        <v>492</v>
      </c>
      <c r="G74" s="788">
        <f>IF(PWV20B=0,55,IF(AuxLane,MAX(5,MIN(PNS20B,1.1*(FFSpeedB-(FFSpeedB-42)*(0.321+0.0039*EXP((PWV20B+PTV20B)/NumDirections/PeakLngthNB/1000)-0.002*(IF(OffRamp,1083,SegmentB*5280)*RampFFSpdB/1000)))*VLOOKUP(TMSLookup,TMSAdj,4)*IF(Pavement,VLOOKUP(IRI20B,SpeedPavAdj,2),1))),PNS20B))</f>
        <v>55</v>
      </c>
      <c r="H74" s="789"/>
      <c r="I74" s="225">
        <f>MAX(IF(ISNUMBER(H74),H74,G74),5)</f>
        <v>55</v>
      </c>
      <c r="J74" s="790"/>
      <c r="K74" s="206"/>
      <c r="L74" s="233"/>
      <c r="N74" s="232"/>
      <c r="O74" s="203"/>
      <c r="P74" s="205"/>
      <c r="Q74" s="205"/>
      <c r="R74" s="208" t="s">
        <v>540</v>
      </c>
      <c r="S74" s="205"/>
      <c r="T74" s="848"/>
      <c r="U74" s="228">
        <f>MAX(T74,IdleSpeed)</f>
        <v>5</v>
      </c>
      <c r="V74" s="216" t="str">
        <f>IF(AND(ISBLANK(T74),OR(ASM,RADataAvail="Y")),"&lt;-- Please enter a speed","")</f>
        <v/>
      </c>
      <c r="W74" s="206"/>
      <c r="X74" s="233"/>
      <c r="Y74" s="199"/>
      <c r="AA74" s="555"/>
      <c r="AB74" s="555"/>
    </row>
    <row r="75" spans="2:28" x14ac:dyDescent="0.25">
      <c r="B75" s="232"/>
      <c r="C75" s="203"/>
      <c r="D75" s="205"/>
      <c r="E75" s="205"/>
      <c r="F75" s="208" t="s">
        <v>96</v>
      </c>
      <c r="G75" s="226">
        <f>IF(PTV20B=0,55,MIN(TruckSpeed,IF(AuxLane,PWS20B,PNS20B)/IF(Pavement,VLOOKUP(IRI20B,SpeedPavAdj,2),1)))*IF(Pavement,VLOOKUP(IRI20B,SpeedPavAdj,3),1)</f>
        <v>55</v>
      </c>
      <c r="H75" s="227"/>
      <c r="I75" s="228">
        <f>MAX(IF(ISNUMBER(H75),H75,G75),5)</f>
        <v>55</v>
      </c>
      <c r="J75" s="216"/>
      <c r="K75" s="206"/>
      <c r="L75" s="233"/>
      <c r="N75" s="232"/>
      <c r="O75" s="209"/>
      <c r="P75" s="210"/>
      <c r="Q75" s="210"/>
      <c r="R75" s="213"/>
      <c r="S75" s="210"/>
      <c r="T75" s="210"/>
      <c r="U75" s="210"/>
      <c r="V75" s="213"/>
      <c r="W75" s="211"/>
      <c r="X75" s="233"/>
      <c r="Y75" s="199"/>
      <c r="AA75" s="555"/>
      <c r="AB75" s="555"/>
    </row>
    <row r="76" spans="2:28" ht="13" thickBot="1" x14ac:dyDescent="0.3">
      <c r="B76" s="232"/>
      <c r="C76" s="203"/>
      <c r="D76" s="205"/>
      <c r="E76" s="205"/>
      <c r="F76" s="208"/>
      <c r="G76" s="205"/>
      <c r="H76" s="205"/>
      <c r="I76" s="205"/>
      <c r="J76" s="205"/>
      <c r="K76" s="206"/>
      <c r="L76" s="233"/>
      <c r="N76" s="236"/>
      <c r="O76" s="237"/>
      <c r="P76" s="237"/>
      <c r="Q76" s="237"/>
      <c r="R76" s="237"/>
      <c r="S76" s="237"/>
      <c r="T76" s="237"/>
      <c r="U76" s="237"/>
      <c r="V76" s="237"/>
      <c r="W76" s="237"/>
      <c r="X76" s="238"/>
      <c r="Y76" s="199"/>
      <c r="AA76" s="555"/>
      <c r="AB76" s="555"/>
    </row>
    <row r="77" spans="2:28" ht="13" thickTop="1" x14ac:dyDescent="0.25">
      <c r="B77" s="232"/>
      <c r="C77" s="203"/>
      <c r="D77" s="205"/>
      <c r="E77" s="207" t="s">
        <v>195</v>
      </c>
      <c r="F77" s="208"/>
      <c r="G77" s="205"/>
      <c r="H77" s="205"/>
      <c r="I77" s="205"/>
      <c r="J77" s="205"/>
      <c r="K77" s="206"/>
      <c r="L77" s="233"/>
      <c r="AA77" s="555"/>
      <c r="AB77" s="555"/>
    </row>
    <row r="78" spans="2:28" x14ac:dyDescent="0.25">
      <c r="B78" s="232"/>
      <c r="C78" s="203"/>
      <c r="D78" s="205"/>
      <c r="E78" s="205"/>
      <c r="F78" s="208" t="s">
        <v>190</v>
      </c>
      <c r="G78" s="217">
        <f>IF(HwyRail,(ArrRate20*GateTime20/60)/(1-ArrRate20/DepRate20)*NumTrain20/AnnualFactor*(1-PerTruckNB)*ADT20B/ADT20NB,IF(Queuing,ADT20B*(1-DepRate20*PeakLngthNB*(DepRate1-ADT1NB*(1-PerPeakADT)/(24-PeakLngthNB))/(ADT1NB/ADT20NB*DepRate20-ADT1NB*(1-PerPeakADT)/(24-PeakLngthNB))/ADT20NB),(1-PerPeakADT)*ADT20B)*(1-IF(OR(AuxLane,OffRamp),PerWeaveB,PerTruckB))-IF(OR(PassRail,LRT,Bus),(1-TPerPeak)*TPerHwy*(TAPT20B-TAPT20NB)/AnnualFactor/AVONonNB))</f>
        <v>0</v>
      </c>
      <c r="H78" s="218"/>
      <c r="I78" s="219">
        <f>IF(ISNUMBER(H78),H78,G78)</f>
        <v>0</v>
      </c>
      <c r="J78" s="214"/>
      <c r="K78" s="206"/>
      <c r="L78" s="233"/>
      <c r="AA78" s="555"/>
      <c r="AB78" s="555"/>
    </row>
    <row r="79" spans="2:28" x14ac:dyDescent="0.25">
      <c r="B79" s="232"/>
      <c r="C79" s="203"/>
      <c r="D79" s="205"/>
      <c r="E79" s="205"/>
      <c r="F79" s="208" t="s">
        <v>491</v>
      </c>
      <c r="G79" s="220">
        <f>IF(OR(AuxLane,OffRamp),((1-PerPeakADT)*ADT20B)*(PerWeaveB-PerTruckB),0)+IF(AuxLane,RampVolNP*(24-PeakLngthNB),0)</f>
        <v>0</v>
      </c>
      <c r="H79" s="791"/>
      <c r="I79" s="222">
        <f>IF(ISNUMBER(H79),H79,G79)</f>
        <v>0</v>
      </c>
      <c r="J79" s="792"/>
      <c r="K79" s="206"/>
      <c r="L79" s="233"/>
      <c r="AA79" s="555"/>
      <c r="AB79" s="555"/>
    </row>
    <row r="80" spans="2:28" x14ac:dyDescent="0.25">
      <c r="B80" s="232"/>
      <c r="C80" s="203"/>
      <c r="D80" s="205"/>
      <c r="E80" s="205"/>
      <c r="F80" s="208" t="s">
        <v>191</v>
      </c>
      <c r="G80" s="220">
        <f>IF(HwyRail,(ArrRate20*GateTime20/60)/(1-ArrRate20/DepRate20)*NumTrain20/AnnualFactor*PerTruckNB*ADT20B/ADT20NB,IF(Queuing,ADT20B*(1-DepRate20*PeakLngthNB*(DepRate1-ADT1NB*(1-PerPeakADT)/(24-PeakLngthNB))/(ADT1NB/ADT20NB*DepRate20-ADT1NB*(1-PerPeakADT)/(24-PeakLngthNB))/ADT20NB),(1-PerPeakADT)*ADT20B)*PerTruckB)</f>
        <v>0</v>
      </c>
      <c r="H80" s="221"/>
      <c r="I80" s="222">
        <f>IF(ISNUMBER(H80),H80,G80)</f>
        <v>0</v>
      </c>
      <c r="J80" s="215"/>
      <c r="K80" s="206"/>
      <c r="L80" s="233"/>
      <c r="AA80" s="555"/>
      <c r="AB80" s="555"/>
    </row>
    <row r="81" spans="2:28" x14ac:dyDescent="0.25">
      <c r="B81" s="232"/>
      <c r="C81" s="203"/>
      <c r="D81" s="205"/>
      <c r="E81" s="205"/>
      <c r="F81" s="208" t="s">
        <v>194</v>
      </c>
      <c r="G81" s="223">
        <f>IF(HwyRail,FFSpeedB,IF(SUM(I78:I80)=0,55,FFSpeedB/(1+GenAlphaB*MIN(SUM(I78:I80)/((GenLanesB+HOVLanesB)*GenLaneCapB*(24-PeakLngthNB*IF(Queuing,(DepRate1-ADT1NB*(1-PerPeakADT)/(24-PeakLngthNB))/(ADT1NB/ADT20NB*DepRate20-ADT1NB*(1-PerPeakADT)/(24-PeakLngthNB)),1))),MaxVC)^GenBetaB))*IF(FreeConn,VLOOKUP(PerWeaveB,SpeedWeaveAdj,2),1)*IF(OR(HOVConn,HOVDrop),VLOOKUP(PerWeaveB,SpeedWeaveAdj,3),1)*IF(Pavement,VLOOKUP(IRI20B,SpeedPavAdj,2),1))</f>
        <v>55</v>
      </c>
      <c r="H81" s="224"/>
      <c r="I81" s="225">
        <f>MAX(IF(ISNUMBER(H81),H81,G81),5)</f>
        <v>55</v>
      </c>
      <c r="J81" s="215"/>
      <c r="K81" s="206"/>
      <c r="L81" s="233"/>
      <c r="AA81" s="555"/>
      <c r="AB81" s="555"/>
    </row>
    <row r="82" spans="2:28" x14ac:dyDescent="0.25">
      <c r="B82" s="232"/>
      <c r="C82" s="203"/>
      <c r="D82" s="205"/>
      <c r="E82" s="205"/>
      <c r="F82" s="208" t="s">
        <v>492</v>
      </c>
      <c r="G82" s="788">
        <f>IF(NWV20B=0,55,IF(AuxLane,MAX(5,MIN(NNS20B,1.1*(FFSpeedB-(FFSpeedB-42)*(0.321+0.0039*EXP((NWV20B+NTV20B)/NumDirections/(24-PeakLngthNB)/1000)-0.002*(IF(OffRamp,1083,SegmentB*5280)*RampFFSpdB/1000)))*IF(Pavement,VLOOKUP(IRI20B,SpeedPavAdj,2),1))),NNS20B))</f>
        <v>55</v>
      </c>
      <c r="H82" s="789"/>
      <c r="I82" s="225">
        <f>MAX(IF(ISNUMBER(H82),H82,G82),5)</f>
        <v>55</v>
      </c>
      <c r="J82" s="790"/>
      <c r="K82" s="206"/>
      <c r="L82" s="233"/>
      <c r="AA82" s="555"/>
      <c r="AB82" s="555"/>
    </row>
    <row r="83" spans="2:28" x14ac:dyDescent="0.25">
      <c r="B83" s="232"/>
      <c r="C83" s="203"/>
      <c r="D83" s="205"/>
      <c r="E83" s="205"/>
      <c r="F83" s="208" t="s">
        <v>96</v>
      </c>
      <c r="G83" s="226">
        <f>IF(HwyRail,FFSpeedB,IF(NTV20B=0,55,MIN(TruckSpeed,IF(AuxLane,NWS20B,NNS20B)/IF(Pavement,VLOOKUP(IRI20B,SpeedPavAdj,2),1)))*IF(Pavement,VLOOKUP(IRI20B,SpeedPavAdj,3),1))</f>
        <v>55</v>
      </c>
      <c r="H83" s="227"/>
      <c r="I83" s="228">
        <f>MAX(IF(ISNUMBER(H83),H83,G83),5)</f>
        <v>55</v>
      </c>
      <c r="J83" s="216"/>
      <c r="K83" s="206"/>
      <c r="L83" s="233"/>
      <c r="AA83" s="555"/>
      <c r="AB83" s="555"/>
    </row>
    <row r="84" spans="2:28" x14ac:dyDescent="0.25">
      <c r="B84" s="232"/>
      <c r="C84" s="209"/>
      <c r="D84" s="210"/>
      <c r="E84" s="210"/>
      <c r="F84" s="213"/>
      <c r="G84" s="210"/>
      <c r="H84" s="210"/>
      <c r="I84" s="210"/>
      <c r="J84" s="213"/>
      <c r="K84" s="211"/>
      <c r="L84" s="233"/>
      <c r="AA84" s="555"/>
      <c r="AB84" s="555"/>
    </row>
    <row r="85" spans="2:28" ht="13" thickBot="1" x14ac:dyDescent="0.3">
      <c r="B85" s="236"/>
      <c r="C85" s="237"/>
      <c r="D85" s="237"/>
      <c r="E85" s="237"/>
      <c r="F85" s="237"/>
      <c r="G85" s="237"/>
      <c r="H85" s="237"/>
      <c r="I85" s="237"/>
      <c r="J85" s="237"/>
      <c r="K85" s="237"/>
      <c r="L85" s="238"/>
      <c r="AA85" s="555"/>
      <c r="AB85" s="555"/>
    </row>
    <row r="86" spans="2:28" ht="13" thickTop="1" x14ac:dyDescent="0.25">
      <c r="AA86" s="555"/>
      <c r="AB86" s="555"/>
    </row>
    <row r="87" spans="2:28" ht="13" x14ac:dyDescent="0.3">
      <c r="B87" s="554" t="s">
        <v>495</v>
      </c>
      <c r="AA87" s="555"/>
      <c r="AB87" s="555"/>
    </row>
    <row r="88" spans="2:28" x14ac:dyDescent="0.25">
      <c r="B88" s="1"/>
      <c r="AA88" s="555"/>
      <c r="AB88" s="555"/>
    </row>
    <row r="89" spans="2:28" x14ac:dyDescent="0.25">
      <c r="AA89" s="555"/>
      <c r="AB89" s="555"/>
    </row>
    <row r="90" spans="2:28" x14ac:dyDescent="0.25">
      <c r="AA90" s="555"/>
      <c r="AB90" s="555"/>
    </row>
    <row r="91" spans="2:28" x14ac:dyDescent="0.25">
      <c r="AA91" s="555"/>
      <c r="AB91" s="555"/>
    </row>
    <row r="92" spans="2:28" x14ac:dyDescent="0.25">
      <c r="AA92" s="555"/>
      <c r="AB92" s="555"/>
    </row>
    <row r="93" spans="2:28" x14ac:dyDescent="0.25">
      <c r="AA93" s="555"/>
      <c r="AB93" s="555"/>
    </row>
    <row r="94" spans="2:28" x14ac:dyDescent="0.25">
      <c r="AA94" s="555"/>
      <c r="AB94" s="555"/>
    </row>
    <row r="95" spans="2:28" x14ac:dyDescent="0.25">
      <c r="AA95" s="555"/>
      <c r="AB95" s="555"/>
    </row>
    <row r="96" spans="2:28" x14ac:dyDescent="0.25">
      <c r="AA96" s="555"/>
      <c r="AB96" s="555"/>
    </row>
    <row r="97" spans="27:28" x14ac:dyDescent="0.25">
      <c r="AA97" s="555"/>
      <c r="AB97" s="555"/>
    </row>
    <row r="98" spans="27:28" x14ac:dyDescent="0.25">
      <c r="AA98" s="555"/>
      <c r="AB98" s="555"/>
    </row>
    <row r="99" spans="27:28" x14ac:dyDescent="0.25">
      <c r="AA99" s="555"/>
      <c r="AB99" s="555"/>
    </row>
    <row r="100" spans="27:28" x14ac:dyDescent="0.25">
      <c r="AA100" s="555"/>
      <c r="AB100" s="555"/>
    </row>
    <row r="101" spans="27:28" x14ac:dyDescent="0.25">
      <c r="AA101" s="555"/>
      <c r="AB101" s="555"/>
    </row>
    <row r="102" spans="27:28" x14ac:dyDescent="0.25">
      <c r="AA102" s="555"/>
      <c r="AB102" s="555"/>
    </row>
    <row r="103" spans="27:28" x14ac:dyDescent="0.25">
      <c r="AA103" s="555"/>
      <c r="AB103" s="555"/>
    </row>
    <row r="104" spans="27:28" x14ac:dyDescent="0.25">
      <c r="AA104" s="555"/>
      <c r="AB104" s="555"/>
    </row>
    <row r="105" spans="27:28" x14ac:dyDescent="0.25">
      <c r="AA105" s="555"/>
      <c r="AB105" s="555"/>
    </row>
    <row r="106" spans="27:28" x14ac:dyDescent="0.25">
      <c r="AA106" s="555"/>
      <c r="AB106" s="555"/>
    </row>
    <row r="107" spans="27:28" x14ac:dyDescent="0.25">
      <c r="AA107" s="555"/>
      <c r="AB107" s="555"/>
    </row>
    <row r="108" spans="27:28" x14ac:dyDescent="0.25">
      <c r="AA108" s="555"/>
      <c r="AB108" s="555"/>
    </row>
    <row r="109" spans="27:28" x14ac:dyDescent="0.25">
      <c r="AA109" s="555"/>
      <c r="AB109" s="555"/>
    </row>
    <row r="110" spans="27:28" x14ac:dyDescent="0.25">
      <c r="AA110" s="555"/>
      <c r="AB110" s="555"/>
    </row>
  </sheetData>
  <phoneticPr fontId="0" type="noConversion"/>
  <dataValidations disablePrompts="1" count="2">
    <dataValidation type="list" allowBlank="1" showDropDown="1" showInputMessage="1" showErrorMessage="1" error="Please enter &quot;Y&quot; or &quot;N&quot;" sqref="T40" xr:uid="{00000000-0002-0000-0300-000000000000}">
      <formula1>"Y,N,y,n"</formula1>
    </dataValidation>
    <dataValidation allowBlank="1" showErrorMessage="1" prompt="For safety projects, enter only collision reduction factors consistent with HSIP Guidelines" sqref="T12" xr:uid="{00000000-0002-0000-0300-000001000000}"/>
  </dataValidations>
  <printOptions horizontalCentered="1"/>
  <pageMargins left="0.75" right="0.75" top="0.75" bottom="0.75" header="0.5" footer="0.5"/>
  <pageSetup scale="59" fitToWidth="2" orientation="portrait" r:id="rId1"/>
  <headerFooter alignWithMargins="0">
    <oddFooter>&amp;L&amp;8Transportation Economics
Caltrans DOTP&amp;C&amp;8Cal-B/C - &amp;A
&amp;F&amp;R&amp;8Page &amp;P
&amp;D</oddFooter>
  </headerFooter>
  <colBreaks count="2" manualBreakCount="2">
    <brk id="13" max="1048575" man="1"/>
    <brk id="25"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CCFFCC"/>
  </sheetPr>
  <dimension ref="B2:V52"/>
  <sheetViews>
    <sheetView showGridLines="0" zoomScale="65" zoomScaleNormal="65" workbookViewId="0"/>
  </sheetViews>
  <sheetFormatPr defaultColWidth="9.1796875" defaultRowHeight="12.5" x14ac:dyDescent="0.25"/>
  <cols>
    <col min="1" max="1" width="6.81640625" style="1" customWidth="1"/>
    <col min="2" max="2" width="8.26953125" style="1" customWidth="1"/>
    <col min="3" max="4" width="2.7265625" style="1" customWidth="1"/>
    <col min="5" max="5" width="22.81640625" style="1" customWidth="1"/>
    <col min="6" max="6" width="2.54296875" style="1" customWidth="1"/>
    <col min="7" max="7" width="16.26953125" style="1" customWidth="1"/>
    <col min="8" max="8" width="14.26953125" style="1" customWidth="1"/>
    <col min="9" max="9" width="2.81640625" style="1" customWidth="1"/>
    <col min="10" max="11" width="2.7265625" style="1" customWidth="1"/>
    <col min="12" max="12" width="26.7265625" style="1" customWidth="1"/>
    <col min="13" max="13" width="16.453125" style="1" customWidth="1"/>
    <col min="14" max="14" width="2.54296875" style="1" customWidth="1"/>
    <col min="15" max="18" width="14.26953125" style="1" customWidth="1"/>
    <col min="19" max="20" width="2.54296875" style="1" customWidth="1"/>
    <col min="21" max="16384" width="9.1796875" style="1"/>
  </cols>
  <sheetData>
    <row r="2" spans="2:22" ht="15.5" x14ac:dyDescent="0.25">
      <c r="B2" s="765" t="s">
        <v>110</v>
      </c>
      <c r="C2" s="86"/>
      <c r="E2" s="733" t="str">
        <f>'1) Project Information'!E2</f>
        <v>HQ</v>
      </c>
      <c r="F2" s="733"/>
      <c r="G2" s="733"/>
      <c r="J2" s="87"/>
      <c r="K2" s="87"/>
      <c r="L2" s="88"/>
      <c r="M2" s="88"/>
      <c r="N2" s="88"/>
      <c r="O2" s="89"/>
      <c r="P2" s="89"/>
      <c r="Q2" s="89"/>
      <c r="R2" s="88"/>
      <c r="S2" s="88"/>
      <c r="T2" s="87"/>
      <c r="U2" s="88"/>
      <c r="V2" s="88"/>
    </row>
    <row r="3" spans="2:22" ht="14" x14ac:dyDescent="0.25">
      <c r="B3" s="766"/>
      <c r="C3" s="90"/>
      <c r="E3" s="87"/>
      <c r="F3" s="87"/>
      <c r="G3" s="87"/>
      <c r="P3" s="95"/>
      <c r="Q3" s="95" t="s">
        <v>113</v>
      </c>
      <c r="R3" s="734">
        <f>'1) Project Information'!Q3</f>
        <v>0</v>
      </c>
      <c r="S3" s="88"/>
      <c r="T3" s="88"/>
    </row>
    <row r="4" spans="2:22" ht="15.5" x14ac:dyDescent="0.25">
      <c r="B4" s="767" t="s">
        <v>115</v>
      </c>
      <c r="E4" s="93" t="str">
        <f>ProjName</f>
        <v>Hypothetical Project</v>
      </c>
      <c r="F4" s="93"/>
      <c r="G4" s="93"/>
      <c r="P4" s="95"/>
      <c r="Q4" s="95" t="s">
        <v>116</v>
      </c>
      <c r="R4" s="734">
        <f>'1) Project Information'!Q4</f>
        <v>0</v>
      </c>
      <c r="S4" s="88"/>
      <c r="T4" s="88"/>
    </row>
    <row r="5" spans="2:22" ht="15.5" x14ac:dyDescent="0.25">
      <c r="C5" s="93"/>
      <c r="D5" s="93"/>
      <c r="E5" s="94"/>
      <c r="F5" s="94"/>
      <c r="G5" s="94"/>
      <c r="O5" s="578"/>
      <c r="P5" s="578"/>
      <c r="Q5" s="578"/>
      <c r="R5" s="87"/>
      <c r="S5" s="88"/>
      <c r="T5" s="88"/>
    </row>
    <row r="6" spans="2:22" ht="15.5" x14ac:dyDescent="0.25">
      <c r="C6" s="93"/>
      <c r="D6" s="93"/>
      <c r="E6" s="94"/>
      <c r="F6" s="94"/>
      <c r="G6" s="94"/>
      <c r="O6" s="578"/>
      <c r="P6" s="578"/>
      <c r="Q6" s="578"/>
      <c r="R6" s="87"/>
      <c r="S6" s="88"/>
      <c r="T6" s="88"/>
    </row>
    <row r="7" spans="2:22" ht="13" thickBot="1" x14ac:dyDescent="0.3"/>
    <row r="8" spans="2:22" ht="13" thickTop="1" x14ac:dyDescent="0.25">
      <c r="C8" s="239"/>
      <c r="D8" s="240"/>
      <c r="E8" s="240"/>
      <c r="F8" s="240"/>
      <c r="G8" s="240"/>
      <c r="H8" s="241"/>
      <c r="I8" s="241"/>
      <c r="J8" s="716"/>
      <c r="K8" s="716"/>
      <c r="L8" s="53"/>
      <c r="M8" s="53"/>
      <c r="N8" s="53"/>
      <c r="O8" s="53"/>
      <c r="P8" s="53"/>
      <c r="Q8" s="53"/>
      <c r="R8" s="53"/>
      <c r="S8" s="53"/>
      <c r="T8" s="45"/>
    </row>
    <row r="9" spans="2:22" ht="23" x14ac:dyDescent="0.25">
      <c r="C9" s="242"/>
      <c r="D9" s="19">
        <v>3</v>
      </c>
      <c r="E9" s="752" t="s">
        <v>197</v>
      </c>
      <c r="F9" s="752"/>
      <c r="G9" s="752"/>
      <c r="H9" s="243"/>
      <c r="I9" s="243"/>
      <c r="J9" s="3"/>
      <c r="K9" s="3"/>
      <c r="L9" s="198"/>
      <c r="M9" s="198"/>
      <c r="N9" s="198"/>
      <c r="O9" s="198"/>
      <c r="P9" s="198"/>
      <c r="Q9" s="198"/>
      <c r="R9" s="198"/>
      <c r="S9" s="26"/>
      <c r="T9" s="48"/>
    </row>
    <row r="10" spans="2:22" ht="18" x14ac:dyDescent="0.25">
      <c r="C10" s="245"/>
      <c r="D10" s="254"/>
      <c r="E10" s="753" t="s">
        <v>198</v>
      </c>
      <c r="F10" s="753"/>
      <c r="G10" s="753"/>
      <c r="H10" s="243"/>
      <c r="I10" s="243"/>
      <c r="J10" s="722"/>
      <c r="K10" s="722"/>
      <c r="L10" s="198"/>
      <c r="M10" s="198"/>
      <c r="N10" s="198"/>
      <c r="O10" s="198"/>
      <c r="P10" s="198"/>
      <c r="Q10" s="198"/>
      <c r="R10" s="198"/>
      <c r="S10" s="26"/>
      <c r="T10" s="48"/>
    </row>
    <row r="11" spans="2:22" ht="15.5" x14ac:dyDescent="0.25">
      <c r="C11" s="245"/>
      <c r="D11" s="254"/>
      <c r="E11" s="246"/>
      <c r="F11" s="246"/>
      <c r="G11" s="246"/>
      <c r="H11" s="243"/>
      <c r="I11" s="243"/>
      <c r="J11" s="713"/>
      <c r="K11" s="713"/>
      <c r="L11" s="26"/>
      <c r="M11" s="26"/>
      <c r="N11" s="26"/>
      <c r="O11" s="26"/>
      <c r="P11" s="26"/>
      <c r="Q11" s="26"/>
      <c r="R11" s="26"/>
      <c r="S11" s="26"/>
      <c r="T11" s="48"/>
    </row>
    <row r="12" spans="2:22" ht="18.75" customHeight="1" x14ac:dyDescent="0.35">
      <c r="C12" s="247"/>
      <c r="D12" s="255"/>
      <c r="E12" s="256"/>
      <c r="F12" s="256"/>
      <c r="G12" s="256"/>
      <c r="H12" s="257"/>
      <c r="I12" s="258"/>
      <c r="J12" s="714"/>
      <c r="K12" s="717"/>
      <c r="L12" s="55"/>
      <c r="M12" s="55"/>
      <c r="N12" s="55"/>
      <c r="O12" s="1051" t="s">
        <v>305</v>
      </c>
      <c r="P12" s="889" t="s">
        <v>650</v>
      </c>
      <c r="Q12" s="889" t="s">
        <v>593</v>
      </c>
      <c r="R12" s="889" t="s">
        <v>591</v>
      </c>
      <c r="S12" s="56"/>
      <c r="T12" s="48"/>
    </row>
    <row r="13" spans="2:22" ht="18" x14ac:dyDescent="0.4">
      <c r="C13" s="248"/>
      <c r="D13" s="11"/>
      <c r="E13" s="481" t="s">
        <v>199</v>
      </c>
      <c r="F13" s="481"/>
      <c r="G13" s="481"/>
      <c r="H13" s="249">
        <f>LifeCycleCost/1000000</f>
        <v>0</v>
      </c>
      <c r="I13" s="259"/>
      <c r="J13" s="715"/>
      <c r="K13" s="718"/>
      <c r="L13" s="724" t="s">
        <v>200</v>
      </c>
      <c r="M13" s="724"/>
      <c r="N13" s="724"/>
      <c r="O13" s="723" t="s">
        <v>251</v>
      </c>
      <c r="P13" s="723" t="s">
        <v>251</v>
      </c>
      <c r="Q13" s="723" t="s">
        <v>201</v>
      </c>
      <c r="R13" s="723" t="s">
        <v>592</v>
      </c>
      <c r="S13" s="58"/>
      <c r="T13" s="48"/>
    </row>
    <row r="14" spans="2:22" ht="18" x14ac:dyDescent="0.25">
      <c r="C14" s="248"/>
      <c r="D14" s="11"/>
      <c r="E14" s="481" t="s">
        <v>202</v>
      </c>
      <c r="F14" s="481"/>
      <c r="G14" s="481"/>
      <c r="H14" s="250" t="e">
        <f>LifeCycleBene/1000000</f>
        <v>#DIV/0!</v>
      </c>
      <c r="I14" s="259"/>
      <c r="J14" s="714"/>
      <c r="K14" s="719"/>
      <c r="L14" s="481" t="s">
        <v>203</v>
      </c>
      <c r="M14" s="481"/>
      <c r="N14" s="481"/>
      <c r="O14" s="249">
        <f>LifeCycleTT-P14</f>
        <v>0</v>
      </c>
      <c r="P14" s="249">
        <f>('Final Calculations'!C68+'Final Calculations'!H68+'Final Calculations'!M68)/1000000</f>
        <v>0</v>
      </c>
      <c r="Q14" s="249">
        <f>('Final Calculations'!C55+'Final Calculations'!H55+'Final Calculations'!M55)/1000000</f>
        <v>0</v>
      </c>
      <c r="R14" s="249">
        <f t="shared" ref="R14:R19" si="0">Q14/20</f>
        <v>0</v>
      </c>
      <c r="S14" s="58"/>
      <c r="T14" s="48"/>
    </row>
    <row r="15" spans="2:22" ht="18" x14ac:dyDescent="0.25">
      <c r="C15" s="248"/>
      <c r="D15" s="11"/>
      <c r="E15" s="481" t="s">
        <v>204</v>
      </c>
      <c r="F15" s="481"/>
      <c r="G15" s="481"/>
      <c r="H15" s="250" t="e">
        <f>NetPresentValue/1000000</f>
        <v>#DIV/0!</v>
      </c>
      <c r="I15" s="259"/>
      <c r="J15" s="715"/>
      <c r="K15" s="718"/>
      <c r="L15" s="1597" t="s">
        <v>780</v>
      </c>
      <c r="M15" s="481"/>
      <c r="N15" s="481"/>
      <c r="O15" s="1598" t="e">
        <f>LifeCycleRel-P15</f>
        <v>#DIV/0!</v>
      </c>
      <c r="P15" s="1598" t="e">
        <f>('Final Calculations'!$D$68+'Final Calculations'!$I$68+'Final Calculations'!$N$68)/1000000</f>
        <v>#DIV/0!</v>
      </c>
      <c r="Q15" s="1598" t="e">
        <f>('Final Calculations'!$D$55+'Final Calculations'!$I$55+'Final Calculations'!$N$55)/1000000</f>
        <v>#DIV/0!</v>
      </c>
      <c r="R15" s="249" t="e">
        <f t="shared" si="0"/>
        <v>#DIV/0!</v>
      </c>
      <c r="S15" s="58"/>
      <c r="T15" s="48"/>
    </row>
    <row r="16" spans="2:22" ht="18" x14ac:dyDescent="0.25">
      <c r="C16" s="248"/>
      <c r="D16" s="11"/>
      <c r="E16" s="1033"/>
      <c r="F16" s="1033"/>
      <c r="G16" s="1033"/>
      <c r="H16" s="1033"/>
      <c r="I16" s="260"/>
      <c r="J16" s="94"/>
      <c r="K16" s="720"/>
      <c r="L16" s="481" t="s">
        <v>205</v>
      </c>
      <c r="M16" s="481"/>
      <c r="N16" s="481"/>
      <c r="O16" s="249">
        <f>LifeCycleVOC-P16</f>
        <v>0</v>
      </c>
      <c r="P16" s="249">
        <f>('Final Calculations'!E68+'Final Calculations'!J68+'Final Calculations'!O68)/1000000</f>
        <v>0</v>
      </c>
      <c r="Q16" s="249">
        <f>('Final Calculations'!E55+'Final Calculations'!J55+'Final Calculations'!O55)/1000000</f>
        <v>0</v>
      </c>
      <c r="R16" s="249">
        <f t="shared" si="0"/>
        <v>0</v>
      </c>
      <c r="S16" s="58"/>
      <c r="T16" s="48"/>
    </row>
    <row r="17" spans="3:20" ht="18" x14ac:dyDescent="0.25">
      <c r="C17" s="248"/>
      <c r="D17" s="11"/>
      <c r="E17" s="481" t="s">
        <v>206</v>
      </c>
      <c r="F17" s="481"/>
      <c r="G17" s="481"/>
      <c r="H17" s="1034" t="str">
        <f>IF(LifeCycleCost=0,"N/A",LifeCycleBene/LifeCycleCost)</f>
        <v>N/A</v>
      </c>
      <c r="I17" s="261"/>
      <c r="J17" s="94"/>
      <c r="K17" s="720"/>
      <c r="L17" s="481" t="s">
        <v>594</v>
      </c>
      <c r="M17" s="481"/>
      <c r="N17" s="481"/>
      <c r="O17" s="249">
        <f>LifeCycleAcc-P17</f>
        <v>0</v>
      </c>
      <c r="P17" s="249">
        <f>('Final Calculations'!F68+'Final Calculations'!K68+'Final Calculations'!P68)/1000000</f>
        <v>0</v>
      </c>
      <c r="Q17" s="249">
        <f>('Final Calculations'!F55+'Final Calculations'!K55+'Final Calculations'!P55)/1000000</f>
        <v>0</v>
      </c>
      <c r="R17" s="249">
        <f t="shared" si="0"/>
        <v>0</v>
      </c>
      <c r="S17" s="58"/>
      <c r="T17" s="48"/>
    </row>
    <row r="18" spans="3:20" ht="18" x14ac:dyDescent="0.25">
      <c r="C18" s="248"/>
      <c r="D18" s="11"/>
      <c r="E18" s="1033"/>
      <c r="F18" s="1033"/>
      <c r="G18" s="1033"/>
      <c r="H18" s="1033"/>
      <c r="I18" s="261"/>
      <c r="J18" s="94"/>
      <c r="K18" s="720"/>
      <c r="L18" s="481" t="s">
        <v>595</v>
      </c>
      <c r="M18" s="481"/>
      <c r="N18" s="481"/>
      <c r="O18" s="249" t="e">
        <f>LifeCycleEm-P18</f>
        <v>#N/A</v>
      </c>
      <c r="P18" s="249" t="e">
        <f>('Final Calculations'!G68+'Final Calculations'!L68+'Final Calculations'!Q68)/1000000</f>
        <v>#N/A</v>
      </c>
      <c r="Q18" s="249" t="e">
        <f>('Final Calculations'!G55+'Final Calculations'!L55+'Final Calculations'!Q55)/1000000</f>
        <v>#N/A</v>
      </c>
      <c r="R18" s="249" t="e">
        <f t="shared" si="0"/>
        <v>#N/A</v>
      </c>
      <c r="S18" s="58"/>
      <c r="T18" s="48"/>
    </row>
    <row r="19" spans="3:20" ht="18" x14ac:dyDescent="0.25">
      <c r="C19" s="248"/>
      <c r="D19" s="11"/>
      <c r="E19" s="481" t="s">
        <v>207</v>
      </c>
      <c r="F19" s="481"/>
      <c r="G19" s="481"/>
      <c r="H19" s="1035" t="e">
        <f>ReturnOnInvest</f>
        <v>#DIV/0!</v>
      </c>
      <c r="I19" s="261"/>
      <c r="J19" s="94"/>
      <c r="K19" s="720"/>
      <c r="L19" s="725" t="s">
        <v>209</v>
      </c>
      <c r="M19" s="725"/>
      <c r="N19" s="725"/>
      <c r="O19" s="249" t="e">
        <f>SUM(O14:O18)</f>
        <v>#DIV/0!</v>
      </c>
      <c r="P19" s="249" t="e">
        <f>SUM(P14:P18)</f>
        <v>#DIV/0!</v>
      </c>
      <c r="Q19" s="249" t="e">
        <f>SUM(Q14:Q18)</f>
        <v>#DIV/0!</v>
      </c>
      <c r="R19" s="249" t="e">
        <f t="shared" si="0"/>
        <v>#DIV/0!</v>
      </c>
      <c r="S19" s="58"/>
      <c r="T19" s="48"/>
    </row>
    <row r="20" spans="3:20" ht="18" x14ac:dyDescent="0.25">
      <c r="C20" s="248"/>
      <c r="D20" s="11"/>
      <c r="E20" s="1033"/>
      <c r="F20" s="1033"/>
      <c r="G20" s="1033"/>
      <c r="H20" s="1033"/>
      <c r="I20" s="261"/>
      <c r="J20" s="94"/>
      <c r="K20" s="720"/>
      <c r="L20" s="760"/>
      <c r="M20" s="760"/>
      <c r="N20" s="760"/>
      <c r="O20" s="875"/>
      <c r="P20" s="875"/>
      <c r="Q20" s="875"/>
      <c r="R20" s="875"/>
      <c r="S20" s="58"/>
      <c r="T20" s="48"/>
    </row>
    <row r="21" spans="3:20" ht="18.75" customHeight="1" x14ac:dyDescent="0.25">
      <c r="C21" s="248"/>
      <c r="D21" s="11"/>
      <c r="E21" s="481" t="s">
        <v>208</v>
      </c>
      <c r="F21" s="481"/>
      <c r="G21" s="481"/>
      <c r="H21" s="1067" t="str">
        <f>Payback</f>
        <v>N/A</v>
      </c>
      <c r="I21" s="261"/>
      <c r="J21" s="94"/>
      <c r="K21" s="720"/>
      <c r="L21" s="481" t="s">
        <v>81</v>
      </c>
      <c r="M21" s="725"/>
      <c r="N21" s="725"/>
      <c r="O21" s="725"/>
      <c r="P21" s="876"/>
      <c r="Q21" s="887">
        <f>'Final Calculations'!C57+'Final Calculations'!H57+'Final Calculations'!M57</f>
        <v>0</v>
      </c>
      <c r="R21" s="887">
        <f>Q21/20</f>
        <v>0</v>
      </c>
      <c r="S21" s="58"/>
      <c r="T21" s="48"/>
    </row>
    <row r="22" spans="3:20" ht="18.75" customHeight="1" x14ac:dyDescent="0.25">
      <c r="C22" s="248"/>
      <c r="D22" s="11"/>
      <c r="E22" s="875"/>
      <c r="F22" s="875"/>
      <c r="G22" s="875"/>
      <c r="H22" s="875"/>
      <c r="I22" s="1604"/>
      <c r="J22" s="94"/>
      <c r="K22" s="720"/>
      <c r="L22" s="875"/>
      <c r="M22" s="760"/>
      <c r="N22" s="760"/>
      <c r="O22" s="760"/>
      <c r="P22" s="760"/>
      <c r="Q22" s="760"/>
      <c r="R22" s="760"/>
      <c r="S22" s="58"/>
      <c r="T22" s="48"/>
    </row>
    <row r="23" spans="3:20" ht="18.75" customHeight="1" x14ac:dyDescent="0.25">
      <c r="C23" s="248"/>
      <c r="D23" s="262"/>
      <c r="E23" s="263"/>
      <c r="F23" s="263"/>
      <c r="G23" s="263"/>
      <c r="H23" s="264"/>
      <c r="I23" s="265"/>
      <c r="J23" s="94"/>
      <c r="K23" s="721"/>
      <c r="L23" s="61"/>
      <c r="M23" s="61"/>
      <c r="N23" s="61"/>
      <c r="O23" s="61"/>
      <c r="P23" s="61"/>
      <c r="Q23" s="61"/>
      <c r="R23" s="61"/>
      <c r="S23" s="62"/>
      <c r="T23" s="48"/>
    </row>
    <row r="24" spans="3:20" ht="14.25" customHeight="1" x14ac:dyDescent="0.25">
      <c r="C24" s="248"/>
      <c r="D24" s="271"/>
      <c r="E24" s="1282"/>
      <c r="F24" s="1282"/>
      <c r="G24" s="1282"/>
      <c r="H24" s="1283"/>
      <c r="I24" s="1283"/>
      <c r="J24" s="94"/>
      <c r="K24" s="94"/>
      <c r="L24" s="36"/>
      <c r="M24" s="36"/>
      <c r="N24" s="36"/>
      <c r="O24" s="36"/>
      <c r="P24" s="36"/>
      <c r="Q24" s="36"/>
      <c r="R24" s="36"/>
      <c r="S24" s="36"/>
      <c r="T24" s="65"/>
    </row>
    <row r="25" spans="3:20" ht="18.75" customHeight="1" x14ac:dyDescent="0.4">
      <c r="C25" s="248"/>
      <c r="D25" s="764" t="s">
        <v>82</v>
      </c>
      <c r="E25" s="55"/>
      <c r="F25" s="761"/>
      <c r="G25" s="55"/>
      <c r="H25" s="55"/>
      <c r="I25" s="56"/>
      <c r="J25" s="94"/>
      <c r="K25" s="1284"/>
      <c r="L25" s="1288"/>
      <c r="M25" s="1288"/>
      <c r="N25" s="1288"/>
      <c r="O25" s="1298" t="s">
        <v>721</v>
      </c>
      <c r="P25" s="1301"/>
      <c r="Q25" s="1298" t="s">
        <v>722</v>
      </c>
      <c r="R25" s="1301"/>
      <c r="S25" s="1305"/>
      <c r="T25" s="48"/>
    </row>
    <row r="26" spans="3:20" ht="18.75" customHeight="1" x14ac:dyDescent="0.35">
      <c r="C26" s="248"/>
      <c r="D26" s="762"/>
      <c r="E26" s="33"/>
      <c r="F26" s="758"/>
      <c r="G26" s="33"/>
      <c r="H26" s="757"/>
      <c r="I26" s="1025"/>
      <c r="J26" s="94"/>
      <c r="K26" s="1285"/>
      <c r="L26" s="1289"/>
      <c r="M26" s="1289"/>
      <c r="N26" s="1289"/>
      <c r="O26" s="1299" t="s">
        <v>593</v>
      </c>
      <c r="P26" s="1299" t="s">
        <v>591</v>
      </c>
      <c r="Q26" s="1299" t="s">
        <v>593</v>
      </c>
      <c r="R26" s="1299" t="s">
        <v>591</v>
      </c>
      <c r="S26" s="1306"/>
      <c r="T26" s="48"/>
    </row>
    <row r="27" spans="3:20" ht="18.75" customHeight="1" x14ac:dyDescent="0.4">
      <c r="C27" s="248"/>
      <c r="D27" s="57"/>
      <c r="E27" s="760" t="s">
        <v>210</v>
      </c>
      <c r="F27" s="33"/>
      <c r="G27" s="33"/>
      <c r="H27" s="442" t="s">
        <v>211</v>
      </c>
      <c r="I27" s="58"/>
      <c r="J27" s="94"/>
      <c r="K27" s="1285"/>
      <c r="L27" s="1290" t="s">
        <v>723</v>
      </c>
      <c r="M27" s="1289"/>
      <c r="N27" s="1289"/>
      <c r="O27" s="1299" t="s">
        <v>201</v>
      </c>
      <c r="P27" s="1299" t="s">
        <v>592</v>
      </c>
      <c r="Q27" s="1299" t="s">
        <v>201</v>
      </c>
      <c r="R27" s="1299" t="s">
        <v>592</v>
      </c>
      <c r="S27" s="1306"/>
      <c r="T27" s="48"/>
    </row>
    <row r="28" spans="3:20" ht="18.75" customHeight="1" x14ac:dyDescent="0.25">
      <c r="C28" s="248"/>
      <c r="D28" s="57"/>
      <c r="E28" s="759"/>
      <c r="F28" s="33"/>
      <c r="G28" s="33"/>
      <c r="H28" s="12" t="s">
        <v>212</v>
      </c>
      <c r="I28" s="58"/>
      <c r="J28" s="94"/>
      <c r="K28" s="1286"/>
      <c r="L28" s="1291" t="s">
        <v>724</v>
      </c>
      <c r="M28" s="1294"/>
      <c r="N28" s="1296"/>
      <c r="O28" s="1300">
        <f>'Final Calculations'!C60+'Final Calculations'!H60+'Final Calculations'!M60</f>
        <v>0</v>
      </c>
      <c r="P28" s="1300">
        <f>O28/20</f>
        <v>0</v>
      </c>
      <c r="Q28" s="1302" t="e">
        <f>('Final Calculations'!D60+'Final Calculations'!I60+'Final Calculations'!N60)/1000000</f>
        <v>#N/A</v>
      </c>
      <c r="R28" s="1302" t="e">
        <f>Q28/20</f>
        <v>#N/A</v>
      </c>
      <c r="S28" s="1306"/>
      <c r="T28" s="48"/>
    </row>
    <row r="29" spans="3:20" ht="18.75" customHeight="1" x14ac:dyDescent="0.25">
      <c r="C29" s="248"/>
      <c r="D29" s="57"/>
      <c r="E29" s="760" t="s">
        <v>803</v>
      </c>
      <c r="F29" s="33"/>
      <c r="G29" s="33"/>
      <c r="H29" s="442" t="s">
        <v>211</v>
      </c>
      <c r="I29" s="58"/>
      <c r="J29" s="94"/>
      <c r="K29" s="1286"/>
      <c r="L29" s="1292" t="s">
        <v>726</v>
      </c>
      <c r="M29" s="1295"/>
      <c r="N29" s="1297"/>
      <c r="O29" s="1300">
        <f>'Final Calculations'!C61+'Final Calculations'!H61+'Final Calculations'!M61</f>
        <v>0</v>
      </c>
      <c r="P29" s="1300">
        <f t="shared" ref="P29:P34" si="1">O29/20</f>
        <v>0</v>
      </c>
      <c r="Q29" s="1302" t="e">
        <f>('Final Calculations'!D61+'Final Calculations'!I61+'Final Calculations'!N61)/1000000</f>
        <v>#N/A</v>
      </c>
      <c r="R29" s="1302" t="e">
        <f t="shared" ref="R29:R31" si="2">Q29/20</f>
        <v>#N/A</v>
      </c>
      <c r="S29" s="1306"/>
      <c r="T29" s="48"/>
    </row>
    <row r="30" spans="3:20" ht="18.75" customHeight="1" x14ac:dyDescent="0.25">
      <c r="C30" s="248"/>
      <c r="D30" s="57"/>
      <c r="E30" s="760"/>
      <c r="F30" s="33"/>
      <c r="G30" s="33"/>
      <c r="H30" s="12" t="s">
        <v>212</v>
      </c>
      <c r="I30" s="58"/>
      <c r="J30" s="94"/>
      <c r="K30" s="1286"/>
      <c r="L30" s="1292" t="s">
        <v>727</v>
      </c>
      <c r="M30" s="1295"/>
      <c r="N30" s="1297"/>
      <c r="O30" s="1300">
        <f>'Final Calculations'!C62+'Final Calculations'!H62+'Final Calculations'!M62</f>
        <v>0</v>
      </c>
      <c r="P30" s="1300">
        <f t="shared" si="1"/>
        <v>0</v>
      </c>
      <c r="Q30" s="1302" t="e">
        <f>('Final Calculations'!D62+'Final Calculations'!I62+'Final Calculations'!N62)/1000000</f>
        <v>#N/A</v>
      </c>
      <c r="R30" s="1302" t="e">
        <f t="shared" si="2"/>
        <v>#N/A</v>
      </c>
      <c r="S30" s="1306"/>
      <c r="T30" s="48"/>
    </row>
    <row r="31" spans="3:20" ht="18.75" customHeight="1" x14ac:dyDescent="0.25">
      <c r="C31" s="248"/>
      <c r="D31" s="57"/>
      <c r="E31" s="760" t="s">
        <v>804</v>
      </c>
      <c r="F31" s="33"/>
      <c r="G31" s="33"/>
      <c r="H31" s="442" t="s">
        <v>211</v>
      </c>
      <c r="I31" s="58"/>
      <c r="J31" s="94"/>
      <c r="K31" s="1286"/>
      <c r="L31" s="1292" t="s">
        <v>728</v>
      </c>
      <c r="M31" s="1295"/>
      <c r="N31" s="1297"/>
      <c r="O31" s="1300">
        <f>'Final Calculations'!C63+'Final Calculations'!H63+'Final Calculations'!M63</f>
        <v>0</v>
      </c>
      <c r="P31" s="1300">
        <f t="shared" si="1"/>
        <v>0</v>
      </c>
      <c r="Q31" s="1302" t="e">
        <f>('Final Calculations'!D63+'Final Calculations'!I63+'Final Calculations'!N63)/1000000</f>
        <v>#N/A</v>
      </c>
      <c r="R31" s="1302" t="e">
        <f t="shared" si="2"/>
        <v>#N/A</v>
      </c>
      <c r="S31" s="1306"/>
      <c r="T31" s="48"/>
    </row>
    <row r="32" spans="3:20" ht="18.75" customHeight="1" x14ac:dyDescent="0.25">
      <c r="C32" s="248"/>
      <c r="D32" s="57"/>
      <c r="E32" s="760"/>
      <c r="F32" s="33"/>
      <c r="G32" s="33"/>
      <c r="H32" s="12" t="s">
        <v>212</v>
      </c>
      <c r="I32" s="58"/>
      <c r="J32" s="94"/>
      <c r="K32" s="1286"/>
      <c r="L32" s="1292" t="s">
        <v>729</v>
      </c>
      <c r="M32" s="1295"/>
      <c r="N32" s="1297"/>
      <c r="O32" s="1300">
        <f>'Final Calculations'!C64+'Final Calculations'!H64+'Final Calculations'!M64</f>
        <v>0</v>
      </c>
      <c r="P32" s="1300">
        <f t="shared" si="1"/>
        <v>0</v>
      </c>
      <c r="Q32" s="1303"/>
      <c r="R32" s="1304"/>
      <c r="S32" s="1306"/>
      <c r="T32" s="48"/>
    </row>
    <row r="33" spans="3:20" ht="18.75" customHeight="1" x14ac:dyDescent="0.25">
      <c r="C33" s="248"/>
      <c r="D33" s="57"/>
      <c r="E33" s="760" t="s">
        <v>805</v>
      </c>
      <c r="F33" s="33"/>
      <c r="G33" s="33"/>
      <c r="H33" s="442" t="s">
        <v>211</v>
      </c>
      <c r="I33" s="58"/>
      <c r="J33" s="94"/>
      <c r="K33" s="1286"/>
      <c r="L33" s="1292" t="s">
        <v>730</v>
      </c>
      <c r="M33" s="1295"/>
      <c r="N33" s="1297"/>
      <c r="O33" s="1300">
        <f>'Final Calculations'!C65+'Final Calculations'!H65+'Final Calculations'!M65</f>
        <v>0</v>
      </c>
      <c r="P33" s="1300">
        <f t="shared" si="1"/>
        <v>0</v>
      </c>
      <c r="Q33" s="1302" t="e">
        <f>('Final Calculations'!D65+'Final Calculations'!I65+'Final Calculations'!N65)/1000000</f>
        <v>#N/A</v>
      </c>
      <c r="R33" s="1302" t="e">
        <f t="shared" ref="R33:R34" si="3">Q33/20</f>
        <v>#N/A</v>
      </c>
      <c r="S33" s="1306"/>
      <c r="T33" s="48"/>
    </row>
    <row r="34" spans="3:20" ht="18.75" customHeight="1" x14ac:dyDescent="0.25">
      <c r="C34" s="248"/>
      <c r="D34" s="57"/>
      <c r="E34" s="759"/>
      <c r="F34" s="33"/>
      <c r="G34" s="33"/>
      <c r="H34" s="12" t="s">
        <v>212</v>
      </c>
      <c r="I34" s="58"/>
      <c r="J34" s="94"/>
      <c r="K34" s="1286"/>
      <c r="L34" s="1292" t="s">
        <v>725</v>
      </c>
      <c r="M34" s="1295"/>
      <c r="N34" s="1297"/>
      <c r="O34" s="1300">
        <f>'Final Calculations'!C66+'Final Calculations'!H66+'Final Calculations'!M66</f>
        <v>0</v>
      </c>
      <c r="P34" s="1300">
        <f t="shared" si="1"/>
        <v>0</v>
      </c>
      <c r="Q34" s="1302" t="e">
        <f>('Final Calculations'!D66+'Final Calculations'!I66+'Final Calculations'!N66)/1000000</f>
        <v>#N/A</v>
      </c>
      <c r="R34" s="1302" t="e">
        <f t="shared" si="3"/>
        <v>#N/A</v>
      </c>
      <c r="S34" s="1306"/>
      <c r="T34" s="48"/>
    </row>
    <row r="35" spans="3:20" ht="18.75" customHeight="1" x14ac:dyDescent="0.25">
      <c r="C35" s="248"/>
      <c r="D35" s="57"/>
      <c r="E35" s="760" t="s">
        <v>806</v>
      </c>
      <c r="F35" s="33"/>
      <c r="G35" s="33"/>
      <c r="H35" s="442" t="s">
        <v>211</v>
      </c>
      <c r="I35" s="58"/>
      <c r="J35" s="94"/>
      <c r="K35" s="1286"/>
      <c r="L35" s="759"/>
      <c r="M35" s="759"/>
      <c r="N35" s="759"/>
      <c r="O35" s="759"/>
      <c r="P35" s="759"/>
      <c r="Q35" s="759"/>
      <c r="R35" s="759"/>
      <c r="S35" s="1306"/>
      <c r="T35" s="48"/>
    </row>
    <row r="36" spans="3:20" ht="18.75" customHeight="1" x14ac:dyDescent="0.25">
      <c r="C36" s="248"/>
      <c r="D36" s="57"/>
      <c r="E36" s="1029" t="s">
        <v>9</v>
      </c>
      <c r="F36" s="33"/>
      <c r="G36" s="33"/>
      <c r="H36" s="1028" t="s">
        <v>212</v>
      </c>
      <c r="I36" s="58"/>
      <c r="J36" s="94"/>
      <c r="K36" s="1286"/>
      <c r="L36" s="759"/>
      <c r="M36" s="759"/>
      <c r="N36" s="759"/>
      <c r="O36" s="759"/>
      <c r="P36" s="759"/>
      <c r="Q36" s="759"/>
      <c r="R36" s="759"/>
      <c r="S36" s="1306"/>
      <c r="T36" s="48"/>
    </row>
    <row r="37" spans="3:20" ht="18.75" customHeight="1" x14ac:dyDescent="0.25">
      <c r="C37" s="248"/>
      <c r="D37" s="763"/>
      <c r="E37" s="61"/>
      <c r="F37" s="264"/>
      <c r="G37" s="61"/>
      <c r="H37" s="1027"/>
      <c r="I37" s="1026"/>
      <c r="J37" s="94"/>
      <c r="K37" s="1287"/>
      <c r="L37" s="1293"/>
      <c r="M37" s="1293"/>
      <c r="N37" s="1293"/>
      <c r="O37" s="1293"/>
      <c r="P37" s="1293"/>
      <c r="Q37" s="1293"/>
      <c r="R37" s="1293"/>
      <c r="S37" s="1307"/>
      <c r="T37" s="48"/>
    </row>
    <row r="38" spans="3:20" ht="14.25" customHeight="1" thickBot="1" x14ac:dyDescent="0.3">
      <c r="C38" s="251"/>
      <c r="D38" s="252"/>
      <c r="E38" s="754"/>
      <c r="F38" s="754"/>
      <c r="G38" s="754"/>
      <c r="H38" s="755"/>
      <c r="I38" s="755"/>
      <c r="J38" s="756"/>
      <c r="K38" s="756"/>
      <c r="L38" s="51"/>
      <c r="M38" s="51"/>
      <c r="N38" s="51"/>
      <c r="O38" s="51"/>
      <c r="P38" s="51"/>
      <c r="Q38" s="51"/>
      <c r="R38" s="51"/>
      <c r="S38" s="51"/>
      <c r="T38" s="52"/>
    </row>
    <row r="39" spans="3:20" ht="11.25" customHeight="1" thickTop="1" x14ac:dyDescent="0.25">
      <c r="C39" s="716"/>
      <c r="D39" s="53"/>
      <c r="E39" s="53"/>
      <c r="F39" s="53"/>
      <c r="G39" s="53"/>
      <c r="H39" s="53"/>
      <c r="I39" s="53"/>
      <c r="J39" s="241"/>
      <c r="K39" s="53"/>
      <c r="L39" s="53"/>
      <c r="M39" s="53"/>
      <c r="N39" s="53"/>
      <c r="O39" s="53"/>
      <c r="P39" s="53"/>
      <c r="Q39" s="53"/>
      <c r="R39" s="53"/>
      <c r="S39" s="53"/>
      <c r="T39" s="53"/>
    </row>
    <row r="40" spans="3:20" ht="12" customHeight="1" x14ac:dyDescent="0.25">
      <c r="C40" s="271"/>
      <c r="D40" s="26"/>
      <c r="E40" s="26"/>
      <c r="F40" s="26"/>
      <c r="G40" s="26"/>
      <c r="H40" s="26"/>
      <c r="I40" s="26"/>
      <c r="J40" s="94"/>
      <c r="K40" s="26"/>
      <c r="L40" s="26"/>
      <c r="M40" s="26"/>
      <c r="N40" s="26"/>
      <c r="O40" s="26"/>
      <c r="P40" s="26"/>
      <c r="Q40" s="26"/>
      <c r="R40" s="26"/>
      <c r="S40" s="26"/>
      <c r="T40" s="26"/>
    </row>
    <row r="41" spans="3:20" ht="12" customHeight="1" x14ac:dyDescent="0.25">
      <c r="C41" s="271"/>
      <c r="D41" s="26"/>
      <c r="E41" s="26"/>
      <c r="F41" s="26"/>
      <c r="G41" s="26"/>
      <c r="H41" s="26"/>
      <c r="I41" s="26"/>
      <c r="J41" s="94"/>
      <c r="K41" s="26"/>
      <c r="L41" s="26"/>
      <c r="M41" s="26"/>
      <c r="N41" s="26"/>
      <c r="O41" s="26"/>
      <c r="P41" s="26"/>
      <c r="Q41" s="26"/>
      <c r="R41" s="26"/>
      <c r="S41" s="26"/>
      <c r="T41" s="26"/>
    </row>
    <row r="42" spans="3:20" ht="21" customHeight="1" x14ac:dyDescent="0.25">
      <c r="C42" s="271"/>
      <c r="D42" s="26"/>
      <c r="L42" s="26"/>
      <c r="M42" s="26"/>
      <c r="N42" s="26"/>
      <c r="O42" s="26"/>
      <c r="P42" s="26"/>
      <c r="Q42" s="26"/>
    </row>
    <row r="43" spans="3:20" ht="5.25" customHeight="1" x14ac:dyDescent="0.25">
      <c r="C43" s="271"/>
      <c r="P43" s="26"/>
      <c r="Q43" s="26"/>
    </row>
    <row r="44" spans="3:20" ht="18" customHeight="1" x14ac:dyDescent="0.25"/>
    <row r="45" spans="3:20" ht="15.75" customHeight="1" x14ac:dyDescent="0.25"/>
    <row r="46" spans="3:20" ht="18" customHeight="1" x14ac:dyDescent="0.25"/>
    <row r="47" spans="3:20" ht="16.5" customHeight="1" x14ac:dyDescent="0.25"/>
    <row r="48" spans="3:20" ht="18.75" customHeight="1" x14ac:dyDescent="0.25"/>
    <row r="49" ht="16.5" customHeight="1" x14ac:dyDescent="0.25"/>
    <row r="50" ht="18" customHeight="1" x14ac:dyDescent="0.25"/>
    <row r="51" ht="16.5" customHeight="1" x14ac:dyDescent="0.25"/>
    <row r="52" ht="15.75" customHeight="1" x14ac:dyDescent="0.25"/>
  </sheetData>
  <phoneticPr fontId="0" type="noConversion"/>
  <dataValidations count="1">
    <dataValidation type="list" allowBlank="1" showDropDown="1" showInputMessage="1" showErrorMessage="1" error="Please enter &quot;Y&quot; or &quot;N&quot;" sqref="H27 H35 H31 H33 H29" xr:uid="{00000000-0002-0000-0400-000000000000}">
      <formula1>"Y,N,y,n"</formula1>
    </dataValidation>
  </dataValidations>
  <printOptions horizontalCentered="1"/>
  <pageMargins left="0.75" right="0.75" top="0.75" bottom="0.75" header="0.5" footer="0.5"/>
  <pageSetup scale="60" orientation="landscape" r:id="rId1"/>
  <headerFooter alignWithMargins="0">
    <oddFooter>&amp;L&amp;8Transportation Economics
Caltrans DOTP&amp;C&amp;8Cal-B/C - &amp;A
&amp;F&amp;R&amp;8Page &amp;P
&amp;D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U299"/>
  <sheetViews>
    <sheetView showGridLines="0" zoomScale="65" zoomScaleNormal="65" workbookViewId="0"/>
  </sheetViews>
  <sheetFormatPr defaultColWidth="9.1796875" defaultRowHeight="12.5" x14ac:dyDescent="0.25"/>
  <cols>
    <col min="1" max="1" width="9.1796875" style="1"/>
    <col min="2" max="2" width="7.7265625" style="111" customWidth="1"/>
    <col min="3" max="3" width="14.7265625" style="111" customWidth="1"/>
    <col min="4" max="6" width="14.7265625" style="280" customWidth="1"/>
    <col min="7" max="8" width="14.7265625" style="281" customWidth="1"/>
    <col min="9" max="9" width="14.7265625" style="1" customWidth="1"/>
    <col min="10" max="13" width="14.7265625" style="281" customWidth="1"/>
    <col min="14" max="14" width="16.1796875" style="281" customWidth="1"/>
    <col min="15" max="15" width="9.1796875" style="1"/>
    <col min="16" max="16" width="7.7265625" style="111" customWidth="1"/>
    <col min="17" max="17" width="14.7265625" style="111" customWidth="1"/>
    <col min="18" max="22" width="14.7265625" style="280" customWidth="1"/>
    <col min="23" max="27" width="14.7265625" style="281" customWidth="1"/>
    <col min="28" max="28" width="9.1796875" style="1"/>
    <col min="29" max="29" width="7.54296875" style="1" customWidth="1"/>
    <col min="30" max="35" width="14.453125" style="1" customWidth="1"/>
    <col min="36" max="36" width="14.54296875" style="1" customWidth="1"/>
    <col min="37" max="37" width="14.453125" style="1" customWidth="1"/>
    <col min="38" max="42" width="14.54296875" style="1" customWidth="1"/>
    <col min="43" max="43" width="16.1796875" style="1" customWidth="1"/>
    <col min="44" max="44" width="2.453125" style="36" customWidth="1"/>
    <col min="45" max="45" width="16.1796875" style="1" customWidth="1"/>
    <col min="46" max="46" width="9.1796875" style="1"/>
    <col min="47" max="47" width="14.54296875" style="1" customWidth="1"/>
    <col min="48" max="16384" width="9.1796875" style="1"/>
  </cols>
  <sheetData>
    <row r="1" spans="1:47" ht="20" x14ac:dyDescent="0.4">
      <c r="B1" s="310" t="s">
        <v>214</v>
      </c>
      <c r="M1" s="1"/>
      <c r="N1" s="447"/>
      <c r="O1" s="448"/>
      <c r="P1" s="449"/>
      <c r="Q1" s="449"/>
      <c r="R1" s="449"/>
      <c r="S1" s="449"/>
      <c r="T1" s="449"/>
      <c r="U1" s="450"/>
      <c r="V1" s="450"/>
      <c r="W1" s="450"/>
      <c r="X1" s="450"/>
      <c r="Y1" s="450"/>
      <c r="Z1" s="1"/>
      <c r="AA1" s="1"/>
      <c r="AP1" s="36"/>
      <c r="AR1" s="1"/>
    </row>
    <row r="2" spans="1:47" x14ac:dyDescent="0.25">
      <c r="M2" s="1"/>
      <c r="N2" s="448"/>
      <c r="O2" s="448"/>
      <c r="P2" s="449"/>
      <c r="Q2" s="449"/>
      <c r="R2" s="449"/>
      <c r="S2" s="449"/>
      <c r="T2" s="449"/>
      <c r="U2" s="450"/>
      <c r="V2" s="450"/>
      <c r="W2" s="450"/>
      <c r="X2" s="450"/>
      <c r="Y2" s="450"/>
      <c r="Z2" s="1"/>
      <c r="AA2" s="1"/>
      <c r="AP2" s="36"/>
      <c r="AR2" s="1"/>
    </row>
    <row r="3" spans="1:47" ht="17.5" x14ac:dyDescent="0.25">
      <c r="B3" s="289" t="s">
        <v>215</v>
      </c>
      <c r="C3" s="1"/>
      <c r="D3" s="271"/>
      <c r="E3" s="271"/>
      <c r="F3" s="271"/>
      <c r="G3" s="272"/>
      <c r="H3" s="271"/>
      <c r="I3" s="272"/>
      <c r="J3" s="272"/>
      <c r="K3" s="271"/>
      <c r="L3" s="273"/>
      <c r="M3" s="1"/>
      <c r="N3" s="289"/>
      <c r="O3" s="36"/>
      <c r="P3" s="271"/>
      <c r="Q3" s="271"/>
      <c r="R3" s="271"/>
      <c r="S3" s="271"/>
      <c r="T3" s="271"/>
      <c r="U3" s="272"/>
      <c r="V3" s="272"/>
      <c r="W3" s="271"/>
      <c r="X3" s="271"/>
      <c r="Y3" s="271"/>
      <c r="Z3" s="1"/>
      <c r="AA3" s="1"/>
      <c r="AP3" s="36"/>
      <c r="AR3" s="1"/>
    </row>
    <row r="4" spans="1:47" ht="17.5" x14ac:dyDescent="0.25">
      <c r="B4" s="289"/>
      <c r="C4" s="1"/>
      <c r="D4" s="271"/>
      <c r="E4" s="271"/>
      <c r="F4" s="271"/>
      <c r="G4" s="272"/>
      <c r="H4" s="271"/>
      <c r="I4" s="272"/>
      <c r="J4" s="272"/>
      <c r="K4" s="271"/>
      <c r="L4" s="273"/>
      <c r="M4" s="1"/>
      <c r="N4" s="289"/>
      <c r="O4" s="36"/>
      <c r="P4" s="271"/>
      <c r="Q4" s="271"/>
      <c r="R4" s="271"/>
      <c r="S4" s="271"/>
      <c r="T4" s="271"/>
      <c r="U4" s="272"/>
      <c r="V4" s="272"/>
      <c r="W4" s="271"/>
      <c r="X4" s="271"/>
      <c r="Y4" s="271"/>
      <c r="Z4" s="1"/>
      <c r="AA4" s="1"/>
      <c r="AP4" s="36"/>
      <c r="AR4" s="1"/>
    </row>
    <row r="5" spans="1:47" ht="17.5" x14ac:dyDescent="0.25">
      <c r="B5" s="308" t="s">
        <v>216</v>
      </c>
      <c r="C5" s="55"/>
      <c r="D5" s="128"/>
      <c r="E5" s="128"/>
      <c r="F5" s="128"/>
      <c r="G5" s="298"/>
      <c r="H5" s="298"/>
      <c r="I5" s="128"/>
      <c r="J5" s="298"/>
      <c r="K5" s="128"/>
      <c r="L5" s="129"/>
      <c r="M5" s="1"/>
      <c r="N5" s="451"/>
      <c r="O5" s="36"/>
      <c r="P5" s="271"/>
      <c r="Q5" s="271"/>
      <c r="R5" s="271"/>
      <c r="S5" s="271"/>
      <c r="T5" s="271"/>
      <c r="U5" s="272"/>
      <c r="V5" s="272"/>
      <c r="W5" s="271"/>
      <c r="X5" s="271"/>
      <c r="Y5" s="271"/>
      <c r="Z5" s="1"/>
      <c r="AA5" s="1"/>
      <c r="AP5" s="36"/>
      <c r="AR5" s="1"/>
    </row>
    <row r="6" spans="1:47" ht="13" x14ac:dyDescent="0.25">
      <c r="B6" s="299"/>
      <c r="C6" s="33"/>
      <c r="D6" s="290"/>
      <c r="E6" s="290"/>
      <c r="F6" s="290"/>
      <c r="G6" s="291"/>
      <c r="H6" s="443" t="s">
        <v>180</v>
      </c>
      <c r="I6" s="444"/>
      <c r="J6" s="293"/>
      <c r="K6" s="296"/>
      <c r="L6" s="300"/>
      <c r="M6" s="1"/>
      <c r="N6" s="452"/>
      <c r="O6" s="36"/>
      <c r="P6" s="271"/>
      <c r="Q6" s="271"/>
      <c r="R6" s="271"/>
      <c r="S6" s="271"/>
      <c r="T6" s="271"/>
      <c r="U6" s="272"/>
      <c r="V6" s="272"/>
      <c r="W6" s="271"/>
      <c r="X6" s="271"/>
      <c r="Y6" s="271"/>
      <c r="Z6" s="1"/>
      <c r="AA6" s="1"/>
      <c r="AP6" s="36"/>
      <c r="AR6" s="1"/>
    </row>
    <row r="7" spans="1:47" x14ac:dyDescent="0.25">
      <c r="B7" s="292" t="s">
        <v>36</v>
      </c>
      <c r="C7" s="293"/>
      <c r="D7" s="294"/>
      <c r="E7" s="294"/>
      <c r="F7" s="295"/>
      <c r="G7" s="33"/>
      <c r="H7" s="302" t="s">
        <v>217</v>
      </c>
      <c r="I7" s="290"/>
      <c r="J7" s="303" t="s">
        <v>218</v>
      </c>
      <c r="K7" s="446"/>
      <c r="L7" s="300"/>
      <c r="M7" s="1"/>
      <c r="N7" s="453"/>
      <c r="O7" s="271"/>
      <c r="P7" s="272"/>
      <c r="Q7" s="272"/>
      <c r="R7" s="272"/>
      <c r="S7" s="36"/>
      <c r="T7" s="36"/>
      <c r="U7" s="271"/>
      <c r="V7" s="271"/>
      <c r="W7" s="271"/>
      <c r="X7" s="450"/>
      <c r="Y7" s="271"/>
      <c r="Z7" s="1"/>
      <c r="AA7" s="1"/>
      <c r="AP7" s="36"/>
      <c r="AR7" s="1"/>
    </row>
    <row r="8" spans="1:47" x14ac:dyDescent="0.25">
      <c r="B8" s="301" t="s">
        <v>219</v>
      </c>
      <c r="C8" s="33"/>
      <c r="D8" s="290"/>
      <c r="E8" s="290"/>
      <c r="F8" s="290"/>
      <c r="G8" s="290"/>
      <c r="H8" s="297" t="s">
        <v>41</v>
      </c>
      <c r="I8" s="444"/>
      <c r="J8" s="293"/>
      <c r="K8" s="295"/>
      <c r="L8" s="300"/>
      <c r="M8" s="1"/>
      <c r="N8" s="454"/>
      <c r="O8" s="36"/>
      <c r="P8" s="271"/>
      <c r="Q8" s="271"/>
      <c r="R8" s="271"/>
      <c r="S8" s="271"/>
      <c r="T8" s="271"/>
      <c r="U8" s="456"/>
      <c r="V8" s="456"/>
      <c r="W8" s="271"/>
      <c r="X8" s="271"/>
      <c r="Y8" s="271"/>
      <c r="Z8" s="1"/>
      <c r="AA8" s="1"/>
      <c r="AP8" s="36"/>
      <c r="AR8" s="1"/>
    </row>
    <row r="9" spans="1:47" x14ac:dyDescent="0.25">
      <c r="B9" s="11"/>
      <c r="C9" s="290"/>
      <c r="D9" s="290"/>
      <c r="E9" s="290"/>
      <c r="F9" s="290"/>
      <c r="G9" s="290"/>
      <c r="H9" s="290"/>
      <c r="I9" s="290"/>
      <c r="J9" s="290"/>
      <c r="K9" s="290"/>
      <c r="L9" s="300"/>
      <c r="M9" s="1"/>
      <c r="N9" s="271"/>
      <c r="O9" s="271"/>
      <c r="P9" s="271"/>
      <c r="Q9" s="271"/>
      <c r="R9" s="271"/>
      <c r="S9" s="271"/>
      <c r="T9" s="271"/>
      <c r="U9" s="36"/>
      <c r="V9" s="36"/>
      <c r="W9" s="36"/>
      <c r="X9" s="271"/>
      <c r="Y9" s="271"/>
      <c r="Z9" s="1"/>
      <c r="AA9" s="1"/>
      <c r="AP9" s="36"/>
      <c r="AR9" s="1"/>
    </row>
    <row r="10" spans="1:47" x14ac:dyDescent="0.25">
      <c r="B10" s="292" t="s">
        <v>622</v>
      </c>
      <c r="C10" s="293"/>
      <c r="D10" s="294"/>
      <c r="E10" s="294"/>
      <c r="F10" s="296"/>
      <c r="G10" s="290"/>
      <c r="H10" s="297" t="s">
        <v>621</v>
      </c>
      <c r="I10" s="444"/>
      <c r="J10" s="293"/>
      <c r="K10" s="295"/>
      <c r="L10" s="300"/>
      <c r="M10" s="1"/>
      <c r="N10" s="453"/>
      <c r="O10" s="271"/>
      <c r="P10" s="272"/>
      <c r="Q10" s="272"/>
      <c r="R10" s="272"/>
      <c r="S10" s="271"/>
      <c r="T10" s="271"/>
      <c r="U10" s="271"/>
      <c r="V10" s="271"/>
      <c r="W10" s="36"/>
      <c r="X10" s="450"/>
      <c r="Y10" s="271"/>
      <c r="Z10" s="1"/>
      <c r="AA10" s="1"/>
      <c r="AP10" s="36"/>
      <c r="AR10" s="1"/>
    </row>
    <row r="11" spans="1:47" x14ac:dyDescent="0.25">
      <c r="B11" s="304" t="s">
        <v>220</v>
      </c>
      <c r="C11" s="305"/>
      <c r="D11" s="306" t="s">
        <v>221</v>
      </c>
      <c r="E11" s="306"/>
      <c r="F11" s="307" t="s">
        <v>222</v>
      </c>
      <c r="G11" s="307"/>
      <c r="H11" s="305"/>
      <c r="I11" s="61"/>
      <c r="J11" s="305"/>
      <c r="K11" s="61"/>
      <c r="L11" s="62"/>
      <c r="M11" s="1"/>
      <c r="N11" s="455"/>
      <c r="O11" s="271"/>
      <c r="P11" s="455"/>
      <c r="Q11" s="455"/>
      <c r="R11" s="455"/>
      <c r="S11" s="458"/>
      <c r="T11" s="458"/>
      <c r="U11" s="271"/>
      <c r="V11" s="271"/>
      <c r="W11" s="36"/>
      <c r="X11" s="36"/>
      <c r="Y11" s="36"/>
      <c r="Z11" s="1"/>
      <c r="AA11" s="1"/>
      <c r="AP11" s="36"/>
      <c r="AR11" s="1"/>
    </row>
    <row r="12" spans="1:47" x14ac:dyDescent="0.25">
      <c r="A12" s="277"/>
      <c r="B12" s="88"/>
      <c r="C12" s="277"/>
      <c r="D12" s="278"/>
      <c r="E12" s="278"/>
      <c r="F12" s="278"/>
      <c r="G12" s="277"/>
      <c r="H12" s="1"/>
      <c r="I12" s="88"/>
      <c r="J12" s="277"/>
      <c r="K12" s="1"/>
      <c r="L12" s="1"/>
      <c r="M12" s="1"/>
      <c r="N12" s="271"/>
      <c r="O12" s="455"/>
      <c r="P12" s="458"/>
      <c r="Q12" s="458"/>
      <c r="R12" s="458"/>
      <c r="S12" s="458"/>
      <c r="T12" s="458"/>
      <c r="U12" s="455"/>
      <c r="V12" s="455"/>
      <c r="W12" s="36"/>
      <c r="X12" s="36"/>
      <c r="Y12" s="36"/>
      <c r="Z12" s="1"/>
      <c r="AA12" s="1"/>
      <c r="AP12" s="36"/>
      <c r="AR12" s="1"/>
    </row>
    <row r="13" spans="1:47" x14ac:dyDescent="0.25">
      <c r="A13" s="277"/>
      <c r="B13" s="88"/>
      <c r="C13" s="277"/>
      <c r="D13" s="278"/>
      <c r="E13" s="278"/>
      <c r="F13" s="278"/>
      <c r="G13" s="277"/>
      <c r="H13" s="277"/>
      <c r="I13" s="88"/>
      <c r="J13" s="277"/>
      <c r="K13" s="277"/>
      <c r="L13" s="1"/>
      <c r="M13" s="1"/>
      <c r="N13" s="1"/>
      <c r="P13" s="88"/>
      <c r="Q13" s="277"/>
      <c r="R13" s="278"/>
      <c r="S13" s="278"/>
      <c r="T13" s="278"/>
      <c r="U13" s="278"/>
      <c r="V13" s="278"/>
      <c r="W13" s="277"/>
      <c r="X13" s="277"/>
      <c r="Y13" s="1"/>
      <c r="Z13" s="1"/>
      <c r="AA13" s="1"/>
      <c r="AC13" s="88"/>
      <c r="AD13" s="277"/>
      <c r="AE13" s="278"/>
      <c r="AF13" s="278"/>
      <c r="AG13" s="278"/>
      <c r="AH13" s="278"/>
      <c r="AI13" s="278"/>
      <c r="AJ13" s="278"/>
      <c r="AK13" s="278"/>
      <c r="AL13" s="88"/>
      <c r="AM13" s="277"/>
      <c r="AN13" s="277"/>
      <c r="AO13" s="277"/>
      <c r="AP13" s="277"/>
      <c r="AQ13" s="277"/>
      <c r="AR13" s="455"/>
      <c r="AU13" s="277"/>
    </row>
    <row r="14" spans="1:47" x14ac:dyDescent="0.25">
      <c r="A14" s="277"/>
      <c r="B14" s="88"/>
      <c r="C14" s="277"/>
      <c r="D14" s="278"/>
      <c r="E14" s="278"/>
      <c r="F14" s="278"/>
      <c r="G14" s="277"/>
      <c r="H14" s="277"/>
      <c r="I14" s="88"/>
      <c r="J14" s="277"/>
      <c r="K14" s="277"/>
      <c r="L14" s="1"/>
      <c r="M14" s="1"/>
      <c r="N14" s="1"/>
      <c r="P14" s="88"/>
      <c r="Q14" s="277"/>
      <c r="R14" s="278"/>
      <c r="S14" s="278"/>
      <c r="T14" s="278"/>
      <c r="U14" s="278"/>
      <c r="V14" s="278"/>
      <c r="W14" s="277"/>
      <c r="X14" s="277"/>
      <c r="Y14" s="1"/>
      <c r="Z14" s="1"/>
      <c r="AA14" s="1"/>
      <c r="AC14" s="88"/>
      <c r="AD14" s="277"/>
      <c r="AE14" s="278"/>
      <c r="AF14" s="278"/>
      <c r="AG14" s="278"/>
      <c r="AH14" s="278"/>
      <c r="AI14" s="278"/>
      <c r="AJ14" s="278"/>
      <c r="AK14" s="278"/>
      <c r="AL14" s="88"/>
      <c r="AM14" s="277"/>
      <c r="AN14" s="277"/>
      <c r="AO14" s="277"/>
      <c r="AP14" s="277"/>
      <c r="AQ14" s="277"/>
      <c r="AR14" s="455"/>
      <c r="AU14" s="277"/>
    </row>
    <row r="15" spans="1:47" ht="20" x14ac:dyDescent="0.4">
      <c r="A15" s="277"/>
      <c r="B15" s="315" t="s">
        <v>223</v>
      </c>
      <c r="C15" s="314" t="s">
        <v>224</v>
      </c>
      <c r="D15" s="312"/>
      <c r="E15" s="312"/>
      <c r="F15" s="312"/>
      <c r="G15" s="311"/>
      <c r="H15" s="311"/>
      <c r="I15" s="312"/>
      <c r="J15" s="311"/>
      <c r="K15" s="311"/>
      <c r="L15" s="313"/>
      <c r="M15" s="313"/>
      <c r="N15" s="313"/>
      <c r="P15" s="315" t="s">
        <v>225</v>
      </c>
      <c r="Q15" s="314" t="s">
        <v>226</v>
      </c>
      <c r="R15" s="312"/>
      <c r="S15" s="312"/>
      <c r="T15" s="312"/>
      <c r="U15" s="312"/>
      <c r="V15" s="312"/>
      <c r="W15" s="311"/>
      <c r="X15" s="311"/>
      <c r="Y15" s="313"/>
      <c r="Z15" s="313"/>
      <c r="AA15" s="313"/>
      <c r="AC15" s="315" t="s">
        <v>227</v>
      </c>
      <c r="AD15" s="314" t="s">
        <v>228</v>
      </c>
      <c r="AE15" s="312"/>
      <c r="AF15" s="312"/>
      <c r="AG15" s="312"/>
      <c r="AH15" s="312"/>
      <c r="AI15" s="312"/>
      <c r="AJ15" s="312"/>
      <c r="AK15" s="312"/>
      <c r="AL15" s="312"/>
      <c r="AM15" s="314" t="s">
        <v>613</v>
      </c>
      <c r="AN15" s="311"/>
      <c r="AO15" s="311"/>
      <c r="AP15" s="311"/>
      <c r="AQ15" s="311"/>
      <c r="AR15" s="586"/>
      <c r="AS15" s="523"/>
      <c r="AT15" s="523"/>
      <c r="AU15" s="311"/>
    </row>
    <row r="16" spans="1:47" x14ac:dyDescent="0.25">
      <c r="A16" s="277"/>
      <c r="B16" s="88"/>
      <c r="C16" s="277"/>
      <c r="D16" s="278"/>
      <c r="E16" s="278"/>
      <c r="F16" s="278"/>
      <c r="G16" s="277"/>
      <c r="H16" s="277"/>
      <c r="I16" s="88"/>
      <c r="J16" s="277"/>
      <c r="K16" s="277"/>
      <c r="L16" s="279"/>
      <c r="M16" s="88"/>
      <c r="N16" s="1"/>
      <c r="P16" s="88"/>
      <c r="Q16" s="277"/>
      <c r="R16" s="278"/>
      <c r="S16" s="278"/>
      <c r="T16" s="278"/>
      <c r="U16" s="278"/>
      <c r="V16" s="278"/>
      <c r="W16" s="277"/>
      <c r="X16" s="277"/>
      <c r="Y16" s="279"/>
      <c r="Z16" s="88"/>
      <c r="AA16" s="1"/>
      <c r="AC16" s="88"/>
      <c r="AD16" s="277"/>
      <c r="AE16" s="278"/>
      <c r="AF16" s="278"/>
      <c r="AG16" s="278"/>
      <c r="AH16" s="278"/>
      <c r="AI16" s="278"/>
      <c r="AJ16" s="278"/>
      <c r="AK16" s="278"/>
      <c r="AL16" s="88"/>
      <c r="AM16" s="277"/>
      <c r="AN16" s="277"/>
      <c r="AO16" s="277"/>
      <c r="AP16" s="277"/>
      <c r="AQ16" s="277"/>
      <c r="AR16" s="455"/>
      <c r="AU16" s="277"/>
    </row>
    <row r="17" spans="1:47" x14ac:dyDescent="0.25">
      <c r="A17" s="516"/>
      <c r="B17" s="88"/>
      <c r="C17" s="516"/>
      <c r="D17" s="517"/>
      <c r="E17" s="517"/>
      <c r="F17" s="517"/>
      <c r="G17" s="516"/>
      <c r="H17" s="516"/>
      <c r="I17" s="88"/>
      <c r="J17" s="516"/>
      <c r="K17" s="516"/>
      <c r="L17" s="351"/>
      <c r="M17" s="88"/>
      <c r="N17" s="1"/>
      <c r="P17" s="88"/>
      <c r="Q17" s="516"/>
      <c r="R17" s="517"/>
      <c r="S17" s="517"/>
      <c r="T17" s="517"/>
      <c r="U17" s="517"/>
      <c r="V17" s="517"/>
      <c r="W17" s="516"/>
      <c r="X17" s="516"/>
      <c r="Y17" s="351"/>
      <c r="Z17" s="88"/>
      <c r="AA17" s="1"/>
    </row>
    <row r="18" spans="1:47" ht="13" x14ac:dyDescent="0.25">
      <c r="B18" s="350" t="s">
        <v>229</v>
      </c>
      <c r="C18" s="88"/>
      <c r="D18" s="88"/>
      <c r="E18" s="88"/>
      <c r="F18" s="88"/>
      <c r="G18" s="309"/>
      <c r="H18" s="309"/>
      <c r="I18" s="88"/>
      <c r="J18" s="309"/>
      <c r="K18" s="309"/>
      <c r="L18" s="88"/>
      <c r="M18" s="88"/>
      <c r="N18" s="88"/>
      <c r="P18" s="350" t="s">
        <v>509</v>
      </c>
      <c r="Q18" s="88"/>
      <c r="R18" s="88"/>
      <c r="S18" s="88"/>
      <c r="T18" s="88"/>
      <c r="U18" s="88"/>
      <c r="V18" s="88"/>
      <c r="W18" s="309"/>
      <c r="X18" s="309"/>
      <c r="Y18" s="88"/>
      <c r="Z18" s="88"/>
      <c r="AA18" s="88"/>
    </row>
    <row r="19" spans="1:47" x14ac:dyDescent="0.25">
      <c r="B19" s="88"/>
      <c r="C19" s="88"/>
      <c r="D19" s="274"/>
      <c r="E19" s="274"/>
      <c r="F19" s="274"/>
      <c r="G19" s="88"/>
      <c r="H19" s="88"/>
      <c r="I19" s="88"/>
      <c r="J19" s="88"/>
      <c r="K19" s="88"/>
      <c r="L19" s="88"/>
      <c r="M19" s="88"/>
      <c r="N19" s="351"/>
      <c r="P19" s="88"/>
      <c r="Q19" s="88"/>
      <c r="R19" s="274"/>
      <c r="S19" s="274"/>
      <c r="T19" s="274"/>
      <c r="U19" s="274"/>
      <c r="V19" s="274"/>
      <c r="W19" s="88"/>
      <c r="X19" s="88"/>
      <c r="Y19" s="88"/>
      <c r="Z19" s="88"/>
      <c r="AA19" s="351"/>
    </row>
    <row r="20" spans="1:47" ht="15.5" x14ac:dyDescent="0.25">
      <c r="B20" s="317"/>
      <c r="C20" s="320" t="s">
        <v>230</v>
      </c>
      <c r="D20" s="361"/>
      <c r="E20" s="320" t="s">
        <v>231</v>
      </c>
      <c r="F20" s="333"/>
      <c r="G20" s="335" t="s">
        <v>234</v>
      </c>
      <c r="H20" s="361"/>
      <c r="I20" s="335" t="s">
        <v>232</v>
      </c>
      <c r="J20" s="321"/>
      <c r="K20" s="437" t="s">
        <v>233</v>
      </c>
      <c r="L20" s="438"/>
      <c r="M20" s="322"/>
      <c r="N20" s="343"/>
      <c r="P20" s="317"/>
      <c r="Q20" s="320" t="s">
        <v>234</v>
      </c>
      <c r="R20" s="361"/>
      <c r="S20" s="333"/>
      <c r="T20" s="335" t="s">
        <v>513</v>
      </c>
      <c r="U20" s="321"/>
      <c r="V20" s="646"/>
      <c r="W20" s="437" t="s">
        <v>233</v>
      </c>
      <c r="X20" s="320"/>
      <c r="Y20" s="438"/>
      <c r="Z20" s="322"/>
      <c r="AA20" s="343"/>
      <c r="AC20" s="317"/>
      <c r="AD20" s="569" t="s">
        <v>235</v>
      </c>
      <c r="AE20" s="569"/>
      <c r="AF20" s="569"/>
      <c r="AG20" s="569"/>
      <c r="AH20" s="569"/>
      <c r="AI20" s="569"/>
      <c r="AJ20" s="569"/>
      <c r="AK20" s="569"/>
      <c r="AL20" s="569"/>
      <c r="AM20" s="569" t="s">
        <v>236</v>
      </c>
      <c r="AN20" s="569"/>
      <c r="AO20" s="569"/>
      <c r="AP20" s="569"/>
      <c r="AQ20" s="480" t="s">
        <v>139</v>
      </c>
      <c r="AR20" s="587"/>
      <c r="AS20" s="480"/>
      <c r="AU20" s="569" t="s">
        <v>172</v>
      </c>
    </row>
    <row r="21" spans="1:47" ht="14" x14ac:dyDescent="0.25">
      <c r="B21" s="318"/>
      <c r="C21" s="287" t="s">
        <v>237</v>
      </c>
      <c r="D21" s="362"/>
      <c r="E21" s="287" t="s">
        <v>238</v>
      </c>
      <c r="F21" s="334"/>
      <c r="G21" s="336" t="s">
        <v>240</v>
      </c>
      <c r="H21" s="362"/>
      <c r="I21" s="336" t="s">
        <v>239</v>
      </c>
      <c r="J21" s="288"/>
      <c r="K21" s="439" t="s">
        <v>552</v>
      </c>
      <c r="L21" s="440"/>
      <c r="M21" s="284"/>
      <c r="N21" s="344"/>
      <c r="P21" s="318"/>
      <c r="Q21" s="287" t="s">
        <v>240</v>
      </c>
      <c r="R21" s="362"/>
      <c r="S21" s="334"/>
      <c r="T21" s="336" t="s">
        <v>239</v>
      </c>
      <c r="U21" s="288"/>
      <c r="V21" s="287"/>
      <c r="W21" s="439" t="s">
        <v>552</v>
      </c>
      <c r="X21" s="287"/>
      <c r="Y21" s="440"/>
      <c r="Z21" s="284"/>
      <c r="AA21" s="344"/>
      <c r="AC21" s="318"/>
      <c r="AD21" s="570"/>
      <c r="AE21" s="571"/>
      <c r="AF21" s="571"/>
      <c r="AG21" s="571"/>
      <c r="AH21" s="571"/>
      <c r="AI21" s="571"/>
      <c r="AJ21" s="571"/>
      <c r="AK21" s="571"/>
      <c r="AL21" s="572"/>
      <c r="AM21" s="570"/>
      <c r="AN21" s="571"/>
      <c r="AO21" s="572"/>
      <c r="AP21" s="572"/>
      <c r="AQ21" s="345" t="s">
        <v>241</v>
      </c>
      <c r="AR21" s="587"/>
      <c r="AS21" s="345"/>
      <c r="AU21" s="879" t="s">
        <v>80</v>
      </c>
    </row>
    <row r="22" spans="1:47" ht="14" x14ac:dyDescent="0.25">
      <c r="B22" s="169" t="s">
        <v>135</v>
      </c>
      <c r="C22" s="316"/>
      <c r="D22" s="283"/>
      <c r="E22" s="316"/>
      <c r="F22" s="283"/>
      <c r="G22" s="316"/>
      <c r="H22" s="283"/>
      <c r="I22" s="316"/>
      <c r="J22" s="283"/>
      <c r="K22" s="432" t="s">
        <v>151</v>
      </c>
      <c r="L22" s="283" t="s">
        <v>152</v>
      </c>
      <c r="M22" s="286" t="s">
        <v>242</v>
      </c>
      <c r="N22" s="345" t="s">
        <v>139</v>
      </c>
      <c r="P22" s="169" t="s">
        <v>135</v>
      </c>
      <c r="Q22" s="432"/>
      <c r="R22" s="647"/>
      <c r="S22" s="283" t="s">
        <v>243</v>
      </c>
      <c r="T22" s="432"/>
      <c r="U22" s="647"/>
      <c r="V22" s="283" t="s">
        <v>151</v>
      </c>
      <c r="W22" s="432" t="s">
        <v>151</v>
      </c>
      <c r="X22" s="316" t="s">
        <v>243</v>
      </c>
      <c r="Y22" s="283" t="s">
        <v>152</v>
      </c>
      <c r="Z22" s="286" t="s">
        <v>242</v>
      </c>
      <c r="AA22" s="345" t="s">
        <v>139</v>
      </c>
      <c r="AC22" s="169" t="s">
        <v>135</v>
      </c>
      <c r="AD22" s="573" t="s">
        <v>173</v>
      </c>
      <c r="AE22" s="574" t="s">
        <v>173</v>
      </c>
      <c r="AF22" s="574" t="s">
        <v>173</v>
      </c>
      <c r="AG22" s="574" t="s">
        <v>173</v>
      </c>
      <c r="AH22" s="574" t="s">
        <v>173</v>
      </c>
      <c r="AI22" s="574" t="s">
        <v>173</v>
      </c>
      <c r="AJ22" s="574" t="s">
        <v>171</v>
      </c>
      <c r="AK22" s="574" t="s">
        <v>171</v>
      </c>
      <c r="AL22" s="574" t="s">
        <v>171</v>
      </c>
      <c r="AM22" s="574" t="s">
        <v>173</v>
      </c>
      <c r="AN22" s="574" t="s">
        <v>173</v>
      </c>
      <c r="AO22" s="574" t="s">
        <v>171</v>
      </c>
      <c r="AP22" s="574" t="s">
        <v>171</v>
      </c>
      <c r="AQ22" s="345" t="s">
        <v>78</v>
      </c>
      <c r="AR22" s="587"/>
      <c r="AS22" s="345" t="s">
        <v>242</v>
      </c>
      <c r="AU22" s="574" t="s">
        <v>79</v>
      </c>
    </row>
    <row r="23" spans="1:47" ht="14" x14ac:dyDescent="0.25">
      <c r="B23" s="319"/>
      <c r="C23" s="324" t="s">
        <v>0</v>
      </c>
      <c r="D23" s="325" t="s">
        <v>1</v>
      </c>
      <c r="E23" s="324" t="s">
        <v>0</v>
      </c>
      <c r="F23" s="325" t="s">
        <v>1</v>
      </c>
      <c r="G23" s="324" t="s">
        <v>0</v>
      </c>
      <c r="H23" s="325" t="s">
        <v>1</v>
      </c>
      <c r="I23" s="324" t="s">
        <v>0</v>
      </c>
      <c r="J23" s="325" t="s">
        <v>1</v>
      </c>
      <c r="K23" s="441" t="s">
        <v>244</v>
      </c>
      <c r="L23" s="325" t="s">
        <v>245</v>
      </c>
      <c r="M23" s="326" t="s">
        <v>148</v>
      </c>
      <c r="N23" s="346" t="s">
        <v>149</v>
      </c>
      <c r="P23" s="319"/>
      <c r="Q23" s="441" t="s">
        <v>0</v>
      </c>
      <c r="R23" s="648" t="s">
        <v>1</v>
      </c>
      <c r="S23" s="325" t="s">
        <v>246</v>
      </c>
      <c r="T23" s="441" t="s">
        <v>0</v>
      </c>
      <c r="U23" s="648" t="s">
        <v>1</v>
      </c>
      <c r="V23" s="325" t="s">
        <v>129</v>
      </c>
      <c r="W23" s="441" t="s">
        <v>244</v>
      </c>
      <c r="X23" s="324" t="s">
        <v>246</v>
      </c>
      <c r="Y23" s="325" t="s">
        <v>245</v>
      </c>
      <c r="Z23" s="326" t="s">
        <v>148</v>
      </c>
      <c r="AA23" s="346" t="s">
        <v>149</v>
      </c>
      <c r="AC23" s="319"/>
      <c r="AD23" s="575" t="s">
        <v>247</v>
      </c>
      <c r="AE23" s="575" t="s">
        <v>248</v>
      </c>
      <c r="AF23" s="575" t="s">
        <v>501</v>
      </c>
      <c r="AG23" s="575" t="s">
        <v>249</v>
      </c>
      <c r="AH23" s="575" t="s">
        <v>554</v>
      </c>
      <c r="AI23" s="575" t="s">
        <v>556</v>
      </c>
      <c r="AJ23" s="575" t="s">
        <v>248</v>
      </c>
      <c r="AK23" s="575" t="s">
        <v>501</v>
      </c>
      <c r="AL23" s="575" t="s">
        <v>249</v>
      </c>
      <c r="AM23" s="575" t="s">
        <v>507</v>
      </c>
      <c r="AN23" s="575" t="s">
        <v>521</v>
      </c>
      <c r="AO23" s="575" t="s">
        <v>507</v>
      </c>
      <c r="AP23" s="575" t="s">
        <v>521</v>
      </c>
      <c r="AQ23" s="346" t="str">
        <f>IF(Induced="Y","Benefits","Benefits*")</f>
        <v>Benefits</v>
      </c>
      <c r="AR23" s="587"/>
      <c r="AS23" s="346" t="s">
        <v>148</v>
      </c>
      <c r="AU23" s="575" t="s">
        <v>585</v>
      </c>
    </row>
    <row r="24" spans="1:47" x14ac:dyDescent="0.25">
      <c r="B24" s="327">
        <v>1</v>
      </c>
      <c r="C24" s="348">
        <f>PHV1NB*AnnualFactor</f>
        <v>0</v>
      </c>
      <c r="D24" s="349">
        <f>PHV1B*AnnualFactor</f>
        <v>0</v>
      </c>
      <c r="E24" s="363">
        <f>ROUND(PHS1NB,1)</f>
        <v>55</v>
      </c>
      <c r="F24" s="364">
        <f>ROUND(PHS1B,1)</f>
        <v>55</v>
      </c>
      <c r="G24" s="966">
        <f>C24*AVOHovNB</f>
        <v>0</v>
      </c>
      <c r="H24" s="967">
        <f>D24*AVOHovB</f>
        <v>0</v>
      </c>
      <c r="I24" s="428">
        <f>ImpactedNB/E24</f>
        <v>0</v>
      </c>
      <c r="J24" s="429">
        <f>ImpactedB/F24</f>
        <v>0</v>
      </c>
      <c r="K24" s="433">
        <f>IF(OR(TruckLane,Bypass,HOV2to3,HOTConv,OnRamp,RM,AM,IM,TI),I24*G24-J24*H24,(I24-J24)*MIN(G24,H24))</f>
        <v>0</v>
      </c>
      <c r="L24" s="434">
        <f>IF(AND(H24&gt;G24,NOT(OR(TruckLane,Bypass,HOV2to3,HOTConv,OnRamp,RM,AM,IM,TI)),Induced="Y"),(I24-J24)*(H24-G24)*0.5,0)</f>
        <v>0</v>
      </c>
      <c r="M24" s="285">
        <f>SUM($K24:$L24)*ValTimeAuto*IF(IM,ValTimeIMFactor,1)*(1+TTUprater)^($B24+Construct-1)</f>
        <v>0</v>
      </c>
      <c r="N24" s="323">
        <f>$M24/(1+DiscRate)^($B24+Construct-1)</f>
        <v>0</v>
      </c>
      <c r="P24" s="327">
        <v>1</v>
      </c>
      <c r="Q24" s="348">
        <f>TAPT1NB*TPerPeak</f>
        <v>0</v>
      </c>
      <c r="R24" s="649">
        <f>TAPT1B*TPerPeak</f>
        <v>0</v>
      </c>
      <c r="S24" s="650">
        <f>TPerHwy*(R24-Q24)</f>
        <v>0</v>
      </c>
      <c r="T24" s="642">
        <f>TInTimeNBP/60</f>
        <v>0</v>
      </c>
      <c r="U24" s="653">
        <f>TInTimeBP/60</f>
        <v>0</v>
      </c>
      <c r="V24" s="654">
        <f>I55</f>
        <v>0</v>
      </c>
      <c r="W24" s="433">
        <f>MIN(Q24:R24)*(T24-U24)</f>
        <v>0</v>
      </c>
      <c r="X24" s="662">
        <f>S24*(IF(V24+V55*ValTimeOVFactor-U24-U55*ValTimeOVFactor&gt;0,V24-U24,0))</f>
        <v>0</v>
      </c>
      <c r="Y24" s="434">
        <f>IF(AND(R24&gt;Q24,Induced="Y"),(T24-U24)*(R24-Q24-S24)*0.5,0)</f>
        <v>0</v>
      </c>
      <c r="Z24" s="285">
        <f>SUM(W24:Y24)*ValTimeTransit*(1+TTUprater)^($P24+Construct-1)</f>
        <v>0</v>
      </c>
      <c r="AA24" s="323">
        <f>$Z24/(1+DiscRate)^($P24+Construct-1)</f>
        <v>0</v>
      </c>
      <c r="AC24" s="327">
        <v>1</v>
      </c>
      <c r="AD24" s="478">
        <f>N24</f>
        <v>0</v>
      </c>
      <c r="AE24" s="478">
        <f>N55</f>
        <v>0</v>
      </c>
      <c r="AF24" s="478">
        <f>N86</f>
        <v>0</v>
      </c>
      <c r="AG24" s="478">
        <f>N117</f>
        <v>0</v>
      </c>
      <c r="AH24" s="478">
        <f>N148</f>
        <v>0</v>
      </c>
      <c r="AI24" s="478">
        <f>N179</f>
        <v>0</v>
      </c>
      <c r="AJ24" s="478">
        <f>N210</f>
        <v>0</v>
      </c>
      <c r="AK24" s="478">
        <f>N241</f>
        <v>0</v>
      </c>
      <c r="AL24" s="478">
        <f>N272</f>
        <v>0</v>
      </c>
      <c r="AM24" s="478">
        <f>AA24</f>
        <v>0</v>
      </c>
      <c r="AN24" s="478">
        <f>AA55</f>
        <v>0</v>
      </c>
      <c r="AO24" s="478">
        <f>AA86</f>
        <v>0</v>
      </c>
      <c r="AP24" s="478">
        <f>AA117</f>
        <v>0</v>
      </c>
      <c r="AQ24" s="323">
        <f>SUM(AD24:AP24)</f>
        <v>0</v>
      </c>
      <c r="AR24" s="588"/>
      <c r="AS24" s="323">
        <f>$AQ24*(1+DiscRate)^($B24+Construct-1)</f>
        <v>0</v>
      </c>
      <c r="AU24" s="880">
        <f>SUM(K24,K55,K86,K117,K148,K179,K210,K241,K272,W24:X24,W55:X55,W86:X86,W117:X117)</f>
        <v>0</v>
      </c>
    </row>
    <row r="25" spans="1:47" x14ac:dyDescent="0.25">
      <c r="B25" s="328">
        <v>20</v>
      </c>
      <c r="C25" s="353">
        <f>PHV20NB*AnnualFactor</f>
        <v>0</v>
      </c>
      <c r="D25" s="354">
        <f>PHV20B*AnnualFactor</f>
        <v>0</v>
      </c>
      <c r="E25" s="365">
        <f>ROUND(PHS20NB,1)</f>
        <v>55</v>
      </c>
      <c r="F25" s="366">
        <f>ROUND(PHS20B,1)</f>
        <v>55</v>
      </c>
      <c r="G25" s="966">
        <f>C25*AVOHovNB</f>
        <v>0</v>
      </c>
      <c r="H25" s="967">
        <f>D25*AVOHovB</f>
        <v>0</v>
      </c>
      <c r="I25" s="428">
        <f>ImpactedNB/E25</f>
        <v>0</v>
      </c>
      <c r="J25" s="430">
        <f>ImpactedB/F25</f>
        <v>0</v>
      </c>
      <c r="K25" s="340">
        <f>IF(OR(TruckLane,Bypass,HOV2to3,HOTConv,OnRamp,RM,AM,IM,TI),I25*G25-J25*H25,(I25-J25)*MIN(G25,H25))</f>
        <v>0</v>
      </c>
      <c r="L25" s="435">
        <f>IF(AND(H25&gt;G25,NOT(OR(TruckLane,Bypass,HOV2to3,HOTConv,OnRamp,RM,AM,IM,TI)),Induced="Y"),(I25-J25)*(H25-G25)*0.5,0)</f>
        <v>0</v>
      </c>
      <c r="M25" s="285">
        <f>SUM($K25:$L25)*ValTimeAuto*IF(IM,ValTimeIMFactor,1)*(1+TTUprater)^($B25+Construct-1)</f>
        <v>0</v>
      </c>
      <c r="N25" s="323">
        <f>$M25/(1+DiscRate)^($B25+Construct-1)</f>
        <v>0</v>
      </c>
      <c r="P25" s="328">
        <v>20</v>
      </c>
      <c r="Q25" s="651">
        <f>TAPT20NB*TPerPeak</f>
        <v>0</v>
      </c>
      <c r="R25" s="652">
        <f>TAPT20B*TPerPeak</f>
        <v>0</v>
      </c>
      <c r="S25" s="650">
        <f>TPerHwy*(R25-Q25)</f>
        <v>0</v>
      </c>
      <c r="T25" s="655">
        <f>TInTimeNBP/60</f>
        <v>0</v>
      </c>
      <c r="U25" s="656">
        <f>TInTimeBP/60</f>
        <v>0</v>
      </c>
      <c r="V25" s="654">
        <f>I56</f>
        <v>0</v>
      </c>
      <c r="W25" s="340">
        <f>MIN(Q25:R25)*(T25-U25)</f>
        <v>0</v>
      </c>
      <c r="X25" s="663">
        <f>S25*(IF(V25+V56*ValTimeOVFactor-U25-U56*ValTimeOVFactor&gt;0,V25-U25,0))</f>
        <v>0</v>
      </c>
      <c r="Y25" s="435">
        <f>IF(AND(R25&gt;Q25,Induced="Y"),(T25-U25)*(R25-Q25-S25)*0.5,0)</f>
        <v>0</v>
      </c>
      <c r="Z25" s="285">
        <f>SUM(W25:Y25)*ValTimeTransit*(1+TTUprater)^($P25+Construct-1)</f>
        <v>0</v>
      </c>
      <c r="AA25" s="323">
        <f>$Z25/(1+DiscRate)^($P25+Construct-1)</f>
        <v>0</v>
      </c>
      <c r="AC25" s="328">
        <v>20</v>
      </c>
      <c r="AD25" s="478">
        <f>N25</f>
        <v>0</v>
      </c>
      <c r="AE25" s="478">
        <f>N56</f>
        <v>0</v>
      </c>
      <c r="AF25" s="478">
        <f>N87</f>
        <v>0</v>
      </c>
      <c r="AG25" s="478">
        <f>N118</f>
        <v>0</v>
      </c>
      <c r="AH25" s="478">
        <f>N149</f>
        <v>0</v>
      </c>
      <c r="AI25" s="478">
        <f>N180</f>
        <v>0</v>
      </c>
      <c r="AJ25" s="478">
        <f>N211</f>
        <v>0</v>
      </c>
      <c r="AK25" s="478">
        <f>N242</f>
        <v>0</v>
      </c>
      <c r="AL25" s="478">
        <f>N273</f>
        <v>0</v>
      </c>
      <c r="AM25" s="478">
        <f>AA25</f>
        <v>0</v>
      </c>
      <c r="AN25" s="478">
        <f>AA56</f>
        <v>0</v>
      </c>
      <c r="AO25" s="478">
        <f>AA87</f>
        <v>0</v>
      </c>
      <c r="AP25" s="478">
        <f>AA118</f>
        <v>0</v>
      </c>
      <c r="AQ25" s="323">
        <f>SUM(AD25:AP25)</f>
        <v>0</v>
      </c>
      <c r="AR25" s="588"/>
      <c r="AS25" s="323">
        <f>$AQ25*(1+DiscRate)^($B25+Construct-1)</f>
        <v>0</v>
      </c>
      <c r="AU25" s="880">
        <f>SUM(K25,K56,K87,K118,K149,K180,K211,K242,K273,W25:X25,W56:X56,W87:X87,W118:X118)</f>
        <v>0</v>
      </c>
    </row>
    <row r="26" spans="1:47" x14ac:dyDescent="0.25">
      <c r="B26" s="357"/>
      <c r="C26" s="355"/>
      <c r="D26" s="355"/>
      <c r="E26" s="367"/>
      <c r="F26" s="367"/>
      <c r="G26" s="968"/>
      <c r="H26" s="968"/>
      <c r="I26" s="356"/>
      <c r="J26" s="356"/>
      <c r="K26" s="356"/>
      <c r="L26" s="356"/>
      <c r="M26" s="356"/>
      <c r="N26" s="358"/>
      <c r="P26" s="357"/>
      <c r="Q26" s="355"/>
      <c r="R26" s="355"/>
      <c r="S26" s="355"/>
      <c r="T26" s="367"/>
      <c r="U26" s="367"/>
      <c r="V26" s="367"/>
      <c r="W26" s="356"/>
      <c r="X26" s="356"/>
      <c r="Y26" s="356"/>
      <c r="Z26" s="356"/>
      <c r="AA26" s="358"/>
      <c r="AC26" s="357"/>
      <c r="AD26" s="358"/>
      <c r="AE26" s="358"/>
      <c r="AF26" s="358"/>
      <c r="AG26" s="358"/>
      <c r="AH26" s="358"/>
      <c r="AI26" s="358"/>
      <c r="AJ26" s="358"/>
      <c r="AK26" s="358"/>
      <c r="AL26" s="358"/>
      <c r="AM26" s="358"/>
      <c r="AN26" s="358"/>
      <c r="AO26" s="358"/>
      <c r="AP26" s="358"/>
      <c r="AQ26" s="358"/>
      <c r="AR26" s="475"/>
      <c r="AS26" s="358"/>
      <c r="AU26" s="358"/>
    </row>
    <row r="27" spans="1:47" x14ac:dyDescent="0.25">
      <c r="B27" s="352">
        <v>2</v>
      </c>
      <c r="C27" s="368">
        <f>TREND(C24:C25,B24:B25,B27)</f>
        <v>0</v>
      </c>
      <c r="D27" s="629">
        <f>TREND(D24:D25,B24:B25,B27)</f>
        <v>0</v>
      </c>
      <c r="E27" s="632">
        <f>TREND(E24:E25,B24:B25,B27)</f>
        <v>55</v>
      </c>
      <c r="F27" s="371">
        <f>TREND(F24:F25,B24:B25,B27)</f>
        <v>55</v>
      </c>
      <c r="G27" s="966">
        <f t="shared" ref="G27:G44" si="0">C27*AVOHovNB</f>
        <v>0</v>
      </c>
      <c r="H27" s="967">
        <f t="shared" ref="H27:H44" si="1">D27*AVOHovB</f>
        <v>0</v>
      </c>
      <c r="I27" s="428">
        <f t="shared" ref="I27:I44" si="2">ImpactedNB/E27</f>
        <v>0</v>
      </c>
      <c r="J27" s="429">
        <f t="shared" ref="J27:J44" si="3">ImpactedB/F27</f>
        <v>0</v>
      </c>
      <c r="K27" s="433">
        <f t="shared" ref="K27:K44" si="4">IF(OR(TruckLane,Bypass,HOV2to3,HOTConv,OnRamp,RM,AM,IM,TI),I27*G27-J27*H27,(I27-J27)*MIN(G27,H27))</f>
        <v>0</v>
      </c>
      <c r="L27" s="434">
        <f t="shared" ref="L27:L44" si="5">IF(AND(H27&gt;G27,NOT(OR(TruckLane,Bypass,HOV2to3,HOTConv,OnRamp,RM,AM,IM,TI)),Induced="Y"),(I27-J27)*(H27-G27)*0.5,0)</f>
        <v>0</v>
      </c>
      <c r="M27" s="285">
        <f t="shared" ref="M27:M44" si="6">SUM($K27:$L27)*ValTimeAuto*IF(IM,ValTimeIMFactor,1)*(1+TTUprater)^($B27+Construct-1)</f>
        <v>0</v>
      </c>
      <c r="N27" s="323">
        <f t="shared" ref="N27:N44" si="7">$M27/(1+DiscRate)^($B27+Construct-1)</f>
        <v>0</v>
      </c>
      <c r="P27" s="352">
        <v>2</v>
      </c>
      <c r="Q27" s="368">
        <f>TREND(Q24:Q25,P24:P25,P27)</f>
        <v>0</v>
      </c>
      <c r="R27" s="369">
        <f>TREND(R24:R25,P24:P25,P27)</f>
        <v>0</v>
      </c>
      <c r="S27" s="660">
        <f t="shared" ref="S27:S44" si="8">TPerHwy*(R27-Q27)</f>
        <v>0</v>
      </c>
      <c r="T27" s="657">
        <f>TREND(T24:T25,P24:P25,P27)</f>
        <v>0</v>
      </c>
      <c r="U27" s="643">
        <f>TREND(U24:U25,P24:P25,P27)</f>
        <v>0</v>
      </c>
      <c r="V27" s="661">
        <f t="shared" ref="V27:V44" si="9">I58</f>
        <v>0</v>
      </c>
      <c r="W27" s="433">
        <f t="shared" ref="W27:W44" si="10">MIN(Q27:R27)*(T27-U27)</f>
        <v>0</v>
      </c>
      <c r="X27" s="662">
        <f t="shared" ref="X27:X44" si="11">S27*(IF(V27+V58*ValTimeOVFactor-U27-U58*ValTimeOVFactor&gt;0,V27-U27,0))</f>
        <v>0</v>
      </c>
      <c r="Y27" s="434">
        <f t="shared" ref="Y27:Y44" si="12">IF(AND(R27&gt;Q27,Induced="Y"),(T27-U27)*(R27-Q27-S27)*0.5,0)</f>
        <v>0</v>
      </c>
      <c r="Z27" s="285">
        <f t="shared" ref="Z27:Z44" si="13">SUM(W27:Y27)*ValTimeTransit*(1+TTUprater)^($P27+Construct-1)</f>
        <v>0</v>
      </c>
      <c r="AA27" s="323">
        <f t="shared" ref="AA27:AA44" si="14">$Z27/(1+DiscRate)^($P27+Construct-1)</f>
        <v>0</v>
      </c>
      <c r="AC27" s="352">
        <v>2</v>
      </c>
      <c r="AD27" s="478">
        <f t="shared" ref="AD27:AD44" si="15">N27</f>
        <v>0</v>
      </c>
      <c r="AE27" s="478">
        <f t="shared" ref="AE27:AE44" si="16">N58</f>
        <v>0</v>
      </c>
      <c r="AF27" s="478">
        <f t="shared" ref="AF27:AF44" si="17">N89</f>
        <v>0</v>
      </c>
      <c r="AG27" s="478">
        <f t="shared" ref="AG27:AG44" si="18">N120</f>
        <v>0</v>
      </c>
      <c r="AH27" s="478">
        <f t="shared" ref="AH27:AH44" si="19">N151</f>
        <v>0</v>
      </c>
      <c r="AI27" s="478">
        <f t="shared" ref="AI27:AI44" si="20">N182</f>
        <v>0</v>
      </c>
      <c r="AJ27" s="478">
        <f t="shared" ref="AJ27:AJ44" si="21">N213</f>
        <v>0</v>
      </c>
      <c r="AK27" s="478">
        <f t="shared" ref="AK27:AK44" si="22">N244</f>
        <v>0</v>
      </c>
      <c r="AL27" s="478">
        <f t="shared" ref="AL27:AL44" si="23">N275</f>
        <v>0</v>
      </c>
      <c r="AM27" s="478">
        <f t="shared" ref="AM27:AM44" si="24">AA27</f>
        <v>0</v>
      </c>
      <c r="AN27" s="478">
        <f t="shared" ref="AN27:AN44" si="25">AA58</f>
        <v>0</v>
      </c>
      <c r="AO27" s="478">
        <f t="shared" ref="AO27:AO44" si="26">AA89</f>
        <v>0</v>
      </c>
      <c r="AP27" s="478">
        <f t="shared" ref="AP27:AP44" si="27">AA120</f>
        <v>0</v>
      </c>
      <c r="AQ27" s="323">
        <f t="shared" ref="AQ27:AQ44" si="28">SUM(AD27:AP27)</f>
        <v>0</v>
      </c>
      <c r="AR27" s="588"/>
      <c r="AS27" s="323">
        <f t="shared" ref="AS27:AS44" si="29">$AQ27*(1+DiscRate)^($B27+Construct-1)</f>
        <v>0</v>
      </c>
      <c r="AU27" s="880">
        <f t="shared" ref="AU27:AU44" si="30">SUM(K27,K58,K89,K120,K151,K182,K213,K244,K275,W27:X27,W58:X58,W89:X89,W120:X120)</f>
        <v>0</v>
      </c>
    </row>
    <row r="28" spans="1:47" x14ac:dyDescent="0.25">
      <c r="B28" s="327">
        <v>3</v>
      </c>
      <c r="C28" s="347">
        <f>TREND(C24:C25,B24:B25,B28)</f>
        <v>0</v>
      </c>
      <c r="D28" s="630">
        <f>TREND(D24:D25,B24:B25,B28)</f>
        <v>0</v>
      </c>
      <c r="E28" s="633">
        <f>TREND(E24:E25,B24:B25,B28)</f>
        <v>55</v>
      </c>
      <c r="F28" s="374">
        <f>TREND(F24:F25,B24:B25,B28)</f>
        <v>55</v>
      </c>
      <c r="G28" s="966">
        <f t="shared" si="0"/>
        <v>0</v>
      </c>
      <c r="H28" s="967">
        <f t="shared" si="1"/>
        <v>0</v>
      </c>
      <c r="I28" s="428">
        <f t="shared" si="2"/>
        <v>0</v>
      </c>
      <c r="J28" s="431">
        <f t="shared" si="3"/>
        <v>0</v>
      </c>
      <c r="K28" s="339">
        <f t="shared" si="4"/>
        <v>0</v>
      </c>
      <c r="L28" s="436">
        <f t="shared" si="5"/>
        <v>0</v>
      </c>
      <c r="M28" s="285">
        <f t="shared" si="6"/>
        <v>0</v>
      </c>
      <c r="N28" s="323">
        <f t="shared" si="7"/>
        <v>0</v>
      </c>
      <c r="P28" s="327">
        <v>3</v>
      </c>
      <c r="Q28" s="347">
        <f>TREND(Q24:Q25,P24:P25,P28)</f>
        <v>0</v>
      </c>
      <c r="R28" s="372">
        <f>TREND(R24:R25,P24:P25,P28)</f>
        <v>0</v>
      </c>
      <c r="S28" s="660">
        <f t="shared" si="8"/>
        <v>0</v>
      </c>
      <c r="T28" s="658">
        <f>TREND(T24:T25,P24:P25,P28)</f>
        <v>0</v>
      </c>
      <c r="U28" s="644">
        <f>TREND(U24:U25,P24:P25,P28)</f>
        <v>0</v>
      </c>
      <c r="V28" s="661">
        <f t="shared" si="9"/>
        <v>0</v>
      </c>
      <c r="W28" s="339">
        <f t="shared" si="10"/>
        <v>0</v>
      </c>
      <c r="X28" s="664">
        <f t="shared" si="11"/>
        <v>0</v>
      </c>
      <c r="Y28" s="436">
        <f t="shared" si="12"/>
        <v>0</v>
      </c>
      <c r="Z28" s="285">
        <f t="shared" si="13"/>
        <v>0</v>
      </c>
      <c r="AA28" s="323">
        <f t="shared" si="14"/>
        <v>0</v>
      </c>
      <c r="AC28" s="327">
        <v>3</v>
      </c>
      <c r="AD28" s="478">
        <f t="shared" si="15"/>
        <v>0</v>
      </c>
      <c r="AE28" s="478">
        <f t="shared" si="16"/>
        <v>0</v>
      </c>
      <c r="AF28" s="478">
        <f t="shared" si="17"/>
        <v>0</v>
      </c>
      <c r="AG28" s="478">
        <f t="shared" si="18"/>
        <v>0</v>
      </c>
      <c r="AH28" s="478">
        <f t="shared" si="19"/>
        <v>0</v>
      </c>
      <c r="AI28" s="478">
        <f t="shared" si="20"/>
        <v>0</v>
      </c>
      <c r="AJ28" s="478">
        <f t="shared" si="21"/>
        <v>0</v>
      </c>
      <c r="AK28" s="478">
        <f t="shared" si="22"/>
        <v>0</v>
      </c>
      <c r="AL28" s="478">
        <f t="shared" si="23"/>
        <v>0</v>
      </c>
      <c r="AM28" s="478">
        <f t="shared" si="24"/>
        <v>0</v>
      </c>
      <c r="AN28" s="478">
        <f t="shared" si="25"/>
        <v>0</v>
      </c>
      <c r="AO28" s="478">
        <f t="shared" si="26"/>
        <v>0</v>
      </c>
      <c r="AP28" s="478">
        <f t="shared" si="27"/>
        <v>0</v>
      </c>
      <c r="AQ28" s="323">
        <f t="shared" si="28"/>
        <v>0</v>
      </c>
      <c r="AR28" s="588"/>
      <c r="AS28" s="323">
        <f t="shared" si="29"/>
        <v>0</v>
      </c>
      <c r="AU28" s="880">
        <f t="shared" si="30"/>
        <v>0</v>
      </c>
    </row>
    <row r="29" spans="1:47" x14ac:dyDescent="0.25">
      <c r="B29" s="327">
        <v>4</v>
      </c>
      <c r="C29" s="347">
        <f>TREND(C24:C25,B24:B25,B29)</f>
        <v>0</v>
      </c>
      <c r="D29" s="630">
        <f>TREND(D24:D25,B24:B25,B29)</f>
        <v>0</v>
      </c>
      <c r="E29" s="633">
        <f>TREND(E24:E25,B24:B25,B29)</f>
        <v>55</v>
      </c>
      <c r="F29" s="374">
        <f>TREND(F24:F25,B24:B25,B29)</f>
        <v>55</v>
      </c>
      <c r="G29" s="966">
        <f t="shared" si="0"/>
        <v>0</v>
      </c>
      <c r="H29" s="967">
        <f t="shared" si="1"/>
        <v>0</v>
      </c>
      <c r="I29" s="428">
        <f t="shared" si="2"/>
        <v>0</v>
      </c>
      <c r="J29" s="431">
        <f t="shared" si="3"/>
        <v>0</v>
      </c>
      <c r="K29" s="339">
        <f t="shared" si="4"/>
        <v>0</v>
      </c>
      <c r="L29" s="436">
        <f t="shared" si="5"/>
        <v>0</v>
      </c>
      <c r="M29" s="285">
        <f t="shared" si="6"/>
        <v>0</v>
      </c>
      <c r="N29" s="323">
        <f t="shared" si="7"/>
        <v>0</v>
      </c>
      <c r="P29" s="327">
        <v>4</v>
      </c>
      <c r="Q29" s="347">
        <f>TREND(Q24:Q25,P24:P25,P29)</f>
        <v>0</v>
      </c>
      <c r="R29" s="372">
        <f>TREND(R24:R25,P24:P25,P29)</f>
        <v>0</v>
      </c>
      <c r="S29" s="660">
        <f t="shared" si="8"/>
        <v>0</v>
      </c>
      <c r="T29" s="658">
        <f>TREND(T24:T25,P24:P25,P29)</f>
        <v>0</v>
      </c>
      <c r="U29" s="644">
        <f>TREND(U24:U25,P24:P25,P29)</f>
        <v>0</v>
      </c>
      <c r="V29" s="661">
        <f t="shared" si="9"/>
        <v>0</v>
      </c>
      <c r="W29" s="339">
        <f t="shared" si="10"/>
        <v>0</v>
      </c>
      <c r="X29" s="664">
        <f t="shared" si="11"/>
        <v>0</v>
      </c>
      <c r="Y29" s="436">
        <f t="shared" si="12"/>
        <v>0</v>
      </c>
      <c r="Z29" s="285">
        <f t="shared" si="13"/>
        <v>0</v>
      </c>
      <c r="AA29" s="323">
        <f t="shared" si="14"/>
        <v>0</v>
      </c>
      <c r="AC29" s="327">
        <v>4</v>
      </c>
      <c r="AD29" s="478">
        <f t="shared" si="15"/>
        <v>0</v>
      </c>
      <c r="AE29" s="478">
        <f t="shared" si="16"/>
        <v>0</v>
      </c>
      <c r="AF29" s="478">
        <f t="shared" si="17"/>
        <v>0</v>
      </c>
      <c r="AG29" s="478">
        <f t="shared" si="18"/>
        <v>0</v>
      </c>
      <c r="AH29" s="478">
        <f t="shared" si="19"/>
        <v>0</v>
      </c>
      <c r="AI29" s="478">
        <f t="shared" si="20"/>
        <v>0</v>
      </c>
      <c r="AJ29" s="478">
        <f t="shared" si="21"/>
        <v>0</v>
      </c>
      <c r="AK29" s="478">
        <f t="shared" si="22"/>
        <v>0</v>
      </c>
      <c r="AL29" s="478">
        <f t="shared" si="23"/>
        <v>0</v>
      </c>
      <c r="AM29" s="478">
        <f t="shared" si="24"/>
        <v>0</v>
      </c>
      <c r="AN29" s="478">
        <f t="shared" si="25"/>
        <v>0</v>
      </c>
      <c r="AO29" s="478">
        <f t="shared" si="26"/>
        <v>0</v>
      </c>
      <c r="AP29" s="478">
        <f t="shared" si="27"/>
        <v>0</v>
      </c>
      <c r="AQ29" s="323">
        <f t="shared" si="28"/>
        <v>0</v>
      </c>
      <c r="AR29" s="588"/>
      <c r="AS29" s="323">
        <f t="shared" si="29"/>
        <v>0</v>
      </c>
      <c r="AU29" s="880">
        <f t="shared" si="30"/>
        <v>0</v>
      </c>
    </row>
    <row r="30" spans="1:47" x14ac:dyDescent="0.25">
      <c r="B30" s="327">
        <v>5</v>
      </c>
      <c r="C30" s="347">
        <f>TREND(C24:C25,B24:B25,B30)</f>
        <v>0</v>
      </c>
      <c r="D30" s="630">
        <f>TREND(D24:D25,B24:B25,B30)</f>
        <v>0</v>
      </c>
      <c r="E30" s="633">
        <f>TREND(E24:E25,B24:B25,B30)</f>
        <v>55</v>
      </c>
      <c r="F30" s="374">
        <f>TREND(F24:F25,B24:B25,B30)</f>
        <v>55</v>
      </c>
      <c r="G30" s="966">
        <f t="shared" si="0"/>
        <v>0</v>
      </c>
      <c r="H30" s="967">
        <f t="shared" si="1"/>
        <v>0</v>
      </c>
      <c r="I30" s="428">
        <f t="shared" si="2"/>
        <v>0</v>
      </c>
      <c r="J30" s="431">
        <f t="shared" si="3"/>
        <v>0</v>
      </c>
      <c r="K30" s="339">
        <f t="shared" si="4"/>
        <v>0</v>
      </c>
      <c r="L30" s="436">
        <f t="shared" si="5"/>
        <v>0</v>
      </c>
      <c r="M30" s="285">
        <f t="shared" si="6"/>
        <v>0</v>
      </c>
      <c r="N30" s="323">
        <f t="shared" si="7"/>
        <v>0</v>
      </c>
      <c r="P30" s="327">
        <v>5</v>
      </c>
      <c r="Q30" s="347">
        <f>TREND(Q24:Q25,P24:P25,P30)</f>
        <v>0</v>
      </c>
      <c r="R30" s="372">
        <f>TREND(R24:R25,P24:P25,P30)</f>
        <v>0</v>
      </c>
      <c r="S30" s="660">
        <f t="shared" si="8"/>
        <v>0</v>
      </c>
      <c r="T30" s="658">
        <f>TREND(T24:T25,P24:P25,P30)</f>
        <v>0</v>
      </c>
      <c r="U30" s="644">
        <f>TREND(U24:U25,P24:P25,P30)</f>
        <v>0</v>
      </c>
      <c r="V30" s="661">
        <f t="shared" si="9"/>
        <v>0</v>
      </c>
      <c r="W30" s="339">
        <f t="shared" si="10"/>
        <v>0</v>
      </c>
      <c r="X30" s="664">
        <f t="shared" si="11"/>
        <v>0</v>
      </c>
      <c r="Y30" s="436">
        <f t="shared" si="12"/>
        <v>0</v>
      </c>
      <c r="Z30" s="285">
        <f t="shared" si="13"/>
        <v>0</v>
      </c>
      <c r="AA30" s="323">
        <f t="shared" si="14"/>
        <v>0</v>
      </c>
      <c r="AC30" s="327">
        <v>5</v>
      </c>
      <c r="AD30" s="478">
        <f t="shared" si="15"/>
        <v>0</v>
      </c>
      <c r="AE30" s="478">
        <f t="shared" si="16"/>
        <v>0</v>
      </c>
      <c r="AF30" s="478">
        <f t="shared" si="17"/>
        <v>0</v>
      </c>
      <c r="AG30" s="478">
        <f t="shared" si="18"/>
        <v>0</v>
      </c>
      <c r="AH30" s="478">
        <f t="shared" si="19"/>
        <v>0</v>
      </c>
      <c r="AI30" s="478">
        <f t="shared" si="20"/>
        <v>0</v>
      </c>
      <c r="AJ30" s="478">
        <f t="shared" si="21"/>
        <v>0</v>
      </c>
      <c r="AK30" s="478">
        <f t="shared" si="22"/>
        <v>0</v>
      </c>
      <c r="AL30" s="478">
        <f t="shared" si="23"/>
        <v>0</v>
      </c>
      <c r="AM30" s="478">
        <f t="shared" si="24"/>
        <v>0</v>
      </c>
      <c r="AN30" s="478">
        <f t="shared" si="25"/>
        <v>0</v>
      </c>
      <c r="AO30" s="478">
        <f t="shared" si="26"/>
        <v>0</v>
      </c>
      <c r="AP30" s="478">
        <f t="shared" si="27"/>
        <v>0</v>
      </c>
      <c r="AQ30" s="323">
        <f t="shared" si="28"/>
        <v>0</v>
      </c>
      <c r="AR30" s="588"/>
      <c r="AS30" s="323">
        <f t="shared" si="29"/>
        <v>0</v>
      </c>
      <c r="AU30" s="880">
        <f t="shared" si="30"/>
        <v>0</v>
      </c>
    </row>
    <row r="31" spans="1:47" x14ac:dyDescent="0.25">
      <c r="B31" s="327">
        <v>6</v>
      </c>
      <c r="C31" s="347">
        <f>TREND(C24:C25,B24:B25,B31)</f>
        <v>0</v>
      </c>
      <c r="D31" s="630">
        <f>TREND(D24:D25,B24:B25,B31)</f>
        <v>0</v>
      </c>
      <c r="E31" s="633">
        <f>TREND(E24:E25,B24:B25,B31)</f>
        <v>55</v>
      </c>
      <c r="F31" s="374">
        <f>TREND(F24:F25,B24:B25,B31)</f>
        <v>55</v>
      </c>
      <c r="G31" s="966">
        <f t="shared" si="0"/>
        <v>0</v>
      </c>
      <c r="H31" s="967">
        <f t="shared" si="1"/>
        <v>0</v>
      </c>
      <c r="I31" s="428">
        <f t="shared" si="2"/>
        <v>0</v>
      </c>
      <c r="J31" s="431">
        <f t="shared" si="3"/>
        <v>0</v>
      </c>
      <c r="K31" s="339">
        <f t="shared" si="4"/>
        <v>0</v>
      </c>
      <c r="L31" s="436">
        <f t="shared" si="5"/>
        <v>0</v>
      </c>
      <c r="M31" s="285">
        <f t="shared" si="6"/>
        <v>0</v>
      </c>
      <c r="N31" s="323">
        <f t="shared" si="7"/>
        <v>0</v>
      </c>
      <c r="P31" s="327">
        <v>6</v>
      </c>
      <c r="Q31" s="347">
        <f>TREND(Q24:Q25,P24:P25,P31)</f>
        <v>0</v>
      </c>
      <c r="R31" s="372">
        <f>TREND(R24:R25,P24:P25,P31)</f>
        <v>0</v>
      </c>
      <c r="S31" s="660">
        <f t="shared" si="8"/>
        <v>0</v>
      </c>
      <c r="T31" s="658">
        <f>TREND(T24:T25,P24:P25,P31)</f>
        <v>0</v>
      </c>
      <c r="U31" s="644">
        <f>TREND(U24:U25,P24:P25,P31)</f>
        <v>0</v>
      </c>
      <c r="V31" s="661">
        <f t="shared" si="9"/>
        <v>0</v>
      </c>
      <c r="W31" s="339">
        <f t="shared" si="10"/>
        <v>0</v>
      </c>
      <c r="X31" s="664">
        <f t="shared" si="11"/>
        <v>0</v>
      </c>
      <c r="Y31" s="436">
        <f t="shared" si="12"/>
        <v>0</v>
      </c>
      <c r="Z31" s="285">
        <f t="shared" si="13"/>
        <v>0</v>
      </c>
      <c r="AA31" s="323">
        <f t="shared" si="14"/>
        <v>0</v>
      </c>
      <c r="AC31" s="327">
        <v>6</v>
      </c>
      <c r="AD31" s="478">
        <f t="shared" si="15"/>
        <v>0</v>
      </c>
      <c r="AE31" s="478">
        <f t="shared" si="16"/>
        <v>0</v>
      </c>
      <c r="AF31" s="478">
        <f t="shared" si="17"/>
        <v>0</v>
      </c>
      <c r="AG31" s="478">
        <f t="shared" si="18"/>
        <v>0</v>
      </c>
      <c r="AH31" s="478">
        <f t="shared" si="19"/>
        <v>0</v>
      </c>
      <c r="AI31" s="478">
        <f t="shared" si="20"/>
        <v>0</v>
      </c>
      <c r="AJ31" s="478">
        <f t="shared" si="21"/>
        <v>0</v>
      </c>
      <c r="AK31" s="478">
        <f t="shared" si="22"/>
        <v>0</v>
      </c>
      <c r="AL31" s="478">
        <f t="shared" si="23"/>
        <v>0</v>
      </c>
      <c r="AM31" s="478">
        <f t="shared" si="24"/>
        <v>0</v>
      </c>
      <c r="AN31" s="478">
        <f t="shared" si="25"/>
        <v>0</v>
      </c>
      <c r="AO31" s="478">
        <f t="shared" si="26"/>
        <v>0</v>
      </c>
      <c r="AP31" s="478">
        <f t="shared" si="27"/>
        <v>0</v>
      </c>
      <c r="AQ31" s="323">
        <f t="shared" si="28"/>
        <v>0</v>
      </c>
      <c r="AR31" s="588"/>
      <c r="AS31" s="323">
        <f t="shared" si="29"/>
        <v>0</v>
      </c>
      <c r="AU31" s="880">
        <f t="shared" si="30"/>
        <v>0</v>
      </c>
    </row>
    <row r="32" spans="1:47" x14ac:dyDescent="0.25">
      <c r="B32" s="327">
        <v>7</v>
      </c>
      <c r="C32" s="347">
        <f>TREND(C24:C25,B24:B25,B32)</f>
        <v>0</v>
      </c>
      <c r="D32" s="630">
        <f>TREND(D24:D25,B24:B25,B32)</f>
        <v>0</v>
      </c>
      <c r="E32" s="633">
        <f>TREND(E24:E25,B24:B25,B32)</f>
        <v>55</v>
      </c>
      <c r="F32" s="374">
        <f>TREND(F24:F25,B24:B25,B32)</f>
        <v>55</v>
      </c>
      <c r="G32" s="966">
        <f t="shared" si="0"/>
        <v>0</v>
      </c>
      <c r="H32" s="967">
        <f t="shared" si="1"/>
        <v>0</v>
      </c>
      <c r="I32" s="428">
        <f t="shared" si="2"/>
        <v>0</v>
      </c>
      <c r="J32" s="431">
        <f t="shared" si="3"/>
        <v>0</v>
      </c>
      <c r="K32" s="339">
        <f t="shared" si="4"/>
        <v>0</v>
      </c>
      <c r="L32" s="436">
        <f t="shared" si="5"/>
        <v>0</v>
      </c>
      <c r="M32" s="285">
        <f t="shared" si="6"/>
        <v>0</v>
      </c>
      <c r="N32" s="323">
        <f t="shared" si="7"/>
        <v>0</v>
      </c>
      <c r="P32" s="327">
        <v>7</v>
      </c>
      <c r="Q32" s="347">
        <f>TREND(Q24:Q25,P24:P25,P32)</f>
        <v>0</v>
      </c>
      <c r="R32" s="372">
        <f>TREND(R24:R25,P24:P25,P32)</f>
        <v>0</v>
      </c>
      <c r="S32" s="660">
        <f t="shared" si="8"/>
        <v>0</v>
      </c>
      <c r="T32" s="658">
        <f>TREND(T24:T25,P24:P25,P32)</f>
        <v>0</v>
      </c>
      <c r="U32" s="644">
        <f>TREND(U24:U25,P24:P25,P32)</f>
        <v>0</v>
      </c>
      <c r="V32" s="661">
        <f t="shared" si="9"/>
        <v>0</v>
      </c>
      <c r="W32" s="339">
        <f t="shared" si="10"/>
        <v>0</v>
      </c>
      <c r="X32" s="664">
        <f t="shared" si="11"/>
        <v>0</v>
      </c>
      <c r="Y32" s="436">
        <f t="shared" si="12"/>
        <v>0</v>
      </c>
      <c r="Z32" s="285">
        <f t="shared" si="13"/>
        <v>0</v>
      </c>
      <c r="AA32" s="323">
        <f t="shared" si="14"/>
        <v>0</v>
      </c>
      <c r="AC32" s="327">
        <v>7</v>
      </c>
      <c r="AD32" s="478">
        <f t="shared" si="15"/>
        <v>0</v>
      </c>
      <c r="AE32" s="478">
        <f t="shared" si="16"/>
        <v>0</v>
      </c>
      <c r="AF32" s="478">
        <f t="shared" si="17"/>
        <v>0</v>
      </c>
      <c r="AG32" s="478">
        <f t="shared" si="18"/>
        <v>0</v>
      </c>
      <c r="AH32" s="478">
        <f t="shared" si="19"/>
        <v>0</v>
      </c>
      <c r="AI32" s="478">
        <f t="shared" si="20"/>
        <v>0</v>
      </c>
      <c r="AJ32" s="478">
        <f t="shared" si="21"/>
        <v>0</v>
      </c>
      <c r="AK32" s="478">
        <f t="shared" si="22"/>
        <v>0</v>
      </c>
      <c r="AL32" s="478">
        <f t="shared" si="23"/>
        <v>0</v>
      </c>
      <c r="AM32" s="478">
        <f t="shared" si="24"/>
        <v>0</v>
      </c>
      <c r="AN32" s="478">
        <f t="shared" si="25"/>
        <v>0</v>
      </c>
      <c r="AO32" s="478">
        <f t="shared" si="26"/>
        <v>0</v>
      </c>
      <c r="AP32" s="478">
        <f t="shared" si="27"/>
        <v>0</v>
      </c>
      <c r="AQ32" s="323">
        <f t="shared" si="28"/>
        <v>0</v>
      </c>
      <c r="AR32" s="588"/>
      <c r="AS32" s="323">
        <f t="shared" si="29"/>
        <v>0</v>
      </c>
      <c r="AU32" s="880">
        <f t="shared" si="30"/>
        <v>0</v>
      </c>
    </row>
    <row r="33" spans="2:47" x14ac:dyDescent="0.25">
      <c r="B33" s="327">
        <v>8</v>
      </c>
      <c r="C33" s="347">
        <f>TREND(C24:C25,B24:B25,B33)</f>
        <v>0</v>
      </c>
      <c r="D33" s="630">
        <f>TREND(D24:D25,B24:B25,B33)</f>
        <v>0</v>
      </c>
      <c r="E33" s="633">
        <f>TREND(E24:E25,B24:B25,B33)</f>
        <v>55</v>
      </c>
      <c r="F33" s="374">
        <f>TREND(F24:F25,B24:B25,B33)</f>
        <v>55</v>
      </c>
      <c r="G33" s="966">
        <f t="shared" si="0"/>
        <v>0</v>
      </c>
      <c r="H33" s="967">
        <f t="shared" si="1"/>
        <v>0</v>
      </c>
      <c r="I33" s="428">
        <f t="shared" si="2"/>
        <v>0</v>
      </c>
      <c r="J33" s="431">
        <f t="shared" si="3"/>
        <v>0</v>
      </c>
      <c r="K33" s="339">
        <f t="shared" si="4"/>
        <v>0</v>
      </c>
      <c r="L33" s="436">
        <f t="shared" si="5"/>
        <v>0</v>
      </c>
      <c r="M33" s="285">
        <f t="shared" si="6"/>
        <v>0</v>
      </c>
      <c r="N33" s="323">
        <f t="shared" si="7"/>
        <v>0</v>
      </c>
      <c r="P33" s="327">
        <v>8</v>
      </c>
      <c r="Q33" s="347">
        <f>TREND(Q24:Q25,P24:P25,P33)</f>
        <v>0</v>
      </c>
      <c r="R33" s="372">
        <f>TREND(R24:R25,P24:P25,P33)</f>
        <v>0</v>
      </c>
      <c r="S33" s="660">
        <f t="shared" si="8"/>
        <v>0</v>
      </c>
      <c r="T33" s="658">
        <f>TREND(T24:T25,P24:P25,P33)</f>
        <v>0</v>
      </c>
      <c r="U33" s="644">
        <f>TREND(U24:U25,P24:P25,P33)</f>
        <v>0</v>
      </c>
      <c r="V33" s="661">
        <f t="shared" si="9"/>
        <v>0</v>
      </c>
      <c r="W33" s="339">
        <f t="shared" si="10"/>
        <v>0</v>
      </c>
      <c r="X33" s="664">
        <f t="shared" si="11"/>
        <v>0</v>
      </c>
      <c r="Y33" s="436">
        <f t="shared" si="12"/>
        <v>0</v>
      </c>
      <c r="Z33" s="285">
        <f t="shared" si="13"/>
        <v>0</v>
      </c>
      <c r="AA33" s="323">
        <f t="shared" si="14"/>
        <v>0</v>
      </c>
      <c r="AC33" s="327">
        <v>8</v>
      </c>
      <c r="AD33" s="478">
        <f t="shared" si="15"/>
        <v>0</v>
      </c>
      <c r="AE33" s="478">
        <f t="shared" si="16"/>
        <v>0</v>
      </c>
      <c r="AF33" s="478">
        <f t="shared" si="17"/>
        <v>0</v>
      </c>
      <c r="AG33" s="478">
        <f t="shared" si="18"/>
        <v>0</v>
      </c>
      <c r="AH33" s="478">
        <f t="shared" si="19"/>
        <v>0</v>
      </c>
      <c r="AI33" s="478">
        <f t="shared" si="20"/>
        <v>0</v>
      </c>
      <c r="AJ33" s="478">
        <f t="shared" si="21"/>
        <v>0</v>
      </c>
      <c r="AK33" s="478">
        <f t="shared" si="22"/>
        <v>0</v>
      </c>
      <c r="AL33" s="478">
        <f t="shared" si="23"/>
        <v>0</v>
      </c>
      <c r="AM33" s="478">
        <f t="shared" si="24"/>
        <v>0</v>
      </c>
      <c r="AN33" s="478">
        <f t="shared" si="25"/>
        <v>0</v>
      </c>
      <c r="AO33" s="478">
        <f t="shared" si="26"/>
        <v>0</v>
      </c>
      <c r="AP33" s="478">
        <f t="shared" si="27"/>
        <v>0</v>
      </c>
      <c r="AQ33" s="323">
        <f t="shared" si="28"/>
        <v>0</v>
      </c>
      <c r="AR33" s="588"/>
      <c r="AS33" s="323">
        <f t="shared" si="29"/>
        <v>0</v>
      </c>
      <c r="AU33" s="880">
        <f t="shared" si="30"/>
        <v>0</v>
      </c>
    </row>
    <row r="34" spans="2:47" x14ac:dyDescent="0.25">
      <c r="B34" s="327">
        <v>9</v>
      </c>
      <c r="C34" s="347">
        <f>TREND(C24:C25,B24:B25,B34)</f>
        <v>0</v>
      </c>
      <c r="D34" s="630">
        <f>TREND(D24:D25,B24:B25,B34)</f>
        <v>0</v>
      </c>
      <c r="E34" s="633">
        <f>TREND(E24:E25,B24:B25,B34)</f>
        <v>55</v>
      </c>
      <c r="F34" s="374">
        <f>TREND(F24:F25,B24:B25,B34)</f>
        <v>55</v>
      </c>
      <c r="G34" s="966">
        <f t="shared" si="0"/>
        <v>0</v>
      </c>
      <c r="H34" s="967">
        <f t="shared" si="1"/>
        <v>0</v>
      </c>
      <c r="I34" s="428">
        <f t="shared" si="2"/>
        <v>0</v>
      </c>
      <c r="J34" s="431">
        <f t="shared" si="3"/>
        <v>0</v>
      </c>
      <c r="K34" s="339">
        <f t="shared" si="4"/>
        <v>0</v>
      </c>
      <c r="L34" s="436">
        <f t="shared" si="5"/>
        <v>0</v>
      </c>
      <c r="M34" s="285">
        <f t="shared" si="6"/>
        <v>0</v>
      </c>
      <c r="N34" s="323">
        <f t="shared" si="7"/>
        <v>0</v>
      </c>
      <c r="P34" s="327">
        <v>9</v>
      </c>
      <c r="Q34" s="347">
        <f>TREND(Q24:Q25,P24:P25,P34)</f>
        <v>0</v>
      </c>
      <c r="R34" s="372">
        <f>TREND(R24:R25,P24:P25,P34)</f>
        <v>0</v>
      </c>
      <c r="S34" s="660">
        <f t="shared" si="8"/>
        <v>0</v>
      </c>
      <c r="T34" s="658">
        <f>TREND(T24:T25,P24:P25,P34)</f>
        <v>0</v>
      </c>
      <c r="U34" s="644">
        <f>TREND(U24:U25,P24:P25,P34)</f>
        <v>0</v>
      </c>
      <c r="V34" s="661">
        <f t="shared" si="9"/>
        <v>0</v>
      </c>
      <c r="W34" s="339">
        <f t="shared" si="10"/>
        <v>0</v>
      </c>
      <c r="X34" s="664">
        <f t="shared" si="11"/>
        <v>0</v>
      </c>
      <c r="Y34" s="436">
        <f t="shared" si="12"/>
        <v>0</v>
      </c>
      <c r="Z34" s="285">
        <f t="shared" si="13"/>
        <v>0</v>
      </c>
      <c r="AA34" s="323">
        <f t="shared" si="14"/>
        <v>0</v>
      </c>
      <c r="AC34" s="327">
        <v>9</v>
      </c>
      <c r="AD34" s="478">
        <f t="shared" si="15"/>
        <v>0</v>
      </c>
      <c r="AE34" s="478">
        <f t="shared" si="16"/>
        <v>0</v>
      </c>
      <c r="AF34" s="478">
        <f t="shared" si="17"/>
        <v>0</v>
      </c>
      <c r="AG34" s="478">
        <f t="shared" si="18"/>
        <v>0</v>
      </c>
      <c r="AH34" s="478">
        <f t="shared" si="19"/>
        <v>0</v>
      </c>
      <c r="AI34" s="478">
        <f t="shared" si="20"/>
        <v>0</v>
      </c>
      <c r="AJ34" s="478">
        <f t="shared" si="21"/>
        <v>0</v>
      </c>
      <c r="AK34" s="478">
        <f t="shared" si="22"/>
        <v>0</v>
      </c>
      <c r="AL34" s="478">
        <f t="shared" si="23"/>
        <v>0</v>
      </c>
      <c r="AM34" s="478">
        <f t="shared" si="24"/>
        <v>0</v>
      </c>
      <c r="AN34" s="478">
        <f t="shared" si="25"/>
        <v>0</v>
      </c>
      <c r="AO34" s="478">
        <f t="shared" si="26"/>
        <v>0</v>
      </c>
      <c r="AP34" s="478">
        <f t="shared" si="27"/>
        <v>0</v>
      </c>
      <c r="AQ34" s="323">
        <f t="shared" si="28"/>
        <v>0</v>
      </c>
      <c r="AR34" s="588"/>
      <c r="AS34" s="323">
        <f t="shared" si="29"/>
        <v>0</v>
      </c>
      <c r="AU34" s="880">
        <f t="shared" si="30"/>
        <v>0</v>
      </c>
    </row>
    <row r="35" spans="2:47" x14ac:dyDescent="0.25">
      <c r="B35" s="327">
        <v>10</v>
      </c>
      <c r="C35" s="347">
        <f>TREND(C24:C25,B24:B25,B35)</f>
        <v>0</v>
      </c>
      <c r="D35" s="630">
        <f>TREND(D24:D25,B24:B25,B35)</f>
        <v>0</v>
      </c>
      <c r="E35" s="633">
        <f>TREND(E24:E25,B24:B25,B35)</f>
        <v>55</v>
      </c>
      <c r="F35" s="374">
        <f>TREND(F24:F25,B24:B25,B35)</f>
        <v>55</v>
      </c>
      <c r="G35" s="966">
        <f t="shared" si="0"/>
        <v>0</v>
      </c>
      <c r="H35" s="967">
        <f t="shared" si="1"/>
        <v>0</v>
      </c>
      <c r="I35" s="428">
        <f t="shared" si="2"/>
        <v>0</v>
      </c>
      <c r="J35" s="431">
        <f t="shared" si="3"/>
        <v>0</v>
      </c>
      <c r="K35" s="339">
        <f t="shared" si="4"/>
        <v>0</v>
      </c>
      <c r="L35" s="436">
        <f t="shared" si="5"/>
        <v>0</v>
      </c>
      <c r="M35" s="285">
        <f t="shared" si="6"/>
        <v>0</v>
      </c>
      <c r="N35" s="323">
        <f t="shared" si="7"/>
        <v>0</v>
      </c>
      <c r="P35" s="327">
        <v>10</v>
      </c>
      <c r="Q35" s="347">
        <f>TREND(Q24:Q25,P24:P25,P35)</f>
        <v>0</v>
      </c>
      <c r="R35" s="372">
        <f>TREND(R24:R25,P24:P25,P35)</f>
        <v>0</v>
      </c>
      <c r="S35" s="660">
        <f t="shared" si="8"/>
        <v>0</v>
      </c>
      <c r="T35" s="658">
        <f>TREND(T24:T25,P24:P25,P35)</f>
        <v>0</v>
      </c>
      <c r="U35" s="644">
        <f>TREND(U24:U25,P24:P25,P35)</f>
        <v>0</v>
      </c>
      <c r="V35" s="661">
        <f t="shared" si="9"/>
        <v>0</v>
      </c>
      <c r="W35" s="339">
        <f t="shared" si="10"/>
        <v>0</v>
      </c>
      <c r="X35" s="664">
        <f t="shared" si="11"/>
        <v>0</v>
      </c>
      <c r="Y35" s="436">
        <f t="shared" si="12"/>
        <v>0</v>
      </c>
      <c r="Z35" s="285">
        <f t="shared" si="13"/>
        <v>0</v>
      </c>
      <c r="AA35" s="323">
        <f t="shared" si="14"/>
        <v>0</v>
      </c>
      <c r="AC35" s="327">
        <v>10</v>
      </c>
      <c r="AD35" s="478">
        <f t="shared" si="15"/>
        <v>0</v>
      </c>
      <c r="AE35" s="478">
        <f t="shared" si="16"/>
        <v>0</v>
      </c>
      <c r="AF35" s="478">
        <f t="shared" si="17"/>
        <v>0</v>
      </c>
      <c r="AG35" s="478">
        <f t="shared" si="18"/>
        <v>0</v>
      </c>
      <c r="AH35" s="478">
        <f t="shared" si="19"/>
        <v>0</v>
      </c>
      <c r="AI35" s="478">
        <f t="shared" si="20"/>
        <v>0</v>
      </c>
      <c r="AJ35" s="478">
        <f t="shared" si="21"/>
        <v>0</v>
      </c>
      <c r="AK35" s="478">
        <f t="shared" si="22"/>
        <v>0</v>
      </c>
      <c r="AL35" s="478">
        <f t="shared" si="23"/>
        <v>0</v>
      </c>
      <c r="AM35" s="478">
        <f t="shared" si="24"/>
        <v>0</v>
      </c>
      <c r="AN35" s="478">
        <f t="shared" si="25"/>
        <v>0</v>
      </c>
      <c r="AO35" s="478">
        <f t="shared" si="26"/>
        <v>0</v>
      </c>
      <c r="AP35" s="478">
        <f t="shared" si="27"/>
        <v>0</v>
      </c>
      <c r="AQ35" s="323">
        <f t="shared" si="28"/>
        <v>0</v>
      </c>
      <c r="AR35" s="588"/>
      <c r="AS35" s="323">
        <f t="shared" si="29"/>
        <v>0</v>
      </c>
      <c r="AU35" s="880">
        <f t="shared" si="30"/>
        <v>0</v>
      </c>
    </row>
    <row r="36" spans="2:47" x14ac:dyDescent="0.25">
      <c r="B36" s="327">
        <v>11</v>
      </c>
      <c r="C36" s="347">
        <f>TREND(C24:C25,B24:B25,B36)</f>
        <v>0</v>
      </c>
      <c r="D36" s="630">
        <f>TREND(D24:D25,B24:B25,B36)</f>
        <v>0</v>
      </c>
      <c r="E36" s="633">
        <f>TREND(E24:E25,B24:B25,B36)</f>
        <v>55</v>
      </c>
      <c r="F36" s="374">
        <f>TREND(F24:F25,B24:B25,B36)</f>
        <v>55</v>
      </c>
      <c r="G36" s="966">
        <f t="shared" si="0"/>
        <v>0</v>
      </c>
      <c r="H36" s="967">
        <f t="shared" si="1"/>
        <v>0</v>
      </c>
      <c r="I36" s="428">
        <f t="shared" si="2"/>
        <v>0</v>
      </c>
      <c r="J36" s="431">
        <f t="shared" si="3"/>
        <v>0</v>
      </c>
      <c r="K36" s="339">
        <f t="shared" si="4"/>
        <v>0</v>
      </c>
      <c r="L36" s="436">
        <f t="shared" si="5"/>
        <v>0</v>
      </c>
      <c r="M36" s="285">
        <f t="shared" si="6"/>
        <v>0</v>
      </c>
      <c r="N36" s="323">
        <f t="shared" si="7"/>
        <v>0</v>
      </c>
      <c r="P36" s="327">
        <v>11</v>
      </c>
      <c r="Q36" s="347">
        <f>TREND(Q24:Q25,P24:P25,P36)</f>
        <v>0</v>
      </c>
      <c r="R36" s="372">
        <f>TREND(R24:R25,P24:P25,P36)</f>
        <v>0</v>
      </c>
      <c r="S36" s="660">
        <f t="shared" si="8"/>
        <v>0</v>
      </c>
      <c r="T36" s="658">
        <f>TREND(T24:T25,P24:P25,P36)</f>
        <v>0</v>
      </c>
      <c r="U36" s="644">
        <f>TREND(U24:U25,P24:P25,P36)</f>
        <v>0</v>
      </c>
      <c r="V36" s="661">
        <f t="shared" si="9"/>
        <v>0</v>
      </c>
      <c r="W36" s="339">
        <f t="shared" si="10"/>
        <v>0</v>
      </c>
      <c r="X36" s="664">
        <f t="shared" si="11"/>
        <v>0</v>
      </c>
      <c r="Y36" s="436">
        <f t="shared" si="12"/>
        <v>0</v>
      </c>
      <c r="Z36" s="285">
        <f t="shared" si="13"/>
        <v>0</v>
      </c>
      <c r="AA36" s="323">
        <f t="shared" si="14"/>
        <v>0</v>
      </c>
      <c r="AC36" s="327">
        <v>11</v>
      </c>
      <c r="AD36" s="478">
        <f t="shared" si="15"/>
        <v>0</v>
      </c>
      <c r="AE36" s="478">
        <f t="shared" si="16"/>
        <v>0</v>
      </c>
      <c r="AF36" s="478">
        <f t="shared" si="17"/>
        <v>0</v>
      </c>
      <c r="AG36" s="478">
        <f t="shared" si="18"/>
        <v>0</v>
      </c>
      <c r="AH36" s="478">
        <f t="shared" si="19"/>
        <v>0</v>
      </c>
      <c r="AI36" s="478">
        <f t="shared" si="20"/>
        <v>0</v>
      </c>
      <c r="AJ36" s="478">
        <f t="shared" si="21"/>
        <v>0</v>
      </c>
      <c r="AK36" s="478">
        <f t="shared" si="22"/>
        <v>0</v>
      </c>
      <c r="AL36" s="478">
        <f t="shared" si="23"/>
        <v>0</v>
      </c>
      <c r="AM36" s="478">
        <f t="shared" si="24"/>
        <v>0</v>
      </c>
      <c r="AN36" s="478">
        <f t="shared" si="25"/>
        <v>0</v>
      </c>
      <c r="AO36" s="478">
        <f t="shared" si="26"/>
        <v>0</v>
      </c>
      <c r="AP36" s="478">
        <f t="shared" si="27"/>
        <v>0</v>
      </c>
      <c r="AQ36" s="323">
        <f t="shared" si="28"/>
        <v>0</v>
      </c>
      <c r="AR36" s="588"/>
      <c r="AS36" s="323">
        <f t="shared" si="29"/>
        <v>0</v>
      </c>
      <c r="AU36" s="880">
        <f t="shared" si="30"/>
        <v>0</v>
      </c>
    </row>
    <row r="37" spans="2:47" x14ac:dyDescent="0.25">
      <c r="B37" s="327">
        <v>12</v>
      </c>
      <c r="C37" s="347">
        <f>TREND(C24:C25,B24:B25,B37)</f>
        <v>0</v>
      </c>
      <c r="D37" s="630">
        <f>TREND(D24:D25,B24:B25,B37)</f>
        <v>0</v>
      </c>
      <c r="E37" s="633">
        <f>TREND(E24:E25,B24:B25,B37)</f>
        <v>55</v>
      </c>
      <c r="F37" s="374">
        <f>TREND(F24:F25,B24:B25,B37)</f>
        <v>55</v>
      </c>
      <c r="G37" s="966">
        <f t="shared" si="0"/>
        <v>0</v>
      </c>
      <c r="H37" s="967">
        <f t="shared" si="1"/>
        <v>0</v>
      </c>
      <c r="I37" s="428">
        <f t="shared" si="2"/>
        <v>0</v>
      </c>
      <c r="J37" s="431">
        <f t="shared" si="3"/>
        <v>0</v>
      </c>
      <c r="K37" s="339">
        <f t="shared" si="4"/>
        <v>0</v>
      </c>
      <c r="L37" s="436">
        <f t="shared" si="5"/>
        <v>0</v>
      </c>
      <c r="M37" s="285">
        <f t="shared" si="6"/>
        <v>0</v>
      </c>
      <c r="N37" s="323">
        <f t="shared" si="7"/>
        <v>0</v>
      </c>
      <c r="P37" s="327">
        <v>12</v>
      </c>
      <c r="Q37" s="347">
        <f>TREND(Q24:Q25,P24:P25,P37)</f>
        <v>0</v>
      </c>
      <c r="R37" s="372">
        <f>TREND(R24:R25,P24:P25,P37)</f>
        <v>0</v>
      </c>
      <c r="S37" s="660">
        <f t="shared" si="8"/>
        <v>0</v>
      </c>
      <c r="T37" s="658">
        <f>TREND(T24:T25,P24:P25,P37)</f>
        <v>0</v>
      </c>
      <c r="U37" s="644">
        <f>TREND(U24:U25,P24:P25,P37)</f>
        <v>0</v>
      </c>
      <c r="V37" s="661">
        <f t="shared" si="9"/>
        <v>0</v>
      </c>
      <c r="W37" s="339">
        <f t="shared" si="10"/>
        <v>0</v>
      </c>
      <c r="X37" s="664">
        <f t="shared" si="11"/>
        <v>0</v>
      </c>
      <c r="Y37" s="436">
        <f t="shared" si="12"/>
        <v>0</v>
      </c>
      <c r="Z37" s="285">
        <f t="shared" si="13"/>
        <v>0</v>
      </c>
      <c r="AA37" s="323">
        <f t="shared" si="14"/>
        <v>0</v>
      </c>
      <c r="AC37" s="327">
        <v>12</v>
      </c>
      <c r="AD37" s="478">
        <f t="shared" si="15"/>
        <v>0</v>
      </c>
      <c r="AE37" s="478">
        <f t="shared" si="16"/>
        <v>0</v>
      </c>
      <c r="AF37" s="478">
        <f t="shared" si="17"/>
        <v>0</v>
      </c>
      <c r="AG37" s="478">
        <f t="shared" si="18"/>
        <v>0</v>
      </c>
      <c r="AH37" s="478">
        <f t="shared" si="19"/>
        <v>0</v>
      </c>
      <c r="AI37" s="478">
        <f t="shared" si="20"/>
        <v>0</v>
      </c>
      <c r="AJ37" s="478">
        <f t="shared" si="21"/>
        <v>0</v>
      </c>
      <c r="AK37" s="478">
        <f t="shared" si="22"/>
        <v>0</v>
      </c>
      <c r="AL37" s="478">
        <f t="shared" si="23"/>
        <v>0</v>
      </c>
      <c r="AM37" s="478">
        <f t="shared" si="24"/>
        <v>0</v>
      </c>
      <c r="AN37" s="478">
        <f t="shared" si="25"/>
        <v>0</v>
      </c>
      <c r="AO37" s="478">
        <f t="shared" si="26"/>
        <v>0</v>
      </c>
      <c r="AP37" s="478">
        <f t="shared" si="27"/>
        <v>0</v>
      </c>
      <c r="AQ37" s="323">
        <f t="shared" si="28"/>
        <v>0</v>
      </c>
      <c r="AR37" s="588"/>
      <c r="AS37" s="323">
        <f t="shared" si="29"/>
        <v>0</v>
      </c>
      <c r="AU37" s="880">
        <f t="shared" si="30"/>
        <v>0</v>
      </c>
    </row>
    <row r="38" spans="2:47" x14ac:dyDescent="0.25">
      <c r="B38" s="327">
        <v>13</v>
      </c>
      <c r="C38" s="347">
        <f>TREND(C24:C25,B24:B25,B38)</f>
        <v>0</v>
      </c>
      <c r="D38" s="630">
        <f>TREND(D24:D25,B24:B25,B38)</f>
        <v>0</v>
      </c>
      <c r="E38" s="633">
        <f>TREND(E24:E25,B24:B25,B38)</f>
        <v>55</v>
      </c>
      <c r="F38" s="374">
        <f>TREND(F24:F25,B24:B25,B38)</f>
        <v>55</v>
      </c>
      <c r="G38" s="966">
        <f t="shared" si="0"/>
        <v>0</v>
      </c>
      <c r="H38" s="967">
        <f t="shared" si="1"/>
        <v>0</v>
      </c>
      <c r="I38" s="428">
        <f t="shared" si="2"/>
        <v>0</v>
      </c>
      <c r="J38" s="431">
        <f t="shared" si="3"/>
        <v>0</v>
      </c>
      <c r="K38" s="339">
        <f t="shared" si="4"/>
        <v>0</v>
      </c>
      <c r="L38" s="436">
        <f t="shared" si="5"/>
        <v>0</v>
      </c>
      <c r="M38" s="285">
        <f t="shared" si="6"/>
        <v>0</v>
      </c>
      <c r="N38" s="323">
        <f t="shared" si="7"/>
        <v>0</v>
      </c>
      <c r="P38" s="327">
        <v>13</v>
      </c>
      <c r="Q38" s="347">
        <f>TREND(Q24:Q25,P24:P25,P38)</f>
        <v>0</v>
      </c>
      <c r="R38" s="372">
        <f>TREND(R24:R25,P24:P25,P38)</f>
        <v>0</v>
      </c>
      <c r="S38" s="660">
        <f t="shared" si="8"/>
        <v>0</v>
      </c>
      <c r="T38" s="658">
        <f>TREND(T24:T25,P24:P25,P38)</f>
        <v>0</v>
      </c>
      <c r="U38" s="644">
        <f>TREND(U24:U25,P24:P25,P38)</f>
        <v>0</v>
      </c>
      <c r="V38" s="661">
        <f t="shared" si="9"/>
        <v>0</v>
      </c>
      <c r="W38" s="339">
        <f t="shared" si="10"/>
        <v>0</v>
      </c>
      <c r="X38" s="664">
        <f t="shared" si="11"/>
        <v>0</v>
      </c>
      <c r="Y38" s="436">
        <f t="shared" si="12"/>
        <v>0</v>
      </c>
      <c r="Z38" s="285">
        <f t="shared" si="13"/>
        <v>0</v>
      </c>
      <c r="AA38" s="323">
        <f t="shared" si="14"/>
        <v>0</v>
      </c>
      <c r="AC38" s="327">
        <v>13</v>
      </c>
      <c r="AD38" s="478">
        <f t="shared" si="15"/>
        <v>0</v>
      </c>
      <c r="AE38" s="478">
        <f t="shared" si="16"/>
        <v>0</v>
      </c>
      <c r="AF38" s="478">
        <f t="shared" si="17"/>
        <v>0</v>
      </c>
      <c r="AG38" s="478">
        <f t="shared" si="18"/>
        <v>0</v>
      </c>
      <c r="AH38" s="478">
        <f t="shared" si="19"/>
        <v>0</v>
      </c>
      <c r="AI38" s="478">
        <f t="shared" si="20"/>
        <v>0</v>
      </c>
      <c r="AJ38" s="478">
        <f t="shared" si="21"/>
        <v>0</v>
      </c>
      <c r="AK38" s="478">
        <f t="shared" si="22"/>
        <v>0</v>
      </c>
      <c r="AL38" s="478">
        <f t="shared" si="23"/>
        <v>0</v>
      </c>
      <c r="AM38" s="478">
        <f t="shared" si="24"/>
        <v>0</v>
      </c>
      <c r="AN38" s="478">
        <f t="shared" si="25"/>
        <v>0</v>
      </c>
      <c r="AO38" s="478">
        <f t="shared" si="26"/>
        <v>0</v>
      </c>
      <c r="AP38" s="478">
        <f t="shared" si="27"/>
        <v>0</v>
      </c>
      <c r="AQ38" s="323">
        <f t="shared" si="28"/>
        <v>0</v>
      </c>
      <c r="AR38" s="588"/>
      <c r="AS38" s="323">
        <f t="shared" si="29"/>
        <v>0</v>
      </c>
      <c r="AU38" s="880">
        <f t="shared" si="30"/>
        <v>0</v>
      </c>
    </row>
    <row r="39" spans="2:47" x14ac:dyDescent="0.25">
      <c r="B39" s="327">
        <v>14</v>
      </c>
      <c r="C39" s="347">
        <f>TREND(C24:C25,B24:B25,B39)</f>
        <v>0</v>
      </c>
      <c r="D39" s="630">
        <f>TREND(D24:D25,B24:B25,B39)</f>
        <v>0</v>
      </c>
      <c r="E39" s="633">
        <f>TREND(E24:E25,B24:B25,B39)</f>
        <v>55</v>
      </c>
      <c r="F39" s="374">
        <f>TREND(F24:F25,B24:B25,B39)</f>
        <v>55</v>
      </c>
      <c r="G39" s="966">
        <f t="shared" si="0"/>
        <v>0</v>
      </c>
      <c r="H39" s="967">
        <f t="shared" si="1"/>
        <v>0</v>
      </c>
      <c r="I39" s="428">
        <f t="shared" si="2"/>
        <v>0</v>
      </c>
      <c r="J39" s="431">
        <f t="shared" si="3"/>
        <v>0</v>
      </c>
      <c r="K39" s="339">
        <f t="shared" si="4"/>
        <v>0</v>
      </c>
      <c r="L39" s="436">
        <f t="shared" si="5"/>
        <v>0</v>
      </c>
      <c r="M39" s="285">
        <f t="shared" si="6"/>
        <v>0</v>
      </c>
      <c r="N39" s="323">
        <f t="shared" si="7"/>
        <v>0</v>
      </c>
      <c r="P39" s="327">
        <v>14</v>
      </c>
      <c r="Q39" s="347">
        <f>TREND(Q24:Q25,P24:P25,P39)</f>
        <v>0</v>
      </c>
      <c r="R39" s="372">
        <f>TREND(R24:R25,P24:P25,P39)</f>
        <v>0</v>
      </c>
      <c r="S39" s="660">
        <f t="shared" si="8"/>
        <v>0</v>
      </c>
      <c r="T39" s="658">
        <f>TREND(T24:T25,P24:P25,P39)</f>
        <v>0</v>
      </c>
      <c r="U39" s="644">
        <f>TREND(U24:U25,P24:P25,P39)</f>
        <v>0</v>
      </c>
      <c r="V39" s="661">
        <f t="shared" si="9"/>
        <v>0</v>
      </c>
      <c r="W39" s="339">
        <f t="shared" si="10"/>
        <v>0</v>
      </c>
      <c r="X39" s="664">
        <f t="shared" si="11"/>
        <v>0</v>
      </c>
      <c r="Y39" s="436">
        <f t="shared" si="12"/>
        <v>0</v>
      </c>
      <c r="Z39" s="285">
        <f t="shared" si="13"/>
        <v>0</v>
      </c>
      <c r="AA39" s="323">
        <f t="shared" si="14"/>
        <v>0</v>
      </c>
      <c r="AC39" s="327">
        <v>14</v>
      </c>
      <c r="AD39" s="478">
        <f t="shared" si="15"/>
        <v>0</v>
      </c>
      <c r="AE39" s="478">
        <f t="shared" si="16"/>
        <v>0</v>
      </c>
      <c r="AF39" s="478">
        <f t="shared" si="17"/>
        <v>0</v>
      </c>
      <c r="AG39" s="478">
        <f t="shared" si="18"/>
        <v>0</v>
      </c>
      <c r="AH39" s="478">
        <f t="shared" si="19"/>
        <v>0</v>
      </c>
      <c r="AI39" s="478">
        <f t="shared" si="20"/>
        <v>0</v>
      </c>
      <c r="AJ39" s="478">
        <f t="shared" si="21"/>
        <v>0</v>
      </c>
      <c r="AK39" s="478">
        <f t="shared" si="22"/>
        <v>0</v>
      </c>
      <c r="AL39" s="478">
        <f t="shared" si="23"/>
        <v>0</v>
      </c>
      <c r="AM39" s="478">
        <f t="shared" si="24"/>
        <v>0</v>
      </c>
      <c r="AN39" s="478">
        <f t="shared" si="25"/>
        <v>0</v>
      </c>
      <c r="AO39" s="478">
        <f t="shared" si="26"/>
        <v>0</v>
      </c>
      <c r="AP39" s="478">
        <f t="shared" si="27"/>
        <v>0</v>
      </c>
      <c r="AQ39" s="323">
        <f t="shared" si="28"/>
        <v>0</v>
      </c>
      <c r="AR39" s="588"/>
      <c r="AS39" s="323">
        <f t="shared" si="29"/>
        <v>0</v>
      </c>
      <c r="AU39" s="880">
        <f t="shared" si="30"/>
        <v>0</v>
      </c>
    </row>
    <row r="40" spans="2:47" x14ac:dyDescent="0.25">
      <c r="B40" s="327">
        <v>15</v>
      </c>
      <c r="C40" s="347">
        <f>TREND(C24:C25,B24:B25,B40)</f>
        <v>0</v>
      </c>
      <c r="D40" s="630">
        <f>TREND(D24:D25,B24:B25,B40)</f>
        <v>0</v>
      </c>
      <c r="E40" s="633">
        <f>TREND(E24:E25,B24:B25,B40)</f>
        <v>55</v>
      </c>
      <c r="F40" s="374">
        <f>TREND(F24:F25,B24:B25,B40)</f>
        <v>55</v>
      </c>
      <c r="G40" s="966">
        <f t="shared" si="0"/>
        <v>0</v>
      </c>
      <c r="H40" s="967">
        <f t="shared" si="1"/>
        <v>0</v>
      </c>
      <c r="I40" s="428">
        <f t="shared" si="2"/>
        <v>0</v>
      </c>
      <c r="J40" s="431">
        <f t="shared" si="3"/>
        <v>0</v>
      </c>
      <c r="K40" s="339">
        <f t="shared" si="4"/>
        <v>0</v>
      </c>
      <c r="L40" s="436">
        <f t="shared" si="5"/>
        <v>0</v>
      </c>
      <c r="M40" s="285">
        <f t="shared" si="6"/>
        <v>0</v>
      </c>
      <c r="N40" s="323">
        <f t="shared" si="7"/>
        <v>0</v>
      </c>
      <c r="P40" s="327">
        <v>15</v>
      </c>
      <c r="Q40" s="347">
        <f>TREND(Q24:Q25,P24:P25,P40)</f>
        <v>0</v>
      </c>
      <c r="R40" s="372">
        <f>TREND(R24:R25,P24:P25,P40)</f>
        <v>0</v>
      </c>
      <c r="S40" s="660">
        <f t="shared" si="8"/>
        <v>0</v>
      </c>
      <c r="T40" s="658">
        <f>TREND(T24:T25,P24:P25,P40)</f>
        <v>0</v>
      </c>
      <c r="U40" s="644">
        <f>TREND(U24:U25,P24:P25,P40)</f>
        <v>0</v>
      </c>
      <c r="V40" s="661">
        <f t="shared" si="9"/>
        <v>0</v>
      </c>
      <c r="W40" s="339">
        <f t="shared" si="10"/>
        <v>0</v>
      </c>
      <c r="X40" s="664">
        <f t="shared" si="11"/>
        <v>0</v>
      </c>
      <c r="Y40" s="436">
        <f t="shared" si="12"/>
        <v>0</v>
      </c>
      <c r="Z40" s="285">
        <f t="shared" si="13"/>
        <v>0</v>
      </c>
      <c r="AA40" s="323">
        <f t="shared" si="14"/>
        <v>0</v>
      </c>
      <c r="AC40" s="327">
        <v>15</v>
      </c>
      <c r="AD40" s="478">
        <f t="shared" si="15"/>
        <v>0</v>
      </c>
      <c r="AE40" s="478">
        <f t="shared" si="16"/>
        <v>0</v>
      </c>
      <c r="AF40" s="478">
        <f t="shared" si="17"/>
        <v>0</v>
      </c>
      <c r="AG40" s="478">
        <f t="shared" si="18"/>
        <v>0</v>
      </c>
      <c r="AH40" s="478">
        <f t="shared" si="19"/>
        <v>0</v>
      </c>
      <c r="AI40" s="478">
        <f t="shared" si="20"/>
        <v>0</v>
      </c>
      <c r="AJ40" s="478">
        <f t="shared" si="21"/>
        <v>0</v>
      </c>
      <c r="AK40" s="478">
        <f t="shared" si="22"/>
        <v>0</v>
      </c>
      <c r="AL40" s="478">
        <f t="shared" si="23"/>
        <v>0</v>
      </c>
      <c r="AM40" s="478">
        <f t="shared" si="24"/>
        <v>0</v>
      </c>
      <c r="AN40" s="478">
        <f t="shared" si="25"/>
        <v>0</v>
      </c>
      <c r="AO40" s="478">
        <f t="shared" si="26"/>
        <v>0</v>
      </c>
      <c r="AP40" s="478">
        <f t="shared" si="27"/>
        <v>0</v>
      </c>
      <c r="AQ40" s="323">
        <f t="shared" si="28"/>
        <v>0</v>
      </c>
      <c r="AR40" s="588"/>
      <c r="AS40" s="323">
        <f t="shared" si="29"/>
        <v>0</v>
      </c>
      <c r="AU40" s="880">
        <f t="shared" si="30"/>
        <v>0</v>
      </c>
    </row>
    <row r="41" spans="2:47" x14ac:dyDescent="0.25">
      <c r="B41" s="327">
        <v>16</v>
      </c>
      <c r="C41" s="347">
        <f>TREND(C24:C25,B24:B25,B41)</f>
        <v>0</v>
      </c>
      <c r="D41" s="630">
        <f>TREND(D24:D25,B24:B25,B41)</f>
        <v>0</v>
      </c>
      <c r="E41" s="633">
        <f>TREND(E24:E25,B24:B25,B41)</f>
        <v>55</v>
      </c>
      <c r="F41" s="374">
        <f>TREND(F24:F25,B24:B25,B41)</f>
        <v>55</v>
      </c>
      <c r="G41" s="966">
        <f t="shared" si="0"/>
        <v>0</v>
      </c>
      <c r="H41" s="967">
        <f t="shared" si="1"/>
        <v>0</v>
      </c>
      <c r="I41" s="428">
        <f t="shared" si="2"/>
        <v>0</v>
      </c>
      <c r="J41" s="431">
        <f t="shared" si="3"/>
        <v>0</v>
      </c>
      <c r="K41" s="339">
        <f t="shared" si="4"/>
        <v>0</v>
      </c>
      <c r="L41" s="436">
        <f t="shared" si="5"/>
        <v>0</v>
      </c>
      <c r="M41" s="285">
        <f t="shared" si="6"/>
        <v>0</v>
      </c>
      <c r="N41" s="323">
        <f t="shared" si="7"/>
        <v>0</v>
      </c>
      <c r="P41" s="327">
        <v>16</v>
      </c>
      <c r="Q41" s="347">
        <f>TREND(Q24:Q25,P24:P25,P41)</f>
        <v>0</v>
      </c>
      <c r="R41" s="372">
        <f>TREND(R24:R25,P24:P25,P41)</f>
        <v>0</v>
      </c>
      <c r="S41" s="660">
        <f t="shared" si="8"/>
        <v>0</v>
      </c>
      <c r="T41" s="658">
        <f>TREND(T24:T25,P24:P25,P41)</f>
        <v>0</v>
      </c>
      <c r="U41" s="644">
        <f>TREND(U24:U25,P24:P25,P41)</f>
        <v>0</v>
      </c>
      <c r="V41" s="661">
        <f t="shared" si="9"/>
        <v>0</v>
      </c>
      <c r="W41" s="339">
        <f t="shared" si="10"/>
        <v>0</v>
      </c>
      <c r="X41" s="664">
        <f t="shared" si="11"/>
        <v>0</v>
      </c>
      <c r="Y41" s="436">
        <f t="shared" si="12"/>
        <v>0</v>
      </c>
      <c r="Z41" s="285">
        <f t="shared" si="13"/>
        <v>0</v>
      </c>
      <c r="AA41" s="323">
        <f t="shared" si="14"/>
        <v>0</v>
      </c>
      <c r="AC41" s="327">
        <v>16</v>
      </c>
      <c r="AD41" s="478">
        <f t="shared" si="15"/>
        <v>0</v>
      </c>
      <c r="AE41" s="478">
        <f t="shared" si="16"/>
        <v>0</v>
      </c>
      <c r="AF41" s="478">
        <f t="shared" si="17"/>
        <v>0</v>
      </c>
      <c r="AG41" s="478">
        <f t="shared" si="18"/>
        <v>0</v>
      </c>
      <c r="AH41" s="478">
        <f t="shared" si="19"/>
        <v>0</v>
      </c>
      <c r="AI41" s="478">
        <f t="shared" si="20"/>
        <v>0</v>
      </c>
      <c r="AJ41" s="478">
        <f t="shared" si="21"/>
        <v>0</v>
      </c>
      <c r="AK41" s="478">
        <f t="shared" si="22"/>
        <v>0</v>
      </c>
      <c r="AL41" s="478">
        <f t="shared" si="23"/>
        <v>0</v>
      </c>
      <c r="AM41" s="478">
        <f t="shared" si="24"/>
        <v>0</v>
      </c>
      <c r="AN41" s="478">
        <f t="shared" si="25"/>
        <v>0</v>
      </c>
      <c r="AO41" s="478">
        <f t="shared" si="26"/>
        <v>0</v>
      </c>
      <c r="AP41" s="478">
        <f t="shared" si="27"/>
        <v>0</v>
      </c>
      <c r="AQ41" s="323">
        <f t="shared" si="28"/>
        <v>0</v>
      </c>
      <c r="AR41" s="588"/>
      <c r="AS41" s="323">
        <f t="shared" si="29"/>
        <v>0</v>
      </c>
      <c r="AU41" s="880">
        <f t="shared" si="30"/>
        <v>0</v>
      </c>
    </row>
    <row r="42" spans="2:47" x14ac:dyDescent="0.25">
      <c r="B42" s="327">
        <v>17</v>
      </c>
      <c r="C42" s="347">
        <f>TREND(C24:C25,B24:B25,B42)</f>
        <v>0</v>
      </c>
      <c r="D42" s="630">
        <f>TREND(D24:D25,B24:B25,B42)</f>
        <v>0</v>
      </c>
      <c r="E42" s="633">
        <f>TREND(E24:E25,B24:B25,B42)</f>
        <v>55</v>
      </c>
      <c r="F42" s="374">
        <f>TREND(F24:F25,B24:B25,B42)</f>
        <v>55</v>
      </c>
      <c r="G42" s="966">
        <f t="shared" si="0"/>
        <v>0</v>
      </c>
      <c r="H42" s="967">
        <f t="shared" si="1"/>
        <v>0</v>
      </c>
      <c r="I42" s="428">
        <f t="shared" si="2"/>
        <v>0</v>
      </c>
      <c r="J42" s="431">
        <f t="shared" si="3"/>
        <v>0</v>
      </c>
      <c r="K42" s="339">
        <f t="shared" si="4"/>
        <v>0</v>
      </c>
      <c r="L42" s="436">
        <f t="shared" si="5"/>
        <v>0</v>
      </c>
      <c r="M42" s="285">
        <f t="shared" si="6"/>
        <v>0</v>
      </c>
      <c r="N42" s="323">
        <f t="shared" si="7"/>
        <v>0</v>
      </c>
      <c r="P42" s="327">
        <v>17</v>
      </c>
      <c r="Q42" s="347">
        <f>TREND(Q24:Q25,P24:P25,P42)</f>
        <v>0</v>
      </c>
      <c r="R42" s="372">
        <f>TREND(R24:R25,P24:P25,P42)</f>
        <v>0</v>
      </c>
      <c r="S42" s="660">
        <f t="shared" si="8"/>
        <v>0</v>
      </c>
      <c r="T42" s="658">
        <f>TREND(T24:T25,P24:P25,P42)</f>
        <v>0</v>
      </c>
      <c r="U42" s="644">
        <f>TREND(U24:U25,P24:P25,P42)</f>
        <v>0</v>
      </c>
      <c r="V42" s="661">
        <f t="shared" si="9"/>
        <v>0</v>
      </c>
      <c r="W42" s="339">
        <f t="shared" si="10"/>
        <v>0</v>
      </c>
      <c r="X42" s="664">
        <f t="shared" si="11"/>
        <v>0</v>
      </c>
      <c r="Y42" s="436">
        <f t="shared" si="12"/>
        <v>0</v>
      </c>
      <c r="Z42" s="285">
        <f t="shared" si="13"/>
        <v>0</v>
      </c>
      <c r="AA42" s="323">
        <f t="shared" si="14"/>
        <v>0</v>
      </c>
      <c r="AC42" s="327">
        <v>17</v>
      </c>
      <c r="AD42" s="478">
        <f t="shared" si="15"/>
        <v>0</v>
      </c>
      <c r="AE42" s="478">
        <f t="shared" si="16"/>
        <v>0</v>
      </c>
      <c r="AF42" s="478">
        <f t="shared" si="17"/>
        <v>0</v>
      </c>
      <c r="AG42" s="478">
        <f t="shared" si="18"/>
        <v>0</v>
      </c>
      <c r="AH42" s="478">
        <f t="shared" si="19"/>
        <v>0</v>
      </c>
      <c r="AI42" s="478">
        <f t="shared" si="20"/>
        <v>0</v>
      </c>
      <c r="AJ42" s="478">
        <f t="shared" si="21"/>
        <v>0</v>
      </c>
      <c r="AK42" s="478">
        <f t="shared" si="22"/>
        <v>0</v>
      </c>
      <c r="AL42" s="478">
        <f t="shared" si="23"/>
        <v>0</v>
      </c>
      <c r="AM42" s="478">
        <f t="shared" si="24"/>
        <v>0</v>
      </c>
      <c r="AN42" s="478">
        <f t="shared" si="25"/>
        <v>0</v>
      </c>
      <c r="AO42" s="478">
        <f t="shared" si="26"/>
        <v>0</v>
      </c>
      <c r="AP42" s="478">
        <f t="shared" si="27"/>
        <v>0</v>
      </c>
      <c r="AQ42" s="323">
        <f t="shared" si="28"/>
        <v>0</v>
      </c>
      <c r="AR42" s="588"/>
      <c r="AS42" s="323">
        <f t="shared" si="29"/>
        <v>0</v>
      </c>
      <c r="AU42" s="880">
        <f t="shared" si="30"/>
        <v>0</v>
      </c>
    </row>
    <row r="43" spans="2:47" x14ac:dyDescent="0.25">
      <c r="B43" s="327">
        <v>18</v>
      </c>
      <c r="C43" s="347">
        <f>TREND(C24:C25,B24:B25,B43)</f>
        <v>0</v>
      </c>
      <c r="D43" s="630">
        <f>TREND(D24:D25,B24:B25,B43)</f>
        <v>0</v>
      </c>
      <c r="E43" s="633">
        <f>TREND(E24:E25,B24:B25,B43)</f>
        <v>55</v>
      </c>
      <c r="F43" s="374">
        <f>TREND(F24:F25,B24:B25,B43)</f>
        <v>55</v>
      </c>
      <c r="G43" s="966">
        <f t="shared" si="0"/>
        <v>0</v>
      </c>
      <c r="H43" s="967">
        <f t="shared" si="1"/>
        <v>0</v>
      </c>
      <c r="I43" s="428">
        <f t="shared" si="2"/>
        <v>0</v>
      </c>
      <c r="J43" s="431">
        <f t="shared" si="3"/>
        <v>0</v>
      </c>
      <c r="K43" s="339">
        <f t="shared" si="4"/>
        <v>0</v>
      </c>
      <c r="L43" s="436">
        <f t="shared" si="5"/>
        <v>0</v>
      </c>
      <c r="M43" s="285">
        <f t="shared" si="6"/>
        <v>0</v>
      </c>
      <c r="N43" s="323">
        <f t="shared" si="7"/>
        <v>0</v>
      </c>
      <c r="P43" s="327">
        <v>18</v>
      </c>
      <c r="Q43" s="347">
        <f>TREND(Q24:Q25,P24:P25,P43)</f>
        <v>0</v>
      </c>
      <c r="R43" s="372">
        <f>TREND(R24:R25,P24:P25,P43)</f>
        <v>0</v>
      </c>
      <c r="S43" s="660">
        <f t="shared" si="8"/>
        <v>0</v>
      </c>
      <c r="T43" s="658">
        <f>TREND(T24:T25,P24:P25,P43)</f>
        <v>0</v>
      </c>
      <c r="U43" s="644">
        <f>TREND(U24:U25,P24:P25,P43)</f>
        <v>0</v>
      </c>
      <c r="V43" s="661">
        <f t="shared" si="9"/>
        <v>0</v>
      </c>
      <c r="W43" s="339">
        <f t="shared" si="10"/>
        <v>0</v>
      </c>
      <c r="X43" s="664">
        <f t="shared" si="11"/>
        <v>0</v>
      </c>
      <c r="Y43" s="436">
        <f t="shared" si="12"/>
        <v>0</v>
      </c>
      <c r="Z43" s="285">
        <f t="shared" si="13"/>
        <v>0</v>
      </c>
      <c r="AA43" s="323">
        <f t="shared" si="14"/>
        <v>0</v>
      </c>
      <c r="AC43" s="327">
        <v>18</v>
      </c>
      <c r="AD43" s="478">
        <f t="shared" si="15"/>
        <v>0</v>
      </c>
      <c r="AE43" s="478">
        <f t="shared" si="16"/>
        <v>0</v>
      </c>
      <c r="AF43" s="478">
        <f t="shared" si="17"/>
        <v>0</v>
      </c>
      <c r="AG43" s="478">
        <f t="shared" si="18"/>
        <v>0</v>
      </c>
      <c r="AH43" s="478">
        <f t="shared" si="19"/>
        <v>0</v>
      </c>
      <c r="AI43" s="478">
        <f t="shared" si="20"/>
        <v>0</v>
      </c>
      <c r="AJ43" s="478">
        <f t="shared" si="21"/>
        <v>0</v>
      </c>
      <c r="AK43" s="478">
        <f t="shared" si="22"/>
        <v>0</v>
      </c>
      <c r="AL43" s="478">
        <f t="shared" si="23"/>
        <v>0</v>
      </c>
      <c r="AM43" s="478">
        <f t="shared" si="24"/>
        <v>0</v>
      </c>
      <c r="AN43" s="478">
        <f t="shared" si="25"/>
        <v>0</v>
      </c>
      <c r="AO43" s="478">
        <f t="shared" si="26"/>
        <v>0</v>
      </c>
      <c r="AP43" s="478">
        <f t="shared" si="27"/>
        <v>0</v>
      </c>
      <c r="AQ43" s="323">
        <f t="shared" si="28"/>
        <v>0</v>
      </c>
      <c r="AR43" s="588"/>
      <c r="AS43" s="323">
        <f t="shared" si="29"/>
        <v>0</v>
      </c>
      <c r="AU43" s="880">
        <f t="shared" si="30"/>
        <v>0</v>
      </c>
    </row>
    <row r="44" spans="2:47" x14ac:dyDescent="0.25">
      <c r="B44" s="359">
        <v>19</v>
      </c>
      <c r="C44" s="360">
        <f>TREND(C24:C25,B24:B25,B44)</f>
        <v>0</v>
      </c>
      <c r="D44" s="631">
        <f>TREND(D24:D25,B24:B25,B44)</f>
        <v>0</v>
      </c>
      <c r="E44" s="634">
        <f>TREND(E24:E25,B24:B25,B44)</f>
        <v>55</v>
      </c>
      <c r="F44" s="377">
        <f>TREND(F24:F25,B24:B25,B44)</f>
        <v>55</v>
      </c>
      <c r="G44" s="966">
        <f t="shared" si="0"/>
        <v>0</v>
      </c>
      <c r="H44" s="967">
        <f t="shared" si="1"/>
        <v>0</v>
      </c>
      <c r="I44" s="428">
        <f t="shared" si="2"/>
        <v>0</v>
      </c>
      <c r="J44" s="430">
        <f t="shared" si="3"/>
        <v>0</v>
      </c>
      <c r="K44" s="340">
        <f t="shared" si="4"/>
        <v>0</v>
      </c>
      <c r="L44" s="435">
        <f t="shared" si="5"/>
        <v>0</v>
      </c>
      <c r="M44" s="285">
        <f t="shared" si="6"/>
        <v>0</v>
      </c>
      <c r="N44" s="323">
        <f t="shared" si="7"/>
        <v>0</v>
      </c>
      <c r="P44" s="359">
        <v>19</v>
      </c>
      <c r="Q44" s="360">
        <f>TREND(Q24:Q25,P24:P25,P44)</f>
        <v>0</v>
      </c>
      <c r="R44" s="375">
        <f>TREND(R24:R25,P24:P25,P44)</f>
        <v>0</v>
      </c>
      <c r="S44" s="660">
        <f t="shared" si="8"/>
        <v>0</v>
      </c>
      <c r="T44" s="659">
        <f>TREND(T24:T25,P24:P25,P44)</f>
        <v>0</v>
      </c>
      <c r="U44" s="645">
        <f>TREND(U24:U25,P24:P25,P44)</f>
        <v>0</v>
      </c>
      <c r="V44" s="661">
        <f t="shared" si="9"/>
        <v>0</v>
      </c>
      <c r="W44" s="340">
        <f t="shared" si="10"/>
        <v>0</v>
      </c>
      <c r="X44" s="663">
        <f t="shared" si="11"/>
        <v>0</v>
      </c>
      <c r="Y44" s="435">
        <f t="shared" si="12"/>
        <v>0</v>
      </c>
      <c r="Z44" s="285">
        <f t="shared" si="13"/>
        <v>0</v>
      </c>
      <c r="AA44" s="323">
        <f t="shared" si="14"/>
        <v>0</v>
      </c>
      <c r="AC44" s="359">
        <v>19</v>
      </c>
      <c r="AD44" s="478">
        <f t="shared" si="15"/>
        <v>0</v>
      </c>
      <c r="AE44" s="478">
        <f t="shared" si="16"/>
        <v>0</v>
      </c>
      <c r="AF44" s="478">
        <f t="shared" si="17"/>
        <v>0</v>
      </c>
      <c r="AG44" s="478">
        <f t="shared" si="18"/>
        <v>0</v>
      </c>
      <c r="AH44" s="478">
        <f t="shared" si="19"/>
        <v>0</v>
      </c>
      <c r="AI44" s="478">
        <f t="shared" si="20"/>
        <v>0</v>
      </c>
      <c r="AJ44" s="478">
        <f t="shared" si="21"/>
        <v>0</v>
      </c>
      <c r="AK44" s="478">
        <f t="shared" si="22"/>
        <v>0</v>
      </c>
      <c r="AL44" s="478">
        <f t="shared" si="23"/>
        <v>0</v>
      </c>
      <c r="AM44" s="478">
        <f t="shared" si="24"/>
        <v>0</v>
      </c>
      <c r="AN44" s="478">
        <f t="shared" si="25"/>
        <v>0</v>
      </c>
      <c r="AO44" s="478">
        <f t="shared" si="26"/>
        <v>0</v>
      </c>
      <c r="AP44" s="478">
        <f t="shared" si="27"/>
        <v>0</v>
      </c>
      <c r="AQ44" s="323">
        <f t="shared" si="28"/>
        <v>0</v>
      </c>
      <c r="AR44" s="588"/>
      <c r="AS44" s="323">
        <f t="shared" si="29"/>
        <v>0</v>
      </c>
      <c r="AU44" s="880">
        <f t="shared" si="30"/>
        <v>0</v>
      </c>
    </row>
    <row r="45" spans="2:47" x14ac:dyDescent="0.25">
      <c r="B45" s="357"/>
      <c r="C45" s="355"/>
      <c r="D45" s="355"/>
      <c r="E45" s="355"/>
      <c r="F45" s="355"/>
      <c r="G45" s="356"/>
      <c r="H45" s="356"/>
      <c r="I45" s="356"/>
      <c r="J45" s="356"/>
      <c r="K45" s="356"/>
      <c r="L45" s="356"/>
      <c r="M45" s="356"/>
      <c r="N45" s="358"/>
      <c r="P45" s="357"/>
      <c r="Q45" s="355"/>
      <c r="R45" s="355"/>
      <c r="S45" s="355"/>
      <c r="T45" s="355"/>
      <c r="U45" s="355"/>
      <c r="V45" s="355"/>
      <c r="W45" s="356"/>
      <c r="X45" s="356"/>
      <c r="Y45" s="356"/>
      <c r="Z45" s="356"/>
      <c r="AA45" s="358"/>
      <c r="AC45" s="357"/>
      <c r="AD45" s="358"/>
      <c r="AE45" s="358"/>
      <c r="AF45" s="358"/>
      <c r="AG45" s="358"/>
      <c r="AH45" s="358"/>
      <c r="AI45" s="358"/>
      <c r="AJ45" s="358"/>
      <c r="AK45" s="358"/>
      <c r="AL45" s="358"/>
      <c r="AM45" s="358"/>
      <c r="AN45" s="358"/>
      <c r="AO45" s="358"/>
      <c r="AP45" s="358"/>
      <c r="AQ45" s="358"/>
      <c r="AR45" s="475"/>
      <c r="AS45" s="358"/>
      <c r="AU45" s="358"/>
    </row>
    <row r="46" spans="2:47" ht="13" x14ac:dyDescent="0.25">
      <c r="B46" s="329" t="s">
        <v>172</v>
      </c>
      <c r="C46" s="330"/>
      <c r="D46" s="331"/>
      <c r="E46" s="331"/>
      <c r="F46" s="331"/>
      <c r="G46" s="331"/>
      <c r="H46" s="331"/>
      <c r="I46" s="331"/>
      <c r="J46" s="331"/>
      <c r="K46" s="331"/>
      <c r="L46" s="332"/>
      <c r="M46" s="341"/>
      <c r="N46" s="342">
        <f>SUM(N24:N44)</f>
        <v>0</v>
      </c>
      <c r="P46" s="329" t="s">
        <v>172</v>
      </c>
      <c r="Q46" s="330"/>
      <c r="R46" s="331"/>
      <c r="S46" s="331"/>
      <c r="T46" s="331"/>
      <c r="U46" s="331"/>
      <c r="V46" s="331"/>
      <c r="W46" s="331"/>
      <c r="X46" s="331"/>
      <c r="Y46" s="332"/>
      <c r="Z46" s="341"/>
      <c r="AA46" s="342">
        <f>SUM(AA24:AA44)</f>
        <v>0</v>
      </c>
      <c r="AC46" s="329" t="s">
        <v>172</v>
      </c>
      <c r="AD46" s="479">
        <f>SUM(AD24:AD44)</f>
        <v>0</v>
      </c>
      <c r="AE46" s="479">
        <f t="shared" ref="AE46:AQ46" si="31">SUM(AE24:AE44)</f>
        <v>0</v>
      </c>
      <c r="AF46" s="479">
        <f t="shared" si="31"/>
        <v>0</v>
      </c>
      <c r="AG46" s="479">
        <f t="shared" si="31"/>
        <v>0</v>
      </c>
      <c r="AH46" s="479">
        <f t="shared" si="31"/>
        <v>0</v>
      </c>
      <c r="AI46" s="479">
        <f t="shared" si="31"/>
        <v>0</v>
      </c>
      <c r="AJ46" s="479">
        <f t="shared" si="31"/>
        <v>0</v>
      </c>
      <c r="AK46" s="479">
        <f t="shared" si="31"/>
        <v>0</v>
      </c>
      <c r="AL46" s="479">
        <f t="shared" si="31"/>
        <v>0</v>
      </c>
      <c r="AM46" s="479">
        <f t="shared" si="31"/>
        <v>0</v>
      </c>
      <c r="AN46" s="479">
        <f t="shared" si="31"/>
        <v>0</v>
      </c>
      <c r="AO46" s="479">
        <f t="shared" si="31"/>
        <v>0</v>
      </c>
      <c r="AP46" s="479">
        <f t="shared" si="31"/>
        <v>0</v>
      </c>
      <c r="AQ46" s="342">
        <f t="shared" si="31"/>
        <v>0</v>
      </c>
      <c r="AR46" s="589"/>
      <c r="AS46" s="342">
        <f>SUM(AS24:AS44)</f>
        <v>0</v>
      </c>
      <c r="AU46" s="881">
        <f>SUM(AU24:AU44)</f>
        <v>0</v>
      </c>
    </row>
    <row r="47" spans="2:47" x14ac:dyDescent="0.25">
      <c r="B47" s="275"/>
      <c r="C47" s="276"/>
      <c r="D47" s="275"/>
      <c r="E47" s="275"/>
      <c r="F47" s="275"/>
      <c r="G47" s="275"/>
      <c r="H47" s="275"/>
      <c r="I47" s="275"/>
      <c r="J47" s="275"/>
      <c r="K47" s="275"/>
      <c r="L47" s="275"/>
      <c r="M47" s="275"/>
      <c r="N47" s="275"/>
      <c r="P47" s="275"/>
      <c r="Q47" s="276"/>
      <c r="R47" s="275"/>
      <c r="S47" s="275"/>
      <c r="T47" s="275"/>
      <c r="U47" s="275"/>
      <c r="V47" s="275"/>
      <c r="W47" s="275"/>
      <c r="X47" s="275"/>
      <c r="Y47" s="275"/>
      <c r="Z47" s="275"/>
      <c r="AA47" s="275"/>
    </row>
    <row r="48" spans="2:47" ht="15.5" x14ac:dyDescent="0.35">
      <c r="B48" s="1"/>
      <c r="C48" s="1"/>
      <c r="D48" s="1"/>
      <c r="E48" s="1"/>
      <c r="F48" s="1"/>
      <c r="G48" s="1"/>
      <c r="H48" s="1"/>
      <c r="J48" s="1"/>
      <c r="K48" s="1"/>
      <c r="L48" s="1"/>
      <c r="M48" s="1"/>
      <c r="N48" s="1"/>
      <c r="P48" s="36"/>
      <c r="Q48" s="36"/>
      <c r="R48" s="36"/>
      <c r="S48" s="36"/>
      <c r="T48" s="36"/>
      <c r="U48" s="36"/>
      <c r="V48" s="36"/>
      <c r="W48" s="36"/>
      <c r="X48" s="36"/>
      <c r="Y48" s="36"/>
      <c r="Z48" s="36"/>
      <c r="AA48" s="36"/>
      <c r="AC48" s="1044" t="str">
        <f>IF(Induced="Y","","* Induced Travel Not Counted")</f>
        <v/>
      </c>
      <c r="AM48" s="36"/>
      <c r="AN48" s="36"/>
      <c r="AO48" s="36"/>
      <c r="AP48" s="36"/>
      <c r="AQ48" s="36"/>
      <c r="AS48" s="697"/>
      <c r="AU48" s="36"/>
    </row>
    <row r="49" spans="2:47" ht="13" x14ac:dyDescent="0.25">
      <c r="B49" s="350" t="s">
        <v>252</v>
      </c>
      <c r="C49" s="88"/>
      <c r="D49" s="88"/>
      <c r="E49" s="88"/>
      <c r="F49" s="88"/>
      <c r="G49" s="309"/>
      <c r="H49" s="309"/>
      <c r="I49" s="88"/>
      <c r="J49" s="309"/>
      <c r="K49" s="309"/>
      <c r="L49" s="88"/>
      <c r="M49" s="88"/>
      <c r="N49" s="88"/>
      <c r="P49" s="350" t="s">
        <v>518</v>
      </c>
      <c r="Q49" s="88"/>
      <c r="R49" s="88"/>
      <c r="S49" s="88"/>
      <c r="T49" s="88"/>
      <c r="U49" s="88"/>
      <c r="V49" s="88"/>
      <c r="W49" s="309"/>
      <c r="X49" s="309"/>
      <c r="Y49" s="88"/>
      <c r="Z49" s="88"/>
      <c r="AA49" s="88"/>
      <c r="AM49" s="36"/>
      <c r="AN49" s="36"/>
      <c r="AO49" s="36"/>
      <c r="AP49" s="36"/>
      <c r="AQ49" s="36"/>
      <c r="AS49" s="697"/>
      <c r="AU49" s="36"/>
    </row>
    <row r="50" spans="2:47" x14ac:dyDescent="0.25">
      <c r="B50" s="88"/>
      <c r="C50" s="88"/>
      <c r="D50" s="274"/>
      <c r="E50" s="274"/>
      <c r="F50" s="274"/>
      <c r="G50" s="88"/>
      <c r="H50" s="88"/>
      <c r="I50" s="88"/>
      <c r="J50" s="88"/>
      <c r="K50" s="88"/>
      <c r="L50" s="88"/>
      <c r="M50" s="88"/>
      <c r="N50" s="351"/>
      <c r="P50" s="88"/>
      <c r="Q50" s="88"/>
      <c r="R50" s="274"/>
      <c r="S50" s="274"/>
      <c r="T50" s="274"/>
      <c r="U50" s="274"/>
      <c r="V50" s="274"/>
      <c r="W50" s="88"/>
      <c r="X50" s="88"/>
      <c r="Y50" s="88"/>
      <c r="Z50" s="88"/>
      <c r="AA50" s="351"/>
      <c r="AM50" s="698"/>
      <c r="AN50" s="698"/>
      <c r="AO50" s="3"/>
      <c r="AP50" s="3"/>
      <c r="AQ50" s="3"/>
      <c r="AR50" s="699"/>
      <c r="AS50" s="698"/>
      <c r="AU50" s="3"/>
    </row>
    <row r="51" spans="2:47" ht="15.5" x14ac:dyDescent="0.25">
      <c r="B51" s="317"/>
      <c r="C51" s="320" t="s">
        <v>230</v>
      </c>
      <c r="D51" s="361"/>
      <c r="E51" s="320" t="s">
        <v>231</v>
      </c>
      <c r="F51" s="333"/>
      <c r="G51" s="335" t="s">
        <v>234</v>
      </c>
      <c r="H51" s="361"/>
      <c r="I51" s="335" t="s">
        <v>232</v>
      </c>
      <c r="J51" s="321"/>
      <c r="K51" s="437" t="s">
        <v>233</v>
      </c>
      <c r="L51" s="438"/>
      <c r="M51" s="322"/>
      <c r="N51" s="343"/>
      <c r="P51" s="317"/>
      <c r="Q51" s="320" t="s">
        <v>234</v>
      </c>
      <c r="R51" s="361"/>
      <c r="S51" s="333"/>
      <c r="T51" s="335" t="s">
        <v>519</v>
      </c>
      <c r="U51" s="321"/>
      <c r="V51" s="646"/>
      <c r="W51" s="437" t="s">
        <v>233</v>
      </c>
      <c r="X51" s="320"/>
      <c r="Y51" s="438"/>
      <c r="Z51" s="322"/>
      <c r="AA51" s="343"/>
      <c r="AM51" s="271"/>
      <c r="AN51" s="271"/>
      <c r="AO51" s="698"/>
      <c r="AP51" s="698"/>
      <c r="AQ51" s="698"/>
      <c r="AR51" s="698"/>
      <c r="AS51" s="698"/>
      <c r="AU51" s="698"/>
    </row>
    <row r="52" spans="2:47" ht="14" x14ac:dyDescent="0.25">
      <c r="B52" s="318"/>
      <c r="C52" s="287" t="s">
        <v>237</v>
      </c>
      <c r="D52" s="362"/>
      <c r="E52" s="287" t="s">
        <v>238</v>
      </c>
      <c r="F52" s="334"/>
      <c r="G52" s="336" t="s">
        <v>240</v>
      </c>
      <c r="H52" s="362"/>
      <c r="I52" s="336" t="s">
        <v>239</v>
      </c>
      <c r="J52" s="288"/>
      <c r="K52" s="439" t="s">
        <v>552</v>
      </c>
      <c r="L52" s="440"/>
      <c r="M52" s="284"/>
      <c r="N52" s="344"/>
      <c r="P52" s="318"/>
      <c r="Q52" s="287" t="s">
        <v>240</v>
      </c>
      <c r="R52" s="362"/>
      <c r="S52" s="334"/>
      <c r="T52" s="336" t="s">
        <v>239</v>
      </c>
      <c r="U52" s="288"/>
      <c r="V52" s="287"/>
      <c r="W52" s="439" t="s">
        <v>552</v>
      </c>
      <c r="X52" s="287"/>
      <c r="Y52" s="440"/>
      <c r="Z52" s="284"/>
      <c r="AA52" s="344"/>
    </row>
    <row r="53" spans="2:47" ht="14" x14ac:dyDescent="0.25">
      <c r="B53" s="169" t="s">
        <v>135</v>
      </c>
      <c r="C53" s="316"/>
      <c r="D53" s="283"/>
      <c r="E53" s="316"/>
      <c r="F53" s="283"/>
      <c r="G53" s="316"/>
      <c r="H53" s="283"/>
      <c r="I53" s="316"/>
      <c r="J53" s="283"/>
      <c r="K53" s="432" t="s">
        <v>151</v>
      </c>
      <c r="L53" s="283" t="s">
        <v>152</v>
      </c>
      <c r="M53" s="286" t="s">
        <v>242</v>
      </c>
      <c r="N53" s="345" t="s">
        <v>139</v>
      </c>
      <c r="P53" s="169" t="s">
        <v>135</v>
      </c>
      <c r="Q53" s="432"/>
      <c r="R53" s="647"/>
      <c r="S53" s="283" t="s">
        <v>243</v>
      </c>
      <c r="T53" s="432"/>
      <c r="U53" s="647"/>
      <c r="V53" s="283" t="s">
        <v>151</v>
      </c>
      <c r="W53" s="432" t="s">
        <v>151</v>
      </c>
      <c r="X53" s="316" t="s">
        <v>243</v>
      </c>
      <c r="Y53" s="283" t="s">
        <v>152</v>
      </c>
      <c r="Z53" s="286" t="s">
        <v>242</v>
      </c>
      <c r="AA53" s="345" t="s">
        <v>139</v>
      </c>
    </row>
    <row r="54" spans="2:47" ht="14" x14ac:dyDescent="0.25">
      <c r="B54" s="319"/>
      <c r="C54" s="324" t="s">
        <v>0</v>
      </c>
      <c r="D54" s="325" t="s">
        <v>1</v>
      </c>
      <c r="E54" s="324" t="s">
        <v>0</v>
      </c>
      <c r="F54" s="325" t="s">
        <v>1</v>
      </c>
      <c r="G54" s="324" t="s">
        <v>0</v>
      </c>
      <c r="H54" s="325" t="s">
        <v>1</v>
      </c>
      <c r="I54" s="324" t="s">
        <v>0</v>
      </c>
      <c r="J54" s="325" t="s">
        <v>1</v>
      </c>
      <c r="K54" s="441" t="s">
        <v>244</v>
      </c>
      <c r="L54" s="325" t="s">
        <v>245</v>
      </c>
      <c r="M54" s="326" t="s">
        <v>148</v>
      </c>
      <c r="N54" s="346" t="s">
        <v>149</v>
      </c>
      <c r="P54" s="319"/>
      <c r="Q54" s="441" t="s">
        <v>0</v>
      </c>
      <c r="R54" s="648" t="s">
        <v>1</v>
      </c>
      <c r="S54" s="325" t="s">
        <v>246</v>
      </c>
      <c r="T54" s="441" t="s">
        <v>0</v>
      </c>
      <c r="U54" s="648" t="s">
        <v>1</v>
      </c>
      <c r="V54" s="325" t="s">
        <v>129</v>
      </c>
      <c r="W54" s="441" t="s">
        <v>244</v>
      </c>
      <c r="X54" s="324" t="s">
        <v>246</v>
      </c>
      <c r="Y54" s="325" t="s">
        <v>245</v>
      </c>
      <c r="Z54" s="326" t="s">
        <v>148</v>
      </c>
      <c r="AA54" s="346" t="s">
        <v>149</v>
      </c>
    </row>
    <row r="55" spans="2:47" x14ac:dyDescent="0.25">
      <c r="B55" s="327">
        <v>1</v>
      </c>
      <c r="C55" s="348">
        <f>PNV1NB*AnnualFactor</f>
        <v>0</v>
      </c>
      <c r="D55" s="349">
        <f>PNV1B*AnnualFactor</f>
        <v>0</v>
      </c>
      <c r="E55" s="363">
        <f>ROUND(PNS1NB,1)</f>
        <v>55</v>
      </c>
      <c r="F55" s="364">
        <f>ROUND(PNS1B,1)</f>
        <v>55</v>
      </c>
      <c r="G55" s="966">
        <f>C55*AVOPeakNB</f>
        <v>0</v>
      </c>
      <c r="H55" s="967">
        <f>D55*AVOPeakB</f>
        <v>0</v>
      </c>
      <c r="I55" s="428">
        <f>ImpactedNB/E55</f>
        <v>0</v>
      </c>
      <c r="J55" s="429">
        <f>ImpactedB/F55</f>
        <v>0</v>
      </c>
      <c r="K55" s="433">
        <f>IF(OR(TruckLane,Bypass,HOV2to3,HOTConv,OnRamp,RM,AM,IM,TI),I55*G55-J55*H55,(I55-J55)*MIN(G55,H55))*IF(UserAdjInputs,1,VLOOKUP(TMSLookup,TMSAdj,9))</f>
        <v>0</v>
      </c>
      <c r="L55" s="434">
        <f>IF(AND(H55&gt;G55,NOT(OR(TruckLane,Bypass,HOV2to3,HOTConv,OnRamp,RM,AM,IM,TI)),Induced="Y"),(I55-J55)*(H55-G55)*0.5,IF(OR(HOV2to3,HOTConv),(I55-((1-PerIndHOV)*J55+PerIndHOV*J24))*PNT1Ind*IF(Induced="Y",-0.5,-1),0))*IF(UserAdjInputs,1,VLOOKUP(TMSLookup,TMSAdj,9))</f>
        <v>0</v>
      </c>
      <c r="M55" s="285">
        <f>SUM($K55:$L55)*ValTimeAuto*IF(IM,ValTimeIMFactor,1)*(1+TTUprater)^($B55+Construct-1)</f>
        <v>0</v>
      </c>
      <c r="N55" s="323">
        <f>$M55/(1+DiscRate)^($B55+Construct-1)</f>
        <v>0</v>
      </c>
      <c r="P55" s="327">
        <v>1</v>
      </c>
      <c r="Q55" s="348">
        <f>TAPT1NB*TPerPeak</f>
        <v>0</v>
      </c>
      <c r="R55" s="649">
        <f>TAPT1B*TPerPeak</f>
        <v>0</v>
      </c>
      <c r="S55" s="650">
        <f>TPerHwy*(R55-Q55)</f>
        <v>0</v>
      </c>
      <c r="T55" s="642">
        <f>TOutTimeNBP/60</f>
        <v>0</v>
      </c>
      <c r="U55" s="653">
        <f>TOutTimeBP/60</f>
        <v>0</v>
      </c>
      <c r="V55" s="825">
        <v>0</v>
      </c>
      <c r="W55" s="433">
        <f>MIN(Q55:R55)*(T55-U55)</f>
        <v>0</v>
      </c>
      <c r="X55" s="662">
        <f>S55*(IF(V24+V55*ValTimeOVFactor-U24-U55*ValTimeOVFactor&gt;0,V55-U55,0))</f>
        <v>0</v>
      </c>
      <c r="Y55" s="434">
        <f>IF(AND(R55&gt;Q55,Induced="Y"),(T55-U55)*(R55-Q55-S55)*0.5,0)</f>
        <v>0</v>
      </c>
      <c r="Z55" s="285">
        <f>SUM(W55:Y55)*ValTimeTransit*ValTimeOVFactor*(1+TTUprater)^($P55+Construct-1)</f>
        <v>0</v>
      </c>
      <c r="AA55" s="323">
        <f>$Z55/(1+DiscRate)^($P55+Construct-1)</f>
        <v>0</v>
      </c>
    </row>
    <row r="56" spans="2:47" x14ac:dyDescent="0.25">
      <c r="B56" s="328">
        <v>20</v>
      </c>
      <c r="C56" s="353">
        <f>PNV20NB*AnnualFactor</f>
        <v>0</v>
      </c>
      <c r="D56" s="354">
        <f>PNV20B*AnnualFactor</f>
        <v>0</v>
      </c>
      <c r="E56" s="365">
        <f>ROUND(PNS20NB,1)</f>
        <v>55</v>
      </c>
      <c r="F56" s="366">
        <f>ROUND(PNS20B,1)</f>
        <v>55</v>
      </c>
      <c r="G56" s="966">
        <f>C56*AVOPeakNB</f>
        <v>0</v>
      </c>
      <c r="H56" s="967">
        <f>D56*AVOPeakB</f>
        <v>0</v>
      </c>
      <c r="I56" s="428">
        <f>ImpactedNB/E56</f>
        <v>0</v>
      </c>
      <c r="J56" s="430">
        <f>ImpactedB/F56</f>
        <v>0</v>
      </c>
      <c r="K56" s="340">
        <f>IF(OR(TruckLane,Bypass,HOV2to3,HOTConv,OnRamp,RM,AM,IM,TI),I56*G56-J56*H56,(I56-J56)*MIN(G56,H56))*IF(UserAdjInputs,1,VLOOKUP(TMSLookup,TMSAdj,9))</f>
        <v>0</v>
      </c>
      <c r="L56" s="435">
        <f>IF(AND(H56&gt;G56,NOT(OR(TruckLane,Bypass,HOV2to3,HOTConv,OnRamp,RM,AM,IM,TI)),Induced="Y"),(I56-J56)*(H56-G56)*0.5,IF(OR(HOV2to3,HOTConv),(I56-((1-PerIndHOV)*J56+PerIndHOV*J25))*PNT20Ind*IF(Induced="Y",-0.5,-1),0))*IF(UserAdjInputs,1,VLOOKUP(TMSLookup,TMSAdj,9))</f>
        <v>0</v>
      </c>
      <c r="M56" s="285">
        <f>SUM($K56:$L56)*ValTimeAuto*IF(IM,ValTimeIMFactor,1)*(1+TTUprater)^($B56+Construct-1)</f>
        <v>0</v>
      </c>
      <c r="N56" s="323">
        <f>$M56/(1+DiscRate)^($B56+Construct-1)</f>
        <v>0</v>
      </c>
      <c r="P56" s="328">
        <v>20</v>
      </c>
      <c r="Q56" s="651">
        <f>TAPT20NB*TPerPeak</f>
        <v>0</v>
      </c>
      <c r="R56" s="652">
        <f>TAPT20B*TPerPeak</f>
        <v>0</v>
      </c>
      <c r="S56" s="650">
        <f>TPerHwy*(R56-Q56)</f>
        <v>0</v>
      </c>
      <c r="T56" s="655">
        <f>TOutTimeNBP/60</f>
        <v>0</v>
      </c>
      <c r="U56" s="656">
        <f>TOutTimeBP/60</f>
        <v>0</v>
      </c>
      <c r="V56" s="825">
        <v>0</v>
      </c>
      <c r="W56" s="340">
        <f>MIN(Q56:R56)*(T56-U56)</f>
        <v>0</v>
      </c>
      <c r="X56" s="663">
        <f>S56*(IF(V25+V56*ValTimeOVFactor-U25-U56*ValTimeOVFactor&gt;0,V56-U56,0))</f>
        <v>0</v>
      </c>
      <c r="Y56" s="435">
        <f>IF(AND(R56&gt;Q56,Induced="Y"),(T56-U56)*(R56-Q56-S56)*0.5,0)</f>
        <v>0</v>
      </c>
      <c r="Z56" s="285">
        <f>SUM(W56:Y56)*ValTimeTransit*ValTimeOVFactor*(1+TTUprater)^($P56+Construct-1)</f>
        <v>0</v>
      </c>
      <c r="AA56" s="323">
        <f>$Z56/(1+DiscRate)^($P56+Construct-1)</f>
        <v>0</v>
      </c>
    </row>
    <row r="57" spans="2:47" x14ac:dyDescent="0.25">
      <c r="B57" s="357"/>
      <c r="C57" s="355"/>
      <c r="D57" s="355"/>
      <c r="E57" s="367"/>
      <c r="F57" s="367"/>
      <c r="G57" s="356"/>
      <c r="H57" s="356"/>
      <c r="I57" s="356"/>
      <c r="J57" s="356"/>
      <c r="K57" s="356"/>
      <c r="L57" s="356"/>
      <c r="M57" s="356"/>
      <c r="N57" s="358"/>
      <c r="P57" s="357"/>
      <c r="Q57" s="355"/>
      <c r="R57" s="355"/>
      <c r="S57" s="355"/>
      <c r="T57" s="367"/>
      <c r="U57" s="367"/>
      <c r="V57" s="367"/>
      <c r="W57" s="356"/>
      <c r="X57" s="356"/>
      <c r="Y57" s="356"/>
      <c r="Z57" s="356"/>
      <c r="AA57" s="358"/>
    </row>
    <row r="58" spans="2:47" x14ac:dyDescent="0.25">
      <c r="B58" s="352">
        <v>2</v>
      </c>
      <c r="C58" s="368">
        <f>TREND(C55:C56,B55:B56,B58)</f>
        <v>0</v>
      </c>
      <c r="D58" s="629">
        <f>TREND(D55:D56,B55:B56,B58)</f>
        <v>0</v>
      </c>
      <c r="E58" s="632">
        <f>TREND(E55:E56,B55:B56,B58)</f>
        <v>55</v>
      </c>
      <c r="F58" s="371">
        <f>TREND(F55:F56,B55:B56,B58)</f>
        <v>55</v>
      </c>
      <c r="G58" s="966">
        <f t="shared" ref="G58:G75" si="32">C58*AVOPeakNB</f>
        <v>0</v>
      </c>
      <c r="H58" s="967">
        <f t="shared" ref="H58:H75" si="33">D58*AVOPeakB</f>
        <v>0</v>
      </c>
      <c r="I58" s="428">
        <f t="shared" ref="I58:I75" si="34">ImpactedNB/E58</f>
        <v>0</v>
      </c>
      <c r="J58" s="429">
        <f t="shared" ref="J58:J75" si="35">ImpactedB/F58</f>
        <v>0</v>
      </c>
      <c r="K58" s="433">
        <f t="shared" ref="K58:K75" si="36">IF(OR(TruckLane,Bypass,HOV2to3,HOTConv,OnRamp,RM,AM,IM,TI),I58*G58-J58*H58,(I58-J58)*MIN(G58,H58))*IF(UserAdjInputs,1,VLOOKUP(TMSLookup,TMSAdj,9))</f>
        <v>0</v>
      </c>
      <c r="L58" s="434">
        <f>IF(AND(H58&gt;G58,NOT(OR(TruckLane,Bypass,HOV2to3,HOTConv,OnRamp,RM,AM,IM,TI)),Induced="Y"),(I58-J58)*(H58-G58)*0.5,IF(OR(HOV2to3,HOTConv),TREND(L55:L56,B55:B56,B58),0))*IF(UserAdjInputs,1,VLOOKUP(TMSLookup,TMSAdj,9))</f>
        <v>0</v>
      </c>
      <c r="M58" s="285">
        <f t="shared" ref="M58:M75" si="37">SUM($K58:$L58)*ValTimeAuto*IF(IM,ValTimeIMFactor,1)*(1+TTUprater)^($B58+Construct-1)</f>
        <v>0</v>
      </c>
      <c r="N58" s="323">
        <f t="shared" ref="N58:N75" si="38">$M58/(1+DiscRate)^($B58+Construct-1)</f>
        <v>0</v>
      </c>
      <c r="P58" s="352">
        <v>2</v>
      </c>
      <c r="Q58" s="368">
        <f>TREND(Q55:Q56,P55:P56,P58)</f>
        <v>0</v>
      </c>
      <c r="R58" s="369">
        <f>TREND(R55:R56,P55:P56,P58)</f>
        <v>0</v>
      </c>
      <c r="S58" s="660">
        <f t="shared" ref="S58:S75" si="39">TPerHwy*(R58-Q58)</f>
        <v>0</v>
      </c>
      <c r="T58" s="657">
        <f>TREND(T55:T56,P55:P56,P58)</f>
        <v>0</v>
      </c>
      <c r="U58" s="643">
        <f>TREND(U55:U56,P55:P56,P58)</f>
        <v>0</v>
      </c>
      <c r="V58" s="825">
        <v>0</v>
      </c>
      <c r="W58" s="433">
        <f t="shared" ref="W58:W75" si="40">MIN(Q58:R58)*(T58-U58)</f>
        <v>0</v>
      </c>
      <c r="X58" s="662">
        <f t="shared" ref="X58:X75" si="41">S58*(IF(V27+V58*ValTimeOVFactor-U27-U58*ValTimeOVFactor&gt;0,V58-U58,0))</f>
        <v>0</v>
      </c>
      <c r="Y58" s="434">
        <f t="shared" ref="Y58:Y75" si="42">IF(AND(R58&gt;Q58,Induced="Y"),(T58-U58)*(R58-Q58-S58)*0.5,0)</f>
        <v>0</v>
      </c>
      <c r="Z58" s="285">
        <f t="shared" ref="Z58:Z75" si="43">SUM(W58:Y58)*ValTimeTransit*ValTimeOVFactor*(1+TTUprater)^($P58+Construct-1)</f>
        <v>0</v>
      </c>
      <c r="AA58" s="323">
        <f t="shared" ref="AA58:AA75" si="44">$Z58/(1+DiscRate)^($P58+Construct-1)</f>
        <v>0</v>
      </c>
    </row>
    <row r="59" spans="2:47" x14ac:dyDescent="0.25">
      <c r="B59" s="327">
        <v>3</v>
      </c>
      <c r="C59" s="347">
        <f>TREND(C55:C56,B55:B56,B59)</f>
        <v>0</v>
      </c>
      <c r="D59" s="630">
        <f>TREND(D55:D56,B55:B56,B59)</f>
        <v>0</v>
      </c>
      <c r="E59" s="633">
        <f>TREND(E55:E56,B55:B56,B59)</f>
        <v>55</v>
      </c>
      <c r="F59" s="374">
        <f>TREND(F55:F56,B55:B56,B59)</f>
        <v>55</v>
      </c>
      <c r="G59" s="966">
        <f t="shared" si="32"/>
        <v>0</v>
      </c>
      <c r="H59" s="967">
        <f t="shared" si="33"/>
        <v>0</v>
      </c>
      <c r="I59" s="428">
        <f t="shared" si="34"/>
        <v>0</v>
      </c>
      <c r="J59" s="431">
        <f t="shared" si="35"/>
        <v>0</v>
      </c>
      <c r="K59" s="339">
        <f t="shared" si="36"/>
        <v>0</v>
      </c>
      <c r="L59" s="436">
        <f>IF(AND(H59&gt;G59,NOT(OR(TruckLane,Bypass,HOV2to3,HOTConv,OnRamp,RM,AM,IM,TI)),Induced="Y"),(I59-J59)*(H59-G59)*0.5,IF(OR(HOV2to3,HOTConv),TREND(L55:L56,B55:B56,B59),0))*IF(UserAdjInputs,1,VLOOKUP(TMSLookup,TMSAdj,9))</f>
        <v>0</v>
      </c>
      <c r="M59" s="285">
        <f t="shared" si="37"/>
        <v>0</v>
      </c>
      <c r="N59" s="323">
        <f t="shared" si="38"/>
        <v>0</v>
      </c>
      <c r="P59" s="327">
        <v>3</v>
      </c>
      <c r="Q59" s="347">
        <f>TREND(Q55:Q56,P55:P56,P59)</f>
        <v>0</v>
      </c>
      <c r="R59" s="372">
        <f>TREND(R55:R56,P55:P56,P59)</f>
        <v>0</v>
      </c>
      <c r="S59" s="660">
        <f t="shared" si="39"/>
        <v>0</v>
      </c>
      <c r="T59" s="658">
        <f>TREND(T55:T56,P55:P56,P59)</f>
        <v>0</v>
      </c>
      <c r="U59" s="644">
        <f>TREND(U55:U56,P55:P56,P59)</f>
        <v>0</v>
      </c>
      <c r="V59" s="825">
        <v>0</v>
      </c>
      <c r="W59" s="339">
        <f t="shared" si="40"/>
        <v>0</v>
      </c>
      <c r="X59" s="664">
        <f t="shared" si="41"/>
        <v>0</v>
      </c>
      <c r="Y59" s="436">
        <f t="shared" si="42"/>
        <v>0</v>
      </c>
      <c r="Z59" s="285">
        <f t="shared" si="43"/>
        <v>0</v>
      </c>
      <c r="AA59" s="323">
        <f t="shared" si="44"/>
        <v>0</v>
      </c>
    </row>
    <row r="60" spans="2:47" x14ac:dyDescent="0.25">
      <c r="B60" s="327">
        <v>4</v>
      </c>
      <c r="C60" s="347">
        <f>TREND(C55:C56,B55:B56,B60)</f>
        <v>0</v>
      </c>
      <c r="D60" s="630">
        <f>TREND(D55:D56,B55:B56,B60)</f>
        <v>0</v>
      </c>
      <c r="E60" s="633">
        <f>TREND(E55:E56,B55:B56,B60)</f>
        <v>55</v>
      </c>
      <c r="F60" s="374">
        <f>TREND(F55:F56,B55:B56,B60)</f>
        <v>55</v>
      </c>
      <c r="G60" s="966">
        <f t="shared" si="32"/>
        <v>0</v>
      </c>
      <c r="H60" s="967">
        <f t="shared" si="33"/>
        <v>0</v>
      </c>
      <c r="I60" s="428">
        <f t="shared" si="34"/>
        <v>0</v>
      </c>
      <c r="J60" s="431">
        <f t="shared" si="35"/>
        <v>0</v>
      </c>
      <c r="K60" s="339">
        <f t="shared" si="36"/>
        <v>0</v>
      </c>
      <c r="L60" s="436">
        <f>IF(AND(H60&gt;G60,NOT(OR(TruckLane,Bypass,HOV2to3,HOTConv,OnRamp,RM,AM,IM,TI)),Induced="Y"),(I60-J60)*(H60-G60)*0.5,IF(OR(HOV2to3,HOTConv),TREND(L55:L56,B55:B56,B60),0))*IF(UserAdjInputs,1,VLOOKUP(TMSLookup,TMSAdj,9))</f>
        <v>0</v>
      </c>
      <c r="M60" s="285">
        <f t="shared" si="37"/>
        <v>0</v>
      </c>
      <c r="N60" s="323">
        <f t="shared" si="38"/>
        <v>0</v>
      </c>
      <c r="P60" s="327">
        <v>4</v>
      </c>
      <c r="Q60" s="347">
        <f>TREND(Q55:Q56,P55:P56,P60)</f>
        <v>0</v>
      </c>
      <c r="R60" s="372">
        <f>TREND(R55:R56,P55:P56,P60)</f>
        <v>0</v>
      </c>
      <c r="S60" s="660">
        <f t="shared" si="39"/>
        <v>0</v>
      </c>
      <c r="T60" s="658">
        <f>TREND(T55:T56,P55:P56,P60)</f>
        <v>0</v>
      </c>
      <c r="U60" s="644">
        <f>TREND(U55:U56,P55:P56,P60)</f>
        <v>0</v>
      </c>
      <c r="V60" s="825">
        <v>0</v>
      </c>
      <c r="W60" s="339">
        <f t="shared" si="40"/>
        <v>0</v>
      </c>
      <c r="X60" s="664">
        <f t="shared" si="41"/>
        <v>0</v>
      </c>
      <c r="Y60" s="436">
        <f t="shared" si="42"/>
        <v>0</v>
      </c>
      <c r="Z60" s="285">
        <f t="shared" si="43"/>
        <v>0</v>
      </c>
      <c r="AA60" s="323">
        <f t="shared" si="44"/>
        <v>0</v>
      </c>
    </row>
    <row r="61" spans="2:47" x14ac:dyDescent="0.25">
      <c r="B61" s="327">
        <v>5</v>
      </c>
      <c r="C61" s="347">
        <f>TREND(C55:C56,B55:B56,B61)</f>
        <v>0</v>
      </c>
      <c r="D61" s="630">
        <f>TREND(D55:D56,B55:B56,B61)</f>
        <v>0</v>
      </c>
      <c r="E61" s="633">
        <f>TREND(E55:E56,B55:B56,B61)</f>
        <v>55</v>
      </c>
      <c r="F61" s="374">
        <f>TREND(F55:F56,B55:B56,B61)</f>
        <v>55</v>
      </c>
      <c r="G61" s="966">
        <f t="shared" si="32"/>
        <v>0</v>
      </c>
      <c r="H61" s="967">
        <f t="shared" si="33"/>
        <v>0</v>
      </c>
      <c r="I61" s="428">
        <f t="shared" si="34"/>
        <v>0</v>
      </c>
      <c r="J61" s="431">
        <f t="shared" si="35"/>
        <v>0</v>
      </c>
      <c r="K61" s="339">
        <f t="shared" si="36"/>
        <v>0</v>
      </c>
      <c r="L61" s="436">
        <f>IF(AND(H61&gt;G61,NOT(OR(TruckLane,Bypass,HOV2to3,HOTConv,OnRamp,RM,AM,IM,TI)),Induced="Y"),(I61-J61)*(H61-G61)*0.5,IF(OR(HOV2to3,HOTConv),TREND(L55:L56,B55:B56,B61),0))*IF(UserAdjInputs,1,VLOOKUP(TMSLookup,TMSAdj,9))</f>
        <v>0</v>
      </c>
      <c r="M61" s="285">
        <f t="shared" si="37"/>
        <v>0</v>
      </c>
      <c r="N61" s="323">
        <f t="shared" si="38"/>
        <v>0</v>
      </c>
      <c r="P61" s="327">
        <v>5</v>
      </c>
      <c r="Q61" s="347">
        <f>TREND(Q55:Q56,P55:P56,P61)</f>
        <v>0</v>
      </c>
      <c r="R61" s="372">
        <f>TREND(R55:R56,P55:P56,P61)</f>
        <v>0</v>
      </c>
      <c r="S61" s="660">
        <f t="shared" si="39"/>
        <v>0</v>
      </c>
      <c r="T61" s="658">
        <f>TREND(T55:T56,P55:P56,P61)</f>
        <v>0</v>
      </c>
      <c r="U61" s="644">
        <f>TREND(U55:U56,P55:P56,P61)</f>
        <v>0</v>
      </c>
      <c r="V61" s="825">
        <v>0</v>
      </c>
      <c r="W61" s="339">
        <f t="shared" si="40"/>
        <v>0</v>
      </c>
      <c r="X61" s="664">
        <f t="shared" si="41"/>
        <v>0</v>
      </c>
      <c r="Y61" s="436">
        <f t="shared" si="42"/>
        <v>0</v>
      </c>
      <c r="Z61" s="285">
        <f t="shared" si="43"/>
        <v>0</v>
      </c>
      <c r="AA61" s="323">
        <f t="shared" si="44"/>
        <v>0</v>
      </c>
    </row>
    <row r="62" spans="2:47" x14ac:dyDescent="0.25">
      <c r="B62" s="327">
        <v>6</v>
      </c>
      <c r="C62" s="347">
        <f>TREND(C55:C56,B55:B56,B62)</f>
        <v>0</v>
      </c>
      <c r="D62" s="630">
        <f>TREND(D55:D56,B55:B56,B62)</f>
        <v>0</v>
      </c>
      <c r="E62" s="633">
        <f>TREND(E55:E56,B55:B56,B62)</f>
        <v>55</v>
      </c>
      <c r="F62" s="374">
        <f>TREND(F55:F56,B55:B56,B62)</f>
        <v>55</v>
      </c>
      <c r="G62" s="966">
        <f t="shared" si="32"/>
        <v>0</v>
      </c>
      <c r="H62" s="967">
        <f t="shared" si="33"/>
        <v>0</v>
      </c>
      <c r="I62" s="428">
        <f t="shared" si="34"/>
        <v>0</v>
      </c>
      <c r="J62" s="431">
        <f t="shared" si="35"/>
        <v>0</v>
      </c>
      <c r="K62" s="339">
        <f t="shared" si="36"/>
        <v>0</v>
      </c>
      <c r="L62" s="436">
        <f>IF(AND(H62&gt;G62,NOT(OR(TruckLane,Bypass,HOV2to3,HOTConv,OnRamp,RM,AM,IM,TI)),Induced="Y"),(I62-J62)*(H62-G62)*0.5,IF(OR(HOV2to3,HOTConv),TREND(L55:L56,B55:B56,B62),0))*IF(UserAdjInputs,1,VLOOKUP(TMSLookup,TMSAdj,9))</f>
        <v>0</v>
      </c>
      <c r="M62" s="285">
        <f t="shared" si="37"/>
        <v>0</v>
      </c>
      <c r="N62" s="323">
        <f t="shared" si="38"/>
        <v>0</v>
      </c>
      <c r="P62" s="327">
        <v>6</v>
      </c>
      <c r="Q62" s="347">
        <f>TREND(Q55:Q56,P55:P56,P62)</f>
        <v>0</v>
      </c>
      <c r="R62" s="372">
        <f>TREND(R55:R56,P55:P56,P62)</f>
        <v>0</v>
      </c>
      <c r="S62" s="660">
        <f t="shared" si="39"/>
        <v>0</v>
      </c>
      <c r="T62" s="658">
        <f>TREND(T55:T56,P55:P56,P62)</f>
        <v>0</v>
      </c>
      <c r="U62" s="644">
        <f>TREND(U55:U56,P55:P56,P62)</f>
        <v>0</v>
      </c>
      <c r="V62" s="825">
        <v>0</v>
      </c>
      <c r="W62" s="339">
        <f t="shared" si="40"/>
        <v>0</v>
      </c>
      <c r="X62" s="664">
        <f t="shared" si="41"/>
        <v>0</v>
      </c>
      <c r="Y62" s="436">
        <f t="shared" si="42"/>
        <v>0</v>
      </c>
      <c r="Z62" s="285">
        <f t="shared" si="43"/>
        <v>0</v>
      </c>
      <c r="AA62" s="323">
        <f t="shared" si="44"/>
        <v>0</v>
      </c>
    </row>
    <row r="63" spans="2:47" x14ac:dyDescent="0.25">
      <c r="B63" s="327">
        <v>7</v>
      </c>
      <c r="C63" s="347">
        <f>TREND(C55:C56,B55:B56,B63)</f>
        <v>0</v>
      </c>
      <c r="D63" s="630">
        <f>TREND(D55:D56,B55:B56,B63)</f>
        <v>0</v>
      </c>
      <c r="E63" s="633">
        <f>TREND(E55:E56,B55:B56,B63)</f>
        <v>55</v>
      </c>
      <c r="F63" s="374">
        <f>TREND(F55:F56,B55:B56,B63)</f>
        <v>55</v>
      </c>
      <c r="G63" s="966">
        <f t="shared" si="32"/>
        <v>0</v>
      </c>
      <c r="H63" s="967">
        <f t="shared" si="33"/>
        <v>0</v>
      </c>
      <c r="I63" s="428">
        <f t="shared" si="34"/>
        <v>0</v>
      </c>
      <c r="J63" s="431">
        <f t="shared" si="35"/>
        <v>0</v>
      </c>
      <c r="K63" s="339">
        <f t="shared" si="36"/>
        <v>0</v>
      </c>
      <c r="L63" s="436">
        <f>IF(AND(H63&gt;G63,NOT(OR(TruckLane,Bypass,HOV2to3,HOTConv,OnRamp,RM,AM,IM,TI)),Induced="Y"),(I63-J63)*(H63-G63)*0.5,IF(OR(HOV2to3,HOTConv),TREND(L55:L56,B55:B56,B63),0))*IF(UserAdjInputs,1,VLOOKUP(TMSLookup,TMSAdj,9))</f>
        <v>0</v>
      </c>
      <c r="M63" s="285">
        <f t="shared" si="37"/>
        <v>0</v>
      </c>
      <c r="N63" s="323">
        <f t="shared" si="38"/>
        <v>0</v>
      </c>
      <c r="P63" s="327">
        <v>7</v>
      </c>
      <c r="Q63" s="347">
        <f>TREND(Q55:Q56,P55:P56,P63)</f>
        <v>0</v>
      </c>
      <c r="R63" s="372">
        <f>TREND(R55:R56,P55:P56,P63)</f>
        <v>0</v>
      </c>
      <c r="S63" s="660">
        <f t="shared" si="39"/>
        <v>0</v>
      </c>
      <c r="T63" s="658">
        <f>TREND(T55:T56,P55:P56,P63)</f>
        <v>0</v>
      </c>
      <c r="U63" s="644">
        <f>TREND(U55:U56,P55:P56,P63)</f>
        <v>0</v>
      </c>
      <c r="V63" s="825">
        <v>0</v>
      </c>
      <c r="W63" s="339">
        <f t="shared" si="40"/>
        <v>0</v>
      </c>
      <c r="X63" s="664">
        <f t="shared" si="41"/>
        <v>0</v>
      </c>
      <c r="Y63" s="436">
        <f t="shared" si="42"/>
        <v>0</v>
      </c>
      <c r="Z63" s="285">
        <f t="shared" si="43"/>
        <v>0</v>
      </c>
      <c r="AA63" s="323">
        <f t="shared" si="44"/>
        <v>0</v>
      </c>
    </row>
    <row r="64" spans="2:47" x14ac:dyDescent="0.25">
      <c r="B64" s="327">
        <v>8</v>
      </c>
      <c r="C64" s="347">
        <f>TREND(C55:C56,B55:B56,B64)</f>
        <v>0</v>
      </c>
      <c r="D64" s="630">
        <f>TREND(D55:D56,B55:B56,B64)</f>
        <v>0</v>
      </c>
      <c r="E64" s="633">
        <f>TREND(E55:E56,B55:B56,B64)</f>
        <v>55</v>
      </c>
      <c r="F64" s="374">
        <f>TREND(F55:F56,B55:B56,B64)</f>
        <v>55</v>
      </c>
      <c r="G64" s="966">
        <f t="shared" si="32"/>
        <v>0</v>
      </c>
      <c r="H64" s="967">
        <f t="shared" si="33"/>
        <v>0</v>
      </c>
      <c r="I64" s="428">
        <f t="shared" si="34"/>
        <v>0</v>
      </c>
      <c r="J64" s="431">
        <f t="shared" si="35"/>
        <v>0</v>
      </c>
      <c r="K64" s="339">
        <f t="shared" si="36"/>
        <v>0</v>
      </c>
      <c r="L64" s="436">
        <f>IF(AND(H64&gt;G64,NOT(OR(TruckLane,Bypass,HOV2to3,HOTConv,OnRamp,RM,AM,IM,TI)),Induced="Y"),(I64-J64)*(H64-G64)*0.5,IF(OR(HOV2to3,HOTConv),TREND(L55:L56,B55:B56,B64),0))*IF(UserAdjInputs,1,VLOOKUP(TMSLookup,TMSAdj,9))</f>
        <v>0</v>
      </c>
      <c r="M64" s="285">
        <f t="shared" si="37"/>
        <v>0</v>
      </c>
      <c r="N64" s="323">
        <f t="shared" si="38"/>
        <v>0</v>
      </c>
      <c r="P64" s="327">
        <v>8</v>
      </c>
      <c r="Q64" s="347">
        <f>TREND(Q55:Q56,P55:P56,P64)</f>
        <v>0</v>
      </c>
      <c r="R64" s="372">
        <f>TREND(R55:R56,P55:P56,P64)</f>
        <v>0</v>
      </c>
      <c r="S64" s="660">
        <f t="shared" si="39"/>
        <v>0</v>
      </c>
      <c r="T64" s="658">
        <f>TREND(T55:T56,P55:P56,P64)</f>
        <v>0</v>
      </c>
      <c r="U64" s="644">
        <f>TREND(U55:U56,P55:P56,P64)</f>
        <v>0</v>
      </c>
      <c r="V64" s="825">
        <v>0</v>
      </c>
      <c r="W64" s="339">
        <f t="shared" si="40"/>
        <v>0</v>
      </c>
      <c r="X64" s="664">
        <f t="shared" si="41"/>
        <v>0</v>
      </c>
      <c r="Y64" s="436">
        <f t="shared" si="42"/>
        <v>0</v>
      </c>
      <c r="Z64" s="285">
        <f t="shared" si="43"/>
        <v>0</v>
      </c>
      <c r="AA64" s="323">
        <f t="shared" si="44"/>
        <v>0</v>
      </c>
    </row>
    <row r="65" spans="2:27" x14ac:dyDescent="0.25">
      <c r="B65" s="327">
        <v>9</v>
      </c>
      <c r="C65" s="347">
        <f>TREND(C55:C56,B55:B56,B65)</f>
        <v>0</v>
      </c>
      <c r="D65" s="630">
        <f>TREND(D55:D56,B55:B56,B65)</f>
        <v>0</v>
      </c>
      <c r="E65" s="633">
        <f>TREND(E55:E56,B55:B56,B65)</f>
        <v>55</v>
      </c>
      <c r="F65" s="374">
        <f>TREND(F55:F56,B55:B56,B65)</f>
        <v>55</v>
      </c>
      <c r="G65" s="966">
        <f t="shared" si="32"/>
        <v>0</v>
      </c>
      <c r="H65" s="967">
        <f t="shared" si="33"/>
        <v>0</v>
      </c>
      <c r="I65" s="428">
        <f t="shared" si="34"/>
        <v>0</v>
      </c>
      <c r="J65" s="431">
        <f t="shared" si="35"/>
        <v>0</v>
      </c>
      <c r="K65" s="339">
        <f t="shared" si="36"/>
        <v>0</v>
      </c>
      <c r="L65" s="436">
        <f>IF(AND(H65&gt;G65,NOT(OR(TruckLane,Bypass,HOV2to3,HOTConv,OnRamp,RM,AM,IM,TI)),Induced="Y"),(I65-J65)*(H65-G65)*0.5,IF(OR(HOV2to3,HOTConv),TREND(L55:L56,B55:B56,B65),0))*IF(UserAdjInputs,1,VLOOKUP(TMSLookup,TMSAdj,9))</f>
        <v>0</v>
      </c>
      <c r="M65" s="285">
        <f t="shared" si="37"/>
        <v>0</v>
      </c>
      <c r="N65" s="323">
        <f t="shared" si="38"/>
        <v>0</v>
      </c>
      <c r="P65" s="327">
        <v>9</v>
      </c>
      <c r="Q65" s="347">
        <f>TREND(Q55:Q56,P55:P56,P65)</f>
        <v>0</v>
      </c>
      <c r="R65" s="372">
        <f>TREND(R55:R56,P55:P56,P65)</f>
        <v>0</v>
      </c>
      <c r="S65" s="660">
        <f t="shared" si="39"/>
        <v>0</v>
      </c>
      <c r="T65" s="658">
        <f>TREND(T55:T56,P55:P56,P65)</f>
        <v>0</v>
      </c>
      <c r="U65" s="644">
        <f>TREND(U55:U56,P55:P56,P65)</f>
        <v>0</v>
      </c>
      <c r="V65" s="825">
        <v>0</v>
      </c>
      <c r="W65" s="339">
        <f t="shared" si="40"/>
        <v>0</v>
      </c>
      <c r="X65" s="664">
        <f t="shared" si="41"/>
        <v>0</v>
      </c>
      <c r="Y65" s="436">
        <f t="shared" si="42"/>
        <v>0</v>
      </c>
      <c r="Z65" s="285">
        <f t="shared" si="43"/>
        <v>0</v>
      </c>
      <c r="AA65" s="323">
        <f t="shared" si="44"/>
        <v>0</v>
      </c>
    </row>
    <row r="66" spans="2:27" x14ac:dyDescent="0.25">
      <c r="B66" s="327">
        <v>10</v>
      </c>
      <c r="C66" s="347">
        <f>TREND(C55:C56,B55:B56,B66)</f>
        <v>0</v>
      </c>
      <c r="D66" s="630">
        <f>TREND(D55:D56,B55:B56,B66)</f>
        <v>0</v>
      </c>
      <c r="E66" s="633">
        <f>TREND(E55:E56,B55:B56,B66)</f>
        <v>55</v>
      </c>
      <c r="F66" s="374">
        <f>TREND(F55:F56,B55:B56,B66)</f>
        <v>55</v>
      </c>
      <c r="G66" s="966">
        <f t="shared" si="32"/>
        <v>0</v>
      </c>
      <c r="H66" s="967">
        <f t="shared" si="33"/>
        <v>0</v>
      </c>
      <c r="I66" s="428">
        <f t="shared" si="34"/>
        <v>0</v>
      </c>
      <c r="J66" s="431">
        <f t="shared" si="35"/>
        <v>0</v>
      </c>
      <c r="K66" s="339">
        <f t="shared" si="36"/>
        <v>0</v>
      </c>
      <c r="L66" s="436">
        <f>IF(AND(H66&gt;G66,NOT(OR(TruckLane,Bypass,HOV2to3,HOTConv,OnRamp,RM,AM,IM,TI)),Induced="Y"),(I66-J66)*(H66-G66)*0.5,IF(OR(HOV2to3,HOTConv),TREND(L55:L56,B55:B56,B66),0))*IF(UserAdjInputs,1,VLOOKUP(TMSLookup,TMSAdj,9))</f>
        <v>0</v>
      </c>
      <c r="M66" s="285">
        <f t="shared" si="37"/>
        <v>0</v>
      </c>
      <c r="N66" s="323">
        <f t="shared" si="38"/>
        <v>0</v>
      </c>
      <c r="P66" s="327">
        <v>10</v>
      </c>
      <c r="Q66" s="347">
        <f>TREND(Q55:Q56,P55:P56,P66)</f>
        <v>0</v>
      </c>
      <c r="R66" s="372">
        <f>TREND(R55:R56,P55:P56,P66)</f>
        <v>0</v>
      </c>
      <c r="S66" s="660">
        <f t="shared" si="39"/>
        <v>0</v>
      </c>
      <c r="T66" s="658">
        <f>TREND(T55:T56,P55:P56,P66)</f>
        <v>0</v>
      </c>
      <c r="U66" s="644">
        <f>TREND(U55:U56,P55:P56,P66)</f>
        <v>0</v>
      </c>
      <c r="V66" s="825">
        <v>0</v>
      </c>
      <c r="W66" s="339">
        <f t="shared" si="40"/>
        <v>0</v>
      </c>
      <c r="X66" s="664">
        <f t="shared" si="41"/>
        <v>0</v>
      </c>
      <c r="Y66" s="436">
        <f t="shared" si="42"/>
        <v>0</v>
      </c>
      <c r="Z66" s="285">
        <f t="shared" si="43"/>
        <v>0</v>
      </c>
      <c r="AA66" s="323">
        <f t="shared" si="44"/>
        <v>0</v>
      </c>
    </row>
    <row r="67" spans="2:27" x14ac:dyDescent="0.25">
      <c r="B67" s="327">
        <v>11</v>
      </c>
      <c r="C67" s="347">
        <f>TREND(C55:C56,B55:B56,B67)</f>
        <v>0</v>
      </c>
      <c r="D67" s="630">
        <f>TREND(D55:D56,B55:B56,B67)</f>
        <v>0</v>
      </c>
      <c r="E67" s="633">
        <f>TREND(E55:E56,B55:B56,B67)</f>
        <v>55</v>
      </c>
      <c r="F67" s="374">
        <f>TREND(F55:F56,B55:B56,B67)</f>
        <v>55</v>
      </c>
      <c r="G67" s="966">
        <f t="shared" si="32"/>
        <v>0</v>
      </c>
      <c r="H67" s="967">
        <f t="shared" si="33"/>
        <v>0</v>
      </c>
      <c r="I67" s="428">
        <f t="shared" si="34"/>
        <v>0</v>
      </c>
      <c r="J67" s="431">
        <f t="shared" si="35"/>
        <v>0</v>
      </c>
      <c r="K67" s="339">
        <f t="shared" si="36"/>
        <v>0</v>
      </c>
      <c r="L67" s="436">
        <f>IF(AND(H67&gt;G67,NOT(OR(TruckLane,Bypass,HOV2to3,HOTConv,OnRamp,RM,AM,IM,TI)),Induced="Y"),(I67-J67)*(H67-G67)*0.5,IF(OR(HOV2to3,HOTConv),TREND(L55:L56,B55:B56,B67),0))*IF(UserAdjInputs,1,VLOOKUP(TMSLookup,TMSAdj,9))</f>
        <v>0</v>
      </c>
      <c r="M67" s="285">
        <f t="shared" si="37"/>
        <v>0</v>
      </c>
      <c r="N67" s="323">
        <f t="shared" si="38"/>
        <v>0</v>
      </c>
      <c r="P67" s="327">
        <v>11</v>
      </c>
      <c r="Q67" s="347">
        <f>TREND(Q55:Q56,P55:P56,P67)</f>
        <v>0</v>
      </c>
      <c r="R67" s="372">
        <f>TREND(R55:R56,P55:P56,P67)</f>
        <v>0</v>
      </c>
      <c r="S67" s="660">
        <f t="shared" si="39"/>
        <v>0</v>
      </c>
      <c r="T67" s="658">
        <f>TREND(T55:T56,P55:P56,P67)</f>
        <v>0</v>
      </c>
      <c r="U67" s="644">
        <f>TREND(U55:U56,P55:P56,P67)</f>
        <v>0</v>
      </c>
      <c r="V67" s="825">
        <v>0</v>
      </c>
      <c r="W67" s="339">
        <f t="shared" si="40"/>
        <v>0</v>
      </c>
      <c r="X67" s="664">
        <f t="shared" si="41"/>
        <v>0</v>
      </c>
      <c r="Y67" s="436">
        <f t="shared" si="42"/>
        <v>0</v>
      </c>
      <c r="Z67" s="285">
        <f t="shared" si="43"/>
        <v>0</v>
      </c>
      <c r="AA67" s="323">
        <f t="shared" si="44"/>
        <v>0</v>
      </c>
    </row>
    <row r="68" spans="2:27" x14ac:dyDescent="0.25">
      <c r="B68" s="327">
        <v>12</v>
      </c>
      <c r="C68" s="347">
        <f>TREND(C55:C56,B55:B56,B68)</f>
        <v>0</v>
      </c>
      <c r="D68" s="630">
        <f>TREND(D55:D56,B55:B56,B68)</f>
        <v>0</v>
      </c>
      <c r="E68" s="633">
        <f>TREND(E55:E56,B55:B56,B68)</f>
        <v>55</v>
      </c>
      <c r="F68" s="374">
        <f>TREND(F55:F56,B55:B56,B68)</f>
        <v>55</v>
      </c>
      <c r="G68" s="966">
        <f t="shared" si="32"/>
        <v>0</v>
      </c>
      <c r="H68" s="967">
        <f t="shared" si="33"/>
        <v>0</v>
      </c>
      <c r="I68" s="428">
        <f t="shared" si="34"/>
        <v>0</v>
      </c>
      <c r="J68" s="431">
        <f t="shared" si="35"/>
        <v>0</v>
      </c>
      <c r="K68" s="339">
        <f t="shared" si="36"/>
        <v>0</v>
      </c>
      <c r="L68" s="436">
        <f>IF(AND(H68&gt;G68,NOT(OR(TruckLane,Bypass,HOV2to3,HOTConv,OnRamp,RM,AM,IM,TI)),Induced="Y"),(I68-J68)*(H68-G68)*0.5,IF(OR(HOV2to3,HOTConv),TREND(L55:L56,B55:B56,B68),0))*IF(UserAdjInputs,1,VLOOKUP(TMSLookup,TMSAdj,9))</f>
        <v>0</v>
      </c>
      <c r="M68" s="285">
        <f t="shared" si="37"/>
        <v>0</v>
      </c>
      <c r="N68" s="323">
        <f t="shared" si="38"/>
        <v>0</v>
      </c>
      <c r="P68" s="327">
        <v>12</v>
      </c>
      <c r="Q68" s="347">
        <f>TREND(Q55:Q56,P55:P56,P68)</f>
        <v>0</v>
      </c>
      <c r="R68" s="372">
        <f>TREND(R55:R56,P55:P56,P68)</f>
        <v>0</v>
      </c>
      <c r="S68" s="660">
        <f t="shared" si="39"/>
        <v>0</v>
      </c>
      <c r="T68" s="658">
        <f>TREND(T55:T56,P55:P56,P68)</f>
        <v>0</v>
      </c>
      <c r="U68" s="644">
        <f>TREND(U55:U56,P55:P56,P68)</f>
        <v>0</v>
      </c>
      <c r="V68" s="825">
        <v>0</v>
      </c>
      <c r="W68" s="339">
        <f t="shared" si="40"/>
        <v>0</v>
      </c>
      <c r="X68" s="664">
        <f t="shared" si="41"/>
        <v>0</v>
      </c>
      <c r="Y68" s="436">
        <f t="shared" si="42"/>
        <v>0</v>
      </c>
      <c r="Z68" s="285">
        <f t="shared" si="43"/>
        <v>0</v>
      </c>
      <c r="AA68" s="323">
        <f t="shared" si="44"/>
        <v>0</v>
      </c>
    </row>
    <row r="69" spans="2:27" x14ac:dyDescent="0.25">
      <c r="B69" s="327">
        <v>13</v>
      </c>
      <c r="C69" s="347">
        <f>TREND(C55:C56,B55:B56,B69)</f>
        <v>0</v>
      </c>
      <c r="D69" s="630">
        <f>TREND(D55:D56,B55:B56,B69)</f>
        <v>0</v>
      </c>
      <c r="E69" s="633">
        <f>TREND(E55:E56,B55:B56,B69)</f>
        <v>55</v>
      </c>
      <c r="F69" s="374">
        <f>TREND(F55:F56,B55:B56,B69)</f>
        <v>55</v>
      </c>
      <c r="G69" s="966">
        <f t="shared" si="32"/>
        <v>0</v>
      </c>
      <c r="H69" s="967">
        <f t="shared" si="33"/>
        <v>0</v>
      </c>
      <c r="I69" s="428">
        <f t="shared" si="34"/>
        <v>0</v>
      </c>
      <c r="J69" s="431">
        <f t="shared" si="35"/>
        <v>0</v>
      </c>
      <c r="K69" s="339">
        <f t="shared" si="36"/>
        <v>0</v>
      </c>
      <c r="L69" s="436">
        <f>IF(AND(H69&gt;G69,NOT(OR(TruckLane,Bypass,HOV2to3,HOTConv,OnRamp,RM,AM,IM,TI)),Induced="Y"),(I69-J69)*(H69-G69)*0.5,IF(OR(HOV2to3,HOTConv),TREND(L55:L56,B55:B56,B69),0))*IF(UserAdjInputs,1,VLOOKUP(TMSLookup,TMSAdj,9))</f>
        <v>0</v>
      </c>
      <c r="M69" s="285">
        <f t="shared" si="37"/>
        <v>0</v>
      </c>
      <c r="N69" s="323">
        <f t="shared" si="38"/>
        <v>0</v>
      </c>
      <c r="P69" s="327">
        <v>13</v>
      </c>
      <c r="Q69" s="347">
        <f>TREND(Q55:Q56,P55:P56,P69)</f>
        <v>0</v>
      </c>
      <c r="R69" s="372">
        <f>TREND(R55:R56,P55:P56,P69)</f>
        <v>0</v>
      </c>
      <c r="S69" s="660">
        <f t="shared" si="39"/>
        <v>0</v>
      </c>
      <c r="T69" s="658">
        <f>TREND(T55:T56,P55:P56,P69)</f>
        <v>0</v>
      </c>
      <c r="U69" s="644">
        <f>TREND(U55:U56,P55:P56,P69)</f>
        <v>0</v>
      </c>
      <c r="V69" s="825">
        <v>0</v>
      </c>
      <c r="W69" s="339">
        <f t="shared" si="40"/>
        <v>0</v>
      </c>
      <c r="X69" s="664">
        <f t="shared" si="41"/>
        <v>0</v>
      </c>
      <c r="Y69" s="436">
        <f t="shared" si="42"/>
        <v>0</v>
      </c>
      <c r="Z69" s="285">
        <f t="shared" si="43"/>
        <v>0</v>
      </c>
      <c r="AA69" s="323">
        <f t="shared" si="44"/>
        <v>0</v>
      </c>
    </row>
    <row r="70" spans="2:27" x14ac:dyDescent="0.25">
      <c r="B70" s="327">
        <v>14</v>
      </c>
      <c r="C70" s="347">
        <f>TREND(C55:C56,B55:B56,B70)</f>
        <v>0</v>
      </c>
      <c r="D70" s="630">
        <f>TREND(D55:D56,B55:B56,B70)</f>
        <v>0</v>
      </c>
      <c r="E70" s="633">
        <f>TREND(E55:E56,B55:B56,B70)</f>
        <v>55</v>
      </c>
      <c r="F70" s="374">
        <f>TREND(F55:F56,B55:B56,B70)</f>
        <v>55</v>
      </c>
      <c r="G70" s="966">
        <f t="shared" si="32"/>
        <v>0</v>
      </c>
      <c r="H70" s="967">
        <f t="shared" si="33"/>
        <v>0</v>
      </c>
      <c r="I70" s="428">
        <f t="shared" si="34"/>
        <v>0</v>
      </c>
      <c r="J70" s="431">
        <f t="shared" si="35"/>
        <v>0</v>
      </c>
      <c r="K70" s="339">
        <f t="shared" si="36"/>
        <v>0</v>
      </c>
      <c r="L70" s="436">
        <f>IF(AND(H70&gt;G70,NOT(OR(TruckLane,Bypass,HOV2to3,HOTConv,OnRamp,RM,AM,IM,TI)),Induced="Y"),(I70-J70)*(H70-G70)*0.5,IF(OR(HOV2to3,HOTConv),TREND(L55:L56,B55:B56,B70),0))*IF(UserAdjInputs,1,VLOOKUP(TMSLookup,TMSAdj,9))</f>
        <v>0</v>
      </c>
      <c r="M70" s="285">
        <f t="shared" si="37"/>
        <v>0</v>
      </c>
      <c r="N70" s="323">
        <f t="shared" si="38"/>
        <v>0</v>
      </c>
      <c r="P70" s="327">
        <v>14</v>
      </c>
      <c r="Q70" s="347">
        <f>TREND(Q55:Q56,P55:P56,P70)</f>
        <v>0</v>
      </c>
      <c r="R70" s="372">
        <f>TREND(R55:R56,P55:P56,P70)</f>
        <v>0</v>
      </c>
      <c r="S70" s="660">
        <f t="shared" si="39"/>
        <v>0</v>
      </c>
      <c r="T70" s="658">
        <f>TREND(T55:T56,P55:P56,P70)</f>
        <v>0</v>
      </c>
      <c r="U70" s="644">
        <f>TREND(U55:U56,P55:P56,P70)</f>
        <v>0</v>
      </c>
      <c r="V70" s="825">
        <v>0</v>
      </c>
      <c r="W70" s="339">
        <f t="shared" si="40"/>
        <v>0</v>
      </c>
      <c r="X70" s="664">
        <f t="shared" si="41"/>
        <v>0</v>
      </c>
      <c r="Y70" s="436">
        <f t="shared" si="42"/>
        <v>0</v>
      </c>
      <c r="Z70" s="285">
        <f t="shared" si="43"/>
        <v>0</v>
      </c>
      <c r="AA70" s="323">
        <f t="shared" si="44"/>
        <v>0</v>
      </c>
    </row>
    <row r="71" spans="2:27" x14ac:dyDescent="0.25">
      <c r="B71" s="327">
        <v>15</v>
      </c>
      <c r="C71" s="347">
        <f>TREND(C55:C56,B55:B56,B71)</f>
        <v>0</v>
      </c>
      <c r="D71" s="630">
        <f>TREND(D55:D56,B55:B56,B71)</f>
        <v>0</v>
      </c>
      <c r="E71" s="633">
        <f>TREND(E55:E56,B55:B56,B71)</f>
        <v>55</v>
      </c>
      <c r="F71" s="374">
        <f>TREND(F55:F56,B55:B56,B71)</f>
        <v>55</v>
      </c>
      <c r="G71" s="966">
        <f t="shared" si="32"/>
        <v>0</v>
      </c>
      <c r="H71" s="967">
        <f t="shared" si="33"/>
        <v>0</v>
      </c>
      <c r="I71" s="428">
        <f t="shared" si="34"/>
        <v>0</v>
      </c>
      <c r="J71" s="431">
        <f t="shared" si="35"/>
        <v>0</v>
      </c>
      <c r="K71" s="339">
        <f t="shared" si="36"/>
        <v>0</v>
      </c>
      <c r="L71" s="436">
        <f>IF(AND(H71&gt;G71,NOT(OR(TruckLane,Bypass,HOV2to3,HOTConv,OnRamp,RM,AM,IM,TI)),Induced="Y"),(I71-J71)*(H71-G71)*0.5,IF(OR(HOV2to3,HOTConv),TREND(L55:L56,B55:B56,B71),0))*IF(UserAdjInputs,1,VLOOKUP(TMSLookup,TMSAdj,9))</f>
        <v>0</v>
      </c>
      <c r="M71" s="285">
        <f t="shared" si="37"/>
        <v>0</v>
      </c>
      <c r="N71" s="323">
        <f t="shared" si="38"/>
        <v>0</v>
      </c>
      <c r="P71" s="327">
        <v>15</v>
      </c>
      <c r="Q71" s="347">
        <f>TREND(Q55:Q56,P55:P56,P71)</f>
        <v>0</v>
      </c>
      <c r="R71" s="372">
        <f>TREND(R55:R56,P55:P56,P71)</f>
        <v>0</v>
      </c>
      <c r="S71" s="660">
        <f t="shared" si="39"/>
        <v>0</v>
      </c>
      <c r="T71" s="658">
        <f>TREND(T55:T56,P55:P56,P71)</f>
        <v>0</v>
      </c>
      <c r="U71" s="644">
        <f>TREND(U55:U56,P55:P56,P71)</f>
        <v>0</v>
      </c>
      <c r="V71" s="825">
        <v>0</v>
      </c>
      <c r="W71" s="339">
        <f t="shared" si="40"/>
        <v>0</v>
      </c>
      <c r="X71" s="664">
        <f t="shared" si="41"/>
        <v>0</v>
      </c>
      <c r="Y71" s="436">
        <f t="shared" si="42"/>
        <v>0</v>
      </c>
      <c r="Z71" s="285">
        <f t="shared" si="43"/>
        <v>0</v>
      </c>
      <c r="AA71" s="323">
        <f t="shared" si="44"/>
        <v>0</v>
      </c>
    </row>
    <row r="72" spans="2:27" x14ac:dyDescent="0.25">
      <c r="B72" s="327">
        <v>16</v>
      </c>
      <c r="C72" s="347">
        <f>TREND(C55:C56,B55:B56,B72)</f>
        <v>0</v>
      </c>
      <c r="D72" s="630">
        <f>TREND(D55:D56,B55:B56,B72)</f>
        <v>0</v>
      </c>
      <c r="E72" s="633">
        <f>TREND(E55:E56,B55:B56,B72)</f>
        <v>55</v>
      </c>
      <c r="F72" s="374">
        <f>TREND(F55:F56,B55:B56,B72)</f>
        <v>55</v>
      </c>
      <c r="G72" s="966">
        <f t="shared" si="32"/>
        <v>0</v>
      </c>
      <c r="H72" s="967">
        <f t="shared" si="33"/>
        <v>0</v>
      </c>
      <c r="I72" s="428">
        <f t="shared" si="34"/>
        <v>0</v>
      </c>
      <c r="J72" s="431">
        <f t="shared" si="35"/>
        <v>0</v>
      </c>
      <c r="K72" s="339">
        <f t="shared" si="36"/>
        <v>0</v>
      </c>
      <c r="L72" s="436">
        <f>IF(AND(H72&gt;G72,NOT(OR(TruckLane,Bypass,HOV2to3,HOTConv,OnRamp,RM,AM,IM,TI)),Induced="Y"),(I72-J72)*(H72-G72)*0.5,IF(OR(HOV2to3,HOTConv),TREND(L55:L56,B55:B56,B72),0))*IF(UserAdjInputs,1,VLOOKUP(TMSLookup,TMSAdj,9))</f>
        <v>0</v>
      </c>
      <c r="M72" s="285">
        <f t="shared" si="37"/>
        <v>0</v>
      </c>
      <c r="N72" s="323">
        <f t="shared" si="38"/>
        <v>0</v>
      </c>
      <c r="P72" s="327">
        <v>16</v>
      </c>
      <c r="Q72" s="347">
        <f>TREND(Q55:Q56,P55:P56,P72)</f>
        <v>0</v>
      </c>
      <c r="R72" s="372">
        <f>TREND(R55:R56,P55:P56,P72)</f>
        <v>0</v>
      </c>
      <c r="S72" s="660">
        <f t="shared" si="39"/>
        <v>0</v>
      </c>
      <c r="T72" s="658">
        <f>TREND(T55:T56,P55:P56,P72)</f>
        <v>0</v>
      </c>
      <c r="U72" s="644">
        <f>TREND(U55:U56,P55:P56,P72)</f>
        <v>0</v>
      </c>
      <c r="V72" s="825">
        <v>0</v>
      </c>
      <c r="W72" s="339">
        <f t="shared" si="40"/>
        <v>0</v>
      </c>
      <c r="X72" s="664">
        <f t="shared" si="41"/>
        <v>0</v>
      </c>
      <c r="Y72" s="436">
        <f t="shared" si="42"/>
        <v>0</v>
      </c>
      <c r="Z72" s="285">
        <f t="shared" si="43"/>
        <v>0</v>
      </c>
      <c r="AA72" s="323">
        <f t="shared" si="44"/>
        <v>0</v>
      </c>
    </row>
    <row r="73" spans="2:27" x14ac:dyDescent="0.25">
      <c r="B73" s="327">
        <v>17</v>
      </c>
      <c r="C73" s="347">
        <f>TREND(C55:C56,B55:B56,B73)</f>
        <v>0</v>
      </c>
      <c r="D73" s="630">
        <f>TREND(D55:D56,B55:B56,B73)</f>
        <v>0</v>
      </c>
      <c r="E73" s="633">
        <f>TREND(E55:E56,B55:B56,B73)</f>
        <v>55</v>
      </c>
      <c r="F73" s="374">
        <f>TREND(F55:F56,B55:B56,B73)</f>
        <v>55</v>
      </c>
      <c r="G73" s="966">
        <f t="shared" si="32"/>
        <v>0</v>
      </c>
      <c r="H73" s="967">
        <f t="shared" si="33"/>
        <v>0</v>
      </c>
      <c r="I73" s="428">
        <f t="shared" si="34"/>
        <v>0</v>
      </c>
      <c r="J73" s="431">
        <f t="shared" si="35"/>
        <v>0</v>
      </c>
      <c r="K73" s="339">
        <f t="shared" si="36"/>
        <v>0</v>
      </c>
      <c r="L73" s="436">
        <f>IF(AND(H73&gt;G73,NOT(OR(TruckLane,Bypass,HOV2to3,HOTConv,OnRamp,RM,AM,IM,TI)),Induced="Y"),(I73-J73)*(H73-G73)*0.5,IF(OR(HOV2to3,HOTConv),TREND(L55:L56,B55:B56,B73),0))*IF(UserAdjInputs,1,VLOOKUP(TMSLookup,TMSAdj,9))</f>
        <v>0</v>
      </c>
      <c r="M73" s="285">
        <f t="shared" si="37"/>
        <v>0</v>
      </c>
      <c r="N73" s="323">
        <f t="shared" si="38"/>
        <v>0</v>
      </c>
      <c r="P73" s="327">
        <v>17</v>
      </c>
      <c r="Q73" s="347">
        <f>TREND(Q55:Q56,P55:P56,P73)</f>
        <v>0</v>
      </c>
      <c r="R73" s="372">
        <f>TREND(R55:R56,P55:P56,P73)</f>
        <v>0</v>
      </c>
      <c r="S73" s="660">
        <f t="shared" si="39"/>
        <v>0</v>
      </c>
      <c r="T73" s="658">
        <f>TREND(T55:T56,P55:P56,P73)</f>
        <v>0</v>
      </c>
      <c r="U73" s="644">
        <f>TREND(U55:U56,P55:P56,P73)</f>
        <v>0</v>
      </c>
      <c r="V73" s="825">
        <v>0</v>
      </c>
      <c r="W73" s="339">
        <f t="shared" si="40"/>
        <v>0</v>
      </c>
      <c r="X73" s="664">
        <f t="shared" si="41"/>
        <v>0</v>
      </c>
      <c r="Y73" s="436">
        <f t="shared" si="42"/>
        <v>0</v>
      </c>
      <c r="Z73" s="285">
        <f t="shared" si="43"/>
        <v>0</v>
      </c>
      <c r="AA73" s="323">
        <f t="shared" si="44"/>
        <v>0</v>
      </c>
    </row>
    <row r="74" spans="2:27" x14ac:dyDescent="0.25">
      <c r="B74" s="327">
        <v>18</v>
      </c>
      <c r="C74" s="347">
        <f>TREND(C55:C56,B55:B56,B74)</f>
        <v>0</v>
      </c>
      <c r="D74" s="630">
        <f>TREND(D55:D56,B55:B56,B74)</f>
        <v>0</v>
      </c>
      <c r="E74" s="633">
        <f>TREND(E55:E56,B55:B56,B74)</f>
        <v>55</v>
      </c>
      <c r="F74" s="374">
        <f>TREND(F55:F56,B55:B56,B74)</f>
        <v>55</v>
      </c>
      <c r="G74" s="966">
        <f t="shared" si="32"/>
        <v>0</v>
      </c>
      <c r="H74" s="967">
        <f t="shared" si="33"/>
        <v>0</v>
      </c>
      <c r="I74" s="428">
        <f t="shared" si="34"/>
        <v>0</v>
      </c>
      <c r="J74" s="431">
        <f t="shared" si="35"/>
        <v>0</v>
      </c>
      <c r="K74" s="339">
        <f t="shared" si="36"/>
        <v>0</v>
      </c>
      <c r="L74" s="436">
        <f>IF(AND(H74&gt;G74,NOT(OR(TruckLane,Bypass,HOV2to3,HOTConv,OnRamp,RM,AM,IM,TI)),Induced="Y"),(I74-J74)*(H74-G74)*0.5,IF(OR(HOV2to3,HOTConv),TREND(L55:L56,B55:B56,B74),0))*IF(UserAdjInputs,1,VLOOKUP(TMSLookup,TMSAdj,9))</f>
        <v>0</v>
      </c>
      <c r="M74" s="285">
        <f t="shared" si="37"/>
        <v>0</v>
      </c>
      <c r="N74" s="323">
        <f t="shared" si="38"/>
        <v>0</v>
      </c>
      <c r="P74" s="327">
        <v>18</v>
      </c>
      <c r="Q74" s="347">
        <f>TREND(Q55:Q56,P55:P56,P74)</f>
        <v>0</v>
      </c>
      <c r="R74" s="372">
        <f>TREND(R55:R56,P55:P56,P74)</f>
        <v>0</v>
      </c>
      <c r="S74" s="660">
        <f t="shared" si="39"/>
        <v>0</v>
      </c>
      <c r="T74" s="658">
        <f>TREND(T55:T56,P55:P56,P74)</f>
        <v>0</v>
      </c>
      <c r="U74" s="644">
        <f>TREND(U55:U56,P55:P56,P74)</f>
        <v>0</v>
      </c>
      <c r="V74" s="825">
        <v>0</v>
      </c>
      <c r="W74" s="339">
        <f t="shared" si="40"/>
        <v>0</v>
      </c>
      <c r="X74" s="664">
        <f t="shared" si="41"/>
        <v>0</v>
      </c>
      <c r="Y74" s="436">
        <f t="shared" si="42"/>
        <v>0</v>
      </c>
      <c r="Z74" s="285">
        <f t="shared" si="43"/>
        <v>0</v>
      </c>
      <c r="AA74" s="323">
        <f t="shared" si="44"/>
        <v>0</v>
      </c>
    </row>
    <row r="75" spans="2:27" x14ac:dyDescent="0.25">
      <c r="B75" s="359">
        <v>19</v>
      </c>
      <c r="C75" s="360">
        <f>TREND(C55:C56,B55:B56,B75)</f>
        <v>0</v>
      </c>
      <c r="D75" s="631">
        <f>TREND(D55:D56,B55:B56,B75)</f>
        <v>0</v>
      </c>
      <c r="E75" s="634">
        <f>TREND(E55:E56,B55:B56,B75)</f>
        <v>55</v>
      </c>
      <c r="F75" s="377">
        <f>TREND(F55:F56,B55:B56,B75)</f>
        <v>55</v>
      </c>
      <c r="G75" s="966">
        <f t="shared" si="32"/>
        <v>0</v>
      </c>
      <c r="H75" s="967">
        <f t="shared" si="33"/>
        <v>0</v>
      </c>
      <c r="I75" s="428">
        <f t="shared" si="34"/>
        <v>0</v>
      </c>
      <c r="J75" s="430">
        <f t="shared" si="35"/>
        <v>0</v>
      </c>
      <c r="K75" s="340">
        <f t="shared" si="36"/>
        <v>0</v>
      </c>
      <c r="L75" s="435">
        <f>IF(AND(H75&gt;G75,NOT(OR(TruckLane,Bypass,HOV2to3,HOTConv,OnRamp,RM,AM,IM,TI)),Induced="Y"),(I75-J75)*(H75-G75)*0.5,IF(OR(HOV2to3,HOTConv),TREND(L55:L56,B55:B56,B75),0))*IF(UserAdjInputs,1,VLOOKUP(TMSLookup,TMSAdj,9))</f>
        <v>0</v>
      </c>
      <c r="M75" s="285">
        <f t="shared" si="37"/>
        <v>0</v>
      </c>
      <c r="N75" s="323">
        <f t="shared" si="38"/>
        <v>0</v>
      </c>
      <c r="P75" s="359">
        <v>19</v>
      </c>
      <c r="Q75" s="360">
        <f>TREND(Q55:Q56,P55:P56,P75)</f>
        <v>0</v>
      </c>
      <c r="R75" s="375">
        <f>TREND(R55:R56,P55:P56,P75)</f>
        <v>0</v>
      </c>
      <c r="S75" s="660">
        <f t="shared" si="39"/>
        <v>0</v>
      </c>
      <c r="T75" s="659">
        <f>TREND(T55:T56,P55:P56,P75)</f>
        <v>0</v>
      </c>
      <c r="U75" s="645">
        <f>TREND(U55:U56,P55:P56,P75)</f>
        <v>0</v>
      </c>
      <c r="V75" s="825">
        <v>0</v>
      </c>
      <c r="W75" s="340">
        <f t="shared" si="40"/>
        <v>0</v>
      </c>
      <c r="X75" s="663">
        <f t="shared" si="41"/>
        <v>0</v>
      </c>
      <c r="Y75" s="435">
        <f t="shared" si="42"/>
        <v>0</v>
      </c>
      <c r="Z75" s="285">
        <f t="shared" si="43"/>
        <v>0</v>
      </c>
      <c r="AA75" s="323">
        <f t="shared" si="44"/>
        <v>0</v>
      </c>
    </row>
    <row r="76" spans="2:27" x14ac:dyDescent="0.25">
      <c r="B76" s="357"/>
      <c r="C76" s="355"/>
      <c r="D76" s="355"/>
      <c r="E76" s="355"/>
      <c r="F76" s="355"/>
      <c r="G76" s="356"/>
      <c r="H76" s="356"/>
      <c r="I76" s="356"/>
      <c r="J76" s="356"/>
      <c r="K76" s="356"/>
      <c r="L76" s="356"/>
      <c r="M76" s="356"/>
      <c r="N76" s="358"/>
      <c r="P76" s="357"/>
      <c r="Q76" s="355"/>
      <c r="R76" s="355"/>
      <c r="S76" s="355"/>
      <c r="T76" s="355"/>
      <c r="U76" s="355"/>
      <c r="V76" s="355"/>
      <c r="W76" s="356"/>
      <c r="X76" s="356"/>
      <c r="Y76" s="356"/>
      <c r="Z76" s="356"/>
      <c r="AA76" s="358"/>
    </row>
    <row r="77" spans="2:27" ht="13" x14ac:dyDescent="0.25">
      <c r="B77" s="329" t="s">
        <v>172</v>
      </c>
      <c r="C77" s="330"/>
      <c r="D77" s="331"/>
      <c r="E77" s="331"/>
      <c r="F77" s="331"/>
      <c r="G77" s="331"/>
      <c r="H77" s="331"/>
      <c r="I77" s="331"/>
      <c r="J77" s="331"/>
      <c r="K77" s="331"/>
      <c r="L77" s="332"/>
      <c r="M77" s="341"/>
      <c r="N77" s="342">
        <f>SUM(N55:N75)</f>
        <v>0</v>
      </c>
      <c r="P77" s="329" t="s">
        <v>172</v>
      </c>
      <c r="Q77" s="330"/>
      <c r="R77" s="331"/>
      <c r="S77" s="331"/>
      <c r="T77" s="331"/>
      <c r="U77" s="331"/>
      <c r="V77" s="331"/>
      <c r="W77" s="331"/>
      <c r="X77" s="331"/>
      <c r="Y77" s="332"/>
      <c r="Z77" s="341"/>
      <c r="AA77" s="342">
        <f>SUM(AA55:AA75)</f>
        <v>0</v>
      </c>
    </row>
    <row r="78" spans="2:27" x14ac:dyDescent="0.25">
      <c r="P78" s="275"/>
      <c r="Q78" s="276"/>
      <c r="R78" s="275"/>
      <c r="S78" s="275"/>
      <c r="T78" s="275"/>
      <c r="U78" s="275"/>
      <c r="V78" s="275"/>
      <c r="W78" s="275"/>
      <c r="X78" s="275"/>
      <c r="Y78" s="275"/>
      <c r="Z78" s="275"/>
      <c r="AA78" s="275"/>
    </row>
    <row r="79" spans="2:27" x14ac:dyDescent="0.25">
      <c r="P79" s="36"/>
      <c r="Q79" s="36"/>
      <c r="R79" s="36"/>
      <c r="S79" s="36"/>
      <c r="T79" s="36"/>
      <c r="U79" s="36"/>
      <c r="V79" s="36"/>
      <c r="W79" s="36"/>
      <c r="X79" s="36"/>
      <c r="Y79" s="36"/>
      <c r="Z79" s="36"/>
      <c r="AA79" s="36"/>
    </row>
    <row r="80" spans="2:27" ht="13" x14ac:dyDescent="0.25">
      <c r="B80" s="350" t="s">
        <v>505</v>
      </c>
      <c r="C80" s="88"/>
      <c r="D80" s="88"/>
      <c r="E80" s="88"/>
      <c r="F80" s="88"/>
      <c r="G80" s="309"/>
      <c r="H80" s="309"/>
      <c r="I80" s="88"/>
      <c r="J80" s="309"/>
      <c r="K80" s="309"/>
      <c r="L80" s="88"/>
      <c r="M80" s="88"/>
      <c r="N80" s="88"/>
      <c r="P80" s="350" t="s">
        <v>512</v>
      </c>
      <c r="Q80" s="88"/>
      <c r="R80" s="88"/>
      <c r="S80" s="88"/>
      <c r="T80" s="88"/>
      <c r="U80" s="88"/>
      <c r="V80" s="88"/>
      <c r="W80" s="309"/>
      <c r="X80" s="309"/>
      <c r="Y80" s="88"/>
      <c r="Z80" s="88"/>
      <c r="AA80" s="88"/>
    </row>
    <row r="81" spans="2:27" x14ac:dyDescent="0.25">
      <c r="B81" s="88"/>
      <c r="C81" s="88"/>
      <c r="D81" s="274"/>
      <c r="E81" s="274"/>
      <c r="F81" s="274"/>
      <c r="G81" s="88"/>
      <c r="H81" s="88"/>
      <c r="I81" s="88"/>
      <c r="J81" s="88"/>
      <c r="K81" s="88"/>
      <c r="L81" s="88"/>
      <c r="M81" s="88"/>
      <c r="N81" s="351"/>
      <c r="P81" s="88"/>
      <c r="Q81" s="88"/>
      <c r="R81" s="274"/>
      <c r="S81" s="274"/>
      <c r="T81" s="274"/>
      <c r="U81" s="274"/>
      <c r="V81" s="274"/>
      <c r="W81" s="88"/>
      <c r="X81" s="88"/>
      <c r="Y81" s="88"/>
      <c r="Z81" s="88"/>
      <c r="AA81" s="351"/>
    </row>
    <row r="82" spans="2:27" ht="15.5" x14ac:dyDescent="0.25">
      <c r="B82" s="317"/>
      <c r="C82" s="320" t="s">
        <v>230</v>
      </c>
      <c r="D82" s="361"/>
      <c r="E82" s="320" t="s">
        <v>231</v>
      </c>
      <c r="F82" s="333"/>
      <c r="G82" s="335" t="s">
        <v>234</v>
      </c>
      <c r="H82" s="361"/>
      <c r="I82" s="335" t="s">
        <v>232</v>
      </c>
      <c r="J82" s="321"/>
      <c r="K82" s="437" t="s">
        <v>233</v>
      </c>
      <c r="L82" s="438"/>
      <c r="M82" s="322"/>
      <c r="N82" s="343"/>
      <c r="P82" s="317"/>
      <c r="Q82" s="320" t="s">
        <v>234</v>
      </c>
      <c r="R82" s="361"/>
      <c r="S82" s="333"/>
      <c r="T82" s="335" t="s">
        <v>513</v>
      </c>
      <c r="U82" s="321"/>
      <c r="V82" s="646"/>
      <c r="W82" s="437" t="s">
        <v>233</v>
      </c>
      <c r="X82" s="320"/>
      <c r="Y82" s="438"/>
      <c r="Z82" s="322"/>
      <c r="AA82" s="343"/>
    </row>
    <row r="83" spans="2:27" ht="14" x14ac:dyDescent="0.25">
      <c r="B83" s="318"/>
      <c r="C83" s="287" t="s">
        <v>237</v>
      </c>
      <c r="D83" s="362"/>
      <c r="E83" s="287" t="s">
        <v>238</v>
      </c>
      <c r="F83" s="334"/>
      <c r="G83" s="336" t="s">
        <v>240</v>
      </c>
      <c r="H83" s="362"/>
      <c r="I83" s="336" t="s">
        <v>239</v>
      </c>
      <c r="J83" s="288"/>
      <c r="K83" s="439" t="s">
        <v>552</v>
      </c>
      <c r="L83" s="440"/>
      <c r="M83" s="284"/>
      <c r="N83" s="344"/>
      <c r="P83" s="318"/>
      <c r="Q83" s="287" t="s">
        <v>240</v>
      </c>
      <c r="R83" s="362"/>
      <c r="S83" s="334"/>
      <c r="T83" s="336" t="s">
        <v>239</v>
      </c>
      <c r="U83" s="288"/>
      <c r="V83" s="287"/>
      <c r="W83" s="439" t="s">
        <v>552</v>
      </c>
      <c r="X83" s="287"/>
      <c r="Y83" s="440"/>
      <c r="Z83" s="284"/>
      <c r="AA83" s="344"/>
    </row>
    <row r="84" spans="2:27" ht="14" x14ac:dyDescent="0.25">
      <c r="B84" s="169" t="s">
        <v>135</v>
      </c>
      <c r="C84" s="316"/>
      <c r="D84" s="283"/>
      <c r="E84" s="316"/>
      <c r="F84" s="283"/>
      <c r="G84" s="316"/>
      <c r="H84" s="283"/>
      <c r="I84" s="316"/>
      <c r="J84" s="283"/>
      <c r="K84" s="432" t="s">
        <v>151</v>
      </c>
      <c r="L84" s="283" t="s">
        <v>152</v>
      </c>
      <c r="M84" s="286" t="s">
        <v>242</v>
      </c>
      <c r="N84" s="345" t="s">
        <v>139</v>
      </c>
      <c r="P84" s="169" t="s">
        <v>135</v>
      </c>
      <c r="Q84" s="432"/>
      <c r="R84" s="647"/>
      <c r="S84" s="283" t="s">
        <v>243</v>
      </c>
      <c r="T84" s="432"/>
      <c r="U84" s="647"/>
      <c r="V84" s="283" t="s">
        <v>151</v>
      </c>
      <c r="W84" s="432" t="s">
        <v>151</v>
      </c>
      <c r="X84" s="316" t="s">
        <v>243</v>
      </c>
      <c r="Y84" s="283" t="s">
        <v>152</v>
      </c>
      <c r="Z84" s="286" t="s">
        <v>242</v>
      </c>
      <c r="AA84" s="345" t="s">
        <v>139</v>
      </c>
    </row>
    <row r="85" spans="2:27" ht="14" x14ac:dyDescent="0.25">
      <c r="B85" s="319"/>
      <c r="C85" s="324" t="s">
        <v>0</v>
      </c>
      <c r="D85" s="325" t="s">
        <v>1</v>
      </c>
      <c r="E85" s="324" t="s">
        <v>0</v>
      </c>
      <c r="F85" s="325" t="s">
        <v>1</v>
      </c>
      <c r="G85" s="324" t="s">
        <v>0</v>
      </c>
      <c r="H85" s="325" t="s">
        <v>1</v>
      </c>
      <c r="I85" s="324" t="s">
        <v>0</v>
      </c>
      <c r="J85" s="325" t="s">
        <v>1</v>
      </c>
      <c r="K85" s="441" t="s">
        <v>244</v>
      </c>
      <c r="L85" s="325" t="s">
        <v>245</v>
      </c>
      <c r="M85" s="326" t="s">
        <v>148</v>
      </c>
      <c r="N85" s="346" t="s">
        <v>149</v>
      </c>
      <c r="P85" s="319"/>
      <c r="Q85" s="441" t="s">
        <v>0</v>
      </c>
      <c r="R85" s="648" t="s">
        <v>1</v>
      </c>
      <c r="S85" s="325" t="s">
        <v>246</v>
      </c>
      <c r="T85" s="441" t="s">
        <v>0</v>
      </c>
      <c r="U85" s="648" t="s">
        <v>1</v>
      </c>
      <c r="V85" s="325" t="s">
        <v>129</v>
      </c>
      <c r="W85" s="441" t="s">
        <v>244</v>
      </c>
      <c r="X85" s="324" t="s">
        <v>246</v>
      </c>
      <c r="Y85" s="325" t="s">
        <v>245</v>
      </c>
      <c r="Z85" s="326" t="s">
        <v>148</v>
      </c>
      <c r="AA85" s="346" t="s">
        <v>149</v>
      </c>
    </row>
    <row r="86" spans="2:27" x14ac:dyDescent="0.25">
      <c r="B86" s="327">
        <v>1</v>
      </c>
      <c r="C86" s="348">
        <f>PWV1NB*AnnualFactor</f>
        <v>0</v>
      </c>
      <c r="D86" s="349">
        <f>PWV1B*AnnualFactor</f>
        <v>0</v>
      </c>
      <c r="E86" s="363">
        <f>ROUND(PWS1NB,1)</f>
        <v>55</v>
      </c>
      <c r="F86" s="364">
        <f>ROUND(PWS1B,1)</f>
        <v>55</v>
      </c>
      <c r="G86" s="966">
        <f>C86*IF(OR(HOVConn,HOVDrop),AVOHovNB,AVOPeakNB)</f>
        <v>0</v>
      </c>
      <c r="H86" s="967">
        <f>D86*IF(OR(HOVConn,HOVDrop),AVOHovB,AVOPeakB)</f>
        <v>0</v>
      </c>
      <c r="I86" s="428">
        <f>ImpactedNB/E86</f>
        <v>0</v>
      </c>
      <c r="J86" s="429">
        <f>ImpactedB/F86</f>
        <v>0</v>
      </c>
      <c r="K86" s="433">
        <f>IF(OR(TruckLane,Bypass,HOV2to3,HOTConv,OnRamp,RM,AM,IM,TI),I86*G86-J86*H86,(I86-J86)*MIN(G86,H86))*IF(UserAdjInputs,1,VLOOKUP(TMSLookup,TMSAdj,9))</f>
        <v>0</v>
      </c>
      <c r="L86" s="434">
        <f>IF(AND(H86&gt;G86,NOT(OR(TruckLane,Bypass,HOV2to3,HOTConv,OnRamp,RM,AM,IM,TI)),Induced="Y"),(I86-J86)*(H86-G86)*0.5,0)*IF(UserAdjInputs,1,VLOOKUP(TMSLookup,TMSAdj,9))</f>
        <v>0</v>
      </c>
      <c r="M86" s="285">
        <f>SUM($K86:$L86)*ValTimeAuto*IF(IM,ValTimeIMFactor,1)*(1+TTUprater)^($B86+Construct-1)</f>
        <v>0</v>
      </c>
      <c r="N86" s="323">
        <f>$M86/(1+DiscRate)^($B86+Construct-1)</f>
        <v>0</v>
      </c>
      <c r="P86" s="327">
        <v>1</v>
      </c>
      <c r="Q86" s="895">
        <f>TAPT1NB*(1-TPerPeak)</f>
        <v>0</v>
      </c>
      <c r="R86" s="896">
        <f>TAPT1B*(1-TPerPeak)</f>
        <v>0</v>
      </c>
      <c r="S86" s="650">
        <f>TPerHwy*(R86-Q86)</f>
        <v>0</v>
      </c>
      <c r="T86" s="642">
        <f>TInTimeNBN/60</f>
        <v>0</v>
      </c>
      <c r="U86" s="653">
        <f>TInTimeBN/60</f>
        <v>0</v>
      </c>
      <c r="V86" s="654">
        <f>I210</f>
        <v>0</v>
      </c>
      <c r="W86" s="433">
        <f>MIN(Q86:R86)*(T86-U86)</f>
        <v>0</v>
      </c>
      <c r="X86" s="662">
        <f>S86*(IF(V86+V117*ValTimeOVFactor-U86-U117*ValTimeOVFactor&gt;0,V86-U86,0))</f>
        <v>0</v>
      </c>
      <c r="Y86" s="434">
        <f>IF(AND(R86&gt;Q86,Induced="Y"),(T86-U86)*(R86-Q86-S86)*0.5,0)</f>
        <v>0</v>
      </c>
      <c r="Z86" s="285">
        <f>SUM(W86:Y86)*ValTimeTransit*(1+TTUprater)^($P86+Construct-1)</f>
        <v>0</v>
      </c>
      <c r="AA86" s="323">
        <f>$Z86/(1+DiscRate)^($P86+Construct-1)</f>
        <v>0</v>
      </c>
    </row>
    <row r="87" spans="2:27" x14ac:dyDescent="0.25">
      <c r="B87" s="328">
        <v>20</v>
      </c>
      <c r="C87" s="353">
        <f>PWV20NB*AnnualFactor</f>
        <v>0</v>
      </c>
      <c r="D87" s="354">
        <f>PWV20B*AnnualFactor</f>
        <v>0</v>
      </c>
      <c r="E87" s="365">
        <f>ROUND(PWS20NB,1)</f>
        <v>55</v>
      </c>
      <c r="F87" s="366">
        <f>ROUND(PWS20B,1)</f>
        <v>55</v>
      </c>
      <c r="G87" s="966">
        <f>C87*IF(OR(HOVConn,HOVDrop),AVOHovNB,AVOPeakNB)</f>
        <v>0</v>
      </c>
      <c r="H87" s="967">
        <f>D87*IF(OR(HOVConn,HOVDrop),AVOHovB,AVOPeakB)</f>
        <v>0</v>
      </c>
      <c r="I87" s="428">
        <f>ImpactedNB/E87</f>
        <v>0</v>
      </c>
      <c r="J87" s="430">
        <f>ImpactedB/F87</f>
        <v>0</v>
      </c>
      <c r="K87" s="340">
        <f>IF(OR(TruckLane,Bypass,HOV2to3,HOTConv,OnRamp,RM,AM,IM,TI),I87*G87-J87*H87,(I87-J87)*MIN(G87,H87))*IF(UserAdjInputs,1,VLOOKUP(TMSLookup,TMSAdj,9))</f>
        <v>0</v>
      </c>
      <c r="L87" s="435">
        <f>IF(AND(H87&gt;G87,NOT(OR(TruckLane,Bypass,HOV2to3,HOTConv,OnRamp,RM,AM,IM,TI)),Induced="Y"),(I87-J87)*(H87-G87)*0.5,0)*IF(UserAdjInputs,1,VLOOKUP(TMSLookup,TMSAdj,9))</f>
        <v>0</v>
      </c>
      <c r="M87" s="285">
        <f>SUM($K87:$L87)*ValTimeAuto*IF(IM,ValTimeIMFactor,1)*(1+TTUprater)^($B87+Construct-1)</f>
        <v>0</v>
      </c>
      <c r="N87" s="323">
        <f>$M87/(1+DiscRate)^($B87+Construct-1)</f>
        <v>0</v>
      </c>
      <c r="P87" s="328">
        <v>20</v>
      </c>
      <c r="Q87" s="651">
        <f>TAPT20NB*(1-TPerPeak)</f>
        <v>0</v>
      </c>
      <c r="R87" s="652">
        <f>TAPT20B*(1-TPerPeak)</f>
        <v>0</v>
      </c>
      <c r="S87" s="650">
        <f>TPerHwy*(R87-Q87)</f>
        <v>0</v>
      </c>
      <c r="T87" s="655">
        <f>TInTimeNBN/60</f>
        <v>0</v>
      </c>
      <c r="U87" s="656">
        <f>TInTimeBN/60</f>
        <v>0</v>
      </c>
      <c r="V87" s="654">
        <f>I211</f>
        <v>0</v>
      </c>
      <c r="W87" s="340">
        <f>MIN(Q87:R87)*(T87-U87)</f>
        <v>0</v>
      </c>
      <c r="X87" s="663">
        <f>S87*(IF(V87+V118*ValTimeOVFactor-U87-U118*ValTimeOVFactor&gt;0,V87-U87,0))</f>
        <v>0</v>
      </c>
      <c r="Y87" s="435">
        <f>IF(AND(R87&gt;Q87,Induced="Y"),(T87-U87)*(R87-Q87-S87)*0.5,0)</f>
        <v>0</v>
      </c>
      <c r="Z87" s="285">
        <f>SUM(W87:Y87)*ValTimeTransit*(1+TTUprater)^($P87+Construct-1)</f>
        <v>0</v>
      </c>
      <c r="AA87" s="323">
        <f>$Z87/(1+DiscRate)^($P87+Construct-1)</f>
        <v>0</v>
      </c>
    </row>
    <row r="88" spans="2:27" x14ac:dyDescent="0.25">
      <c r="B88" s="357"/>
      <c r="C88" s="355"/>
      <c r="D88" s="355"/>
      <c r="E88" s="367"/>
      <c r="F88" s="367"/>
      <c r="G88" s="356"/>
      <c r="H88" s="356"/>
      <c r="I88" s="356"/>
      <c r="J88" s="356"/>
      <c r="K88" s="356"/>
      <c r="L88" s="356"/>
      <c r="M88" s="356"/>
      <c r="N88" s="358"/>
      <c r="P88" s="357"/>
      <c r="Q88" s="355"/>
      <c r="R88" s="355"/>
      <c r="S88" s="355"/>
      <c r="T88" s="367"/>
      <c r="U88" s="367"/>
      <c r="V88" s="367"/>
      <c r="W88" s="356"/>
      <c r="X88" s="356"/>
      <c r="Y88" s="356"/>
      <c r="Z88" s="356"/>
      <c r="AA88" s="358"/>
    </row>
    <row r="89" spans="2:27" x14ac:dyDescent="0.25">
      <c r="B89" s="352">
        <v>2</v>
      </c>
      <c r="C89" s="368">
        <f>TREND(C86:C87,B86:B87,B89)</f>
        <v>0</v>
      </c>
      <c r="D89" s="629">
        <f>TREND(D86:D87,B86:B87,B89)</f>
        <v>0</v>
      </c>
      <c r="E89" s="632">
        <f>TREND(E86:E87,B86:B87,B89)</f>
        <v>55</v>
      </c>
      <c r="F89" s="371">
        <f>TREND(F86:F87,B86:B87,B89)</f>
        <v>55</v>
      </c>
      <c r="G89" s="966">
        <f t="shared" ref="G89:G106" si="45">C89*IF(OR(HOVConn,HOVDrop),AVOHovNB,AVOPeakNB)</f>
        <v>0</v>
      </c>
      <c r="H89" s="967">
        <f t="shared" ref="H89:H106" si="46">D89*IF(OR(HOVConn,HOVDrop),AVOHovB,AVOPeakB)</f>
        <v>0</v>
      </c>
      <c r="I89" s="428">
        <f t="shared" ref="I89:I106" si="47">ImpactedNB/E89</f>
        <v>0</v>
      </c>
      <c r="J89" s="429">
        <f t="shared" ref="J89:J106" si="48">ImpactedB/F89</f>
        <v>0</v>
      </c>
      <c r="K89" s="433">
        <f t="shared" ref="K89:K106" si="49">IF(OR(TruckLane,Bypass,HOV2to3,HOTConv,OnRamp,RM,AM,IM,TI),I89*G89-J89*H89,(I89-J89)*MIN(G89,H89))*IF(UserAdjInputs,1,VLOOKUP(TMSLookup,TMSAdj,9))</f>
        <v>0</v>
      </c>
      <c r="L89" s="434">
        <f t="shared" ref="L89:L106" si="50">IF(AND(H89&gt;G89,NOT(OR(TruckLane,Bypass,HOV2to3,HOTConv,OnRamp,RM,AM,IM,TI)),Induced="Y"),(I89-J89)*(H89-G89)*0.5,0)*IF(UserAdjInputs,1,VLOOKUP(TMSLookup,TMSAdj,9))</f>
        <v>0</v>
      </c>
      <c r="M89" s="285">
        <f t="shared" ref="M89:M106" si="51">SUM($K89:$L89)*ValTimeAuto*IF(IM,ValTimeIMFactor,1)*(1+TTUprater)^($B89+Construct-1)</f>
        <v>0</v>
      </c>
      <c r="N89" s="323">
        <f t="shared" ref="N89:N106" si="52">$M89/(1+DiscRate)^($B89+Construct-1)</f>
        <v>0</v>
      </c>
      <c r="P89" s="352">
        <v>2</v>
      </c>
      <c r="Q89" s="368">
        <f>TREND(Q86:Q87,P86:P87,P89)</f>
        <v>0</v>
      </c>
      <c r="R89" s="369">
        <f>TREND(R86:R87,P86:P87,P89)</f>
        <v>0</v>
      </c>
      <c r="S89" s="660">
        <f t="shared" ref="S89:S106" si="53">TPerHwy*(R89-Q89)</f>
        <v>0</v>
      </c>
      <c r="T89" s="657">
        <f>TREND(T86:T87,P86:P87,P89)</f>
        <v>0</v>
      </c>
      <c r="U89" s="643">
        <f>TREND(U86:U87,P86:P87,P89)</f>
        <v>0</v>
      </c>
      <c r="V89" s="661">
        <f t="shared" ref="V89:V106" si="54">I213</f>
        <v>0</v>
      </c>
      <c r="W89" s="433">
        <f t="shared" ref="W89:W106" si="55">MIN(Q89:R89)*(T89-U89)</f>
        <v>0</v>
      </c>
      <c r="X89" s="662">
        <f t="shared" ref="X89:X106" si="56">S89*(IF(V89+V120*ValTimeOVFactor-U89-U120*ValTimeOVFactor&gt;0,V89-U89,0))</f>
        <v>0</v>
      </c>
      <c r="Y89" s="434">
        <f t="shared" ref="Y89:Y106" si="57">IF(AND(R89&gt;Q89,Induced="Y"),(T89-U89)*(R89-Q89-S89)*0.5,0)</f>
        <v>0</v>
      </c>
      <c r="Z89" s="285">
        <f t="shared" ref="Z89:Z106" si="58">SUM(W89:Y89)*ValTimeTransit*(1+TTUprater)^($P89+Construct-1)</f>
        <v>0</v>
      </c>
      <c r="AA89" s="323">
        <f t="shared" ref="AA89:AA106" si="59">$Z89/(1+DiscRate)^($P89+Construct-1)</f>
        <v>0</v>
      </c>
    </row>
    <row r="90" spans="2:27" x14ac:dyDescent="0.25">
      <c r="B90" s="327">
        <v>3</v>
      </c>
      <c r="C90" s="347">
        <f>TREND(C86:C87,B86:B87,B90)</f>
        <v>0</v>
      </c>
      <c r="D90" s="630">
        <f>TREND(D86:D87,B86:B87,B90)</f>
        <v>0</v>
      </c>
      <c r="E90" s="633">
        <f>TREND(E86:E87,B86:B87,B90)</f>
        <v>55</v>
      </c>
      <c r="F90" s="374">
        <f>TREND(F86:F87,B86:B87,B90)</f>
        <v>55</v>
      </c>
      <c r="G90" s="966">
        <f t="shared" si="45"/>
        <v>0</v>
      </c>
      <c r="H90" s="967">
        <f t="shared" si="46"/>
        <v>0</v>
      </c>
      <c r="I90" s="428">
        <f t="shared" si="47"/>
        <v>0</v>
      </c>
      <c r="J90" s="431">
        <f t="shared" si="48"/>
        <v>0</v>
      </c>
      <c r="K90" s="339">
        <f t="shared" si="49"/>
        <v>0</v>
      </c>
      <c r="L90" s="436">
        <f t="shared" si="50"/>
        <v>0</v>
      </c>
      <c r="M90" s="285">
        <f t="shared" si="51"/>
        <v>0</v>
      </c>
      <c r="N90" s="323">
        <f t="shared" si="52"/>
        <v>0</v>
      </c>
      <c r="P90" s="327">
        <v>3</v>
      </c>
      <c r="Q90" s="347">
        <f>TREND(Q86:Q87,P86:P87,P90)</f>
        <v>0</v>
      </c>
      <c r="R90" s="372">
        <f>TREND(R86:R87,P86:P87,P90)</f>
        <v>0</v>
      </c>
      <c r="S90" s="660">
        <f t="shared" si="53"/>
        <v>0</v>
      </c>
      <c r="T90" s="658">
        <f>TREND(T86:T87,P86:P87,P90)</f>
        <v>0</v>
      </c>
      <c r="U90" s="644">
        <f>TREND(U86:U87,P86:P87,P90)</f>
        <v>0</v>
      </c>
      <c r="V90" s="661">
        <f t="shared" si="54"/>
        <v>0</v>
      </c>
      <c r="W90" s="339">
        <f t="shared" si="55"/>
        <v>0</v>
      </c>
      <c r="X90" s="664">
        <f t="shared" si="56"/>
        <v>0</v>
      </c>
      <c r="Y90" s="436">
        <f t="shared" si="57"/>
        <v>0</v>
      </c>
      <c r="Z90" s="285">
        <f t="shared" si="58"/>
        <v>0</v>
      </c>
      <c r="AA90" s="323">
        <f t="shared" si="59"/>
        <v>0</v>
      </c>
    </row>
    <row r="91" spans="2:27" x14ac:dyDescent="0.25">
      <c r="B91" s="327">
        <v>4</v>
      </c>
      <c r="C91" s="347">
        <f>TREND(C86:C87,B86:B87,B91)</f>
        <v>0</v>
      </c>
      <c r="D91" s="630">
        <f>TREND(D86:D87,B86:B87,B91)</f>
        <v>0</v>
      </c>
      <c r="E91" s="633">
        <f>TREND(E86:E87,B86:B87,B91)</f>
        <v>55</v>
      </c>
      <c r="F91" s="374">
        <f>TREND(F86:F87,B86:B87,B91)</f>
        <v>55</v>
      </c>
      <c r="G91" s="966">
        <f t="shared" si="45"/>
        <v>0</v>
      </c>
      <c r="H91" s="967">
        <f t="shared" si="46"/>
        <v>0</v>
      </c>
      <c r="I91" s="428">
        <f t="shared" si="47"/>
        <v>0</v>
      </c>
      <c r="J91" s="431">
        <f t="shared" si="48"/>
        <v>0</v>
      </c>
      <c r="K91" s="339">
        <f t="shared" si="49"/>
        <v>0</v>
      </c>
      <c r="L91" s="436">
        <f t="shared" si="50"/>
        <v>0</v>
      </c>
      <c r="M91" s="285">
        <f t="shared" si="51"/>
        <v>0</v>
      </c>
      <c r="N91" s="323">
        <f t="shared" si="52"/>
        <v>0</v>
      </c>
      <c r="P91" s="327">
        <v>4</v>
      </c>
      <c r="Q91" s="347">
        <f>TREND(Q86:Q87,P86:P87,P91)</f>
        <v>0</v>
      </c>
      <c r="R91" s="372">
        <f>TREND(R86:R87,P86:P87,P91)</f>
        <v>0</v>
      </c>
      <c r="S91" s="660">
        <f t="shared" si="53"/>
        <v>0</v>
      </c>
      <c r="T91" s="658">
        <f>TREND(T86:T87,P86:P87,P91)</f>
        <v>0</v>
      </c>
      <c r="U91" s="644">
        <f>TREND(U86:U87,P86:P87,P91)</f>
        <v>0</v>
      </c>
      <c r="V91" s="661">
        <f t="shared" si="54"/>
        <v>0</v>
      </c>
      <c r="W91" s="339">
        <f t="shared" si="55"/>
        <v>0</v>
      </c>
      <c r="X91" s="664">
        <f t="shared" si="56"/>
        <v>0</v>
      </c>
      <c r="Y91" s="436">
        <f t="shared" si="57"/>
        <v>0</v>
      </c>
      <c r="Z91" s="285">
        <f t="shared" si="58"/>
        <v>0</v>
      </c>
      <c r="AA91" s="323">
        <f t="shared" si="59"/>
        <v>0</v>
      </c>
    </row>
    <row r="92" spans="2:27" x14ac:dyDescent="0.25">
      <c r="B92" s="327">
        <v>5</v>
      </c>
      <c r="C92" s="347">
        <f>TREND(C86:C87,B86:B87,B92)</f>
        <v>0</v>
      </c>
      <c r="D92" s="630">
        <f>TREND(D86:D87,B86:B87,B92)</f>
        <v>0</v>
      </c>
      <c r="E92" s="633">
        <f>TREND(E86:E87,B86:B87,B92)</f>
        <v>55</v>
      </c>
      <c r="F92" s="374">
        <f>TREND(F86:F87,B86:B87,B92)</f>
        <v>55</v>
      </c>
      <c r="G92" s="966">
        <f t="shared" si="45"/>
        <v>0</v>
      </c>
      <c r="H92" s="967">
        <f t="shared" si="46"/>
        <v>0</v>
      </c>
      <c r="I92" s="428">
        <f t="shared" si="47"/>
        <v>0</v>
      </c>
      <c r="J92" s="431">
        <f t="shared" si="48"/>
        <v>0</v>
      </c>
      <c r="K92" s="339">
        <f t="shared" si="49"/>
        <v>0</v>
      </c>
      <c r="L92" s="436">
        <f t="shared" si="50"/>
        <v>0</v>
      </c>
      <c r="M92" s="285">
        <f t="shared" si="51"/>
        <v>0</v>
      </c>
      <c r="N92" s="323">
        <f t="shared" si="52"/>
        <v>0</v>
      </c>
      <c r="P92" s="327">
        <v>5</v>
      </c>
      <c r="Q92" s="347">
        <f>TREND(Q86:Q87,P86:P87,P92)</f>
        <v>0</v>
      </c>
      <c r="R92" s="372">
        <f>TREND(R86:R87,P86:P87,P92)</f>
        <v>0</v>
      </c>
      <c r="S92" s="660">
        <f t="shared" si="53"/>
        <v>0</v>
      </c>
      <c r="T92" s="658">
        <f>TREND(T86:T87,P86:P87,P92)</f>
        <v>0</v>
      </c>
      <c r="U92" s="644">
        <f>TREND(U86:U87,P86:P87,P92)</f>
        <v>0</v>
      </c>
      <c r="V92" s="661">
        <f t="shared" si="54"/>
        <v>0</v>
      </c>
      <c r="W92" s="339">
        <f t="shared" si="55"/>
        <v>0</v>
      </c>
      <c r="X92" s="664">
        <f t="shared" si="56"/>
        <v>0</v>
      </c>
      <c r="Y92" s="436">
        <f t="shared" si="57"/>
        <v>0</v>
      </c>
      <c r="Z92" s="285">
        <f t="shared" si="58"/>
        <v>0</v>
      </c>
      <c r="AA92" s="323">
        <f t="shared" si="59"/>
        <v>0</v>
      </c>
    </row>
    <row r="93" spans="2:27" x14ac:dyDescent="0.25">
      <c r="B93" s="327">
        <v>6</v>
      </c>
      <c r="C93" s="347">
        <f>TREND(C86:C87,B86:B87,B93)</f>
        <v>0</v>
      </c>
      <c r="D93" s="630">
        <f>TREND(D86:D87,B86:B87,B93)</f>
        <v>0</v>
      </c>
      <c r="E93" s="633">
        <f>TREND(E86:E87,B86:B87,B93)</f>
        <v>55</v>
      </c>
      <c r="F93" s="374">
        <f>TREND(F86:F87,B86:B87,B93)</f>
        <v>55</v>
      </c>
      <c r="G93" s="966">
        <f t="shared" si="45"/>
        <v>0</v>
      </c>
      <c r="H93" s="967">
        <f t="shared" si="46"/>
        <v>0</v>
      </c>
      <c r="I93" s="428">
        <f t="shared" si="47"/>
        <v>0</v>
      </c>
      <c r="J93" s="431">
        <f t="shared" si="48"/>
        <v>0</v>
      </c>
      <c r="K93" s="339">
        <f t="shared" si="49"/>
        <v>0</v>
      </c>
      <c r="L93" s="436">
        <f t="shared" si="50"/>
        <v>0</v>
      </c>
      <c r="M93" s="285">
        <f t="shared" si="51"/>
        <v>0</v>
      </c>
      <c r="N93" s="323">
        <f t="shared" si="52"/>
        <v>0</v>
      </c>
      <c r="P93" s="327">
        <v>6</v>
      </c>
      <c r="Q93" s="347">
        <f>TREND(Q86:Q87,P86:P87,P93)</f>
        <v>0</v>
      </c>
      <c r="R93" s="372">
        <f>TREND(R86:R87,P86:P87,P93)</f>
        <v>0</v>
      </c>
      <c r="S93" s="660">
        <f t="shared" si="53"/>
        <v>0</v>
      </c>
      <c r="T93" s="658">
        <f>TREND(T86:T87,P86:P87,P93)</f>
        <v>0</v>
      </c>
      <c r="U93" s="644">
        <f>TREND(U86:U87,P86:P87,P93)</f>
        <v>0</v>
      </c>
      <c r="V93" s="661">
        <f t="shared" si="54"/>
        <v>0</v>
      </c>
      <c r="W93" s="339">
        <f t="shared" si="55"/>
        <v>0</v>
      </c>
      <c r="X93" s="664">
        <f t="shared" si="56"/>
        <v>0</v>
      </c>
      <c r="Y93" s="436">
        <f t="shared" si="57"/>
        <v>0</v>
      </c>
      <c r="Z93" s="285">
        <f t="shared" si="58"/>
        <v>0</v>
      </c>
      <c r="AA93" s="323">
        <f t="shared" si="59"/>
        <v>0</v>
      </c>
    </row>
    <row r="94" spans="2:27" x14ac:dyDescent="0.25">
      <c r="B94" s="327">
        <v>7</v>
      </c>
      <c r="C94" s="347">
        <f>TREND(C86:C87,B86:B87,B94)</f>
        <v>0</v>
      </c>
      <c r="D94" s="630">
        <f>TREND(D86:D87,B86:B87,B94)</f>
        <v>0</v>
      </c>
      <c r="E94" s="633">
        <f>TREND(E86:E87,B86:B87,B94)</f>
        <v>55</v>
      </c>
      <c r="F94" s="374">
        <f>TREND(F86:F87,B86:B87,B94)</f>
        <v>55</v>
      </c>
      <c r="G94" s="966">
        <f t="shared" si="45"/>
        <v>0</v>
      </c>
      <c r="H94" s="967">
        <f t="shared" si="46"/>
        <v>0</v>
      </c>
      <c r="I94" s="428">
        <f t="shared" si="47"/>
        <v>0</v>
      </c>
      <c r="J94" s="431">
        <f t="shared" si="48"/>
        <v>0</v>
      </c>
      <c r="K94" s="339">
        <f t="shared" si="49"/>
        <v>0</v>
      </c>
      <c r="L94" s="436">
        <f t="shared" si="50"/>
        <v>0</v>
      </c>
      <c r="M94" s="285">
        <f t="shared" si="51"/>
        <v>0</v>
      </c>
      <c r="N94" s="323">
        <f t="shared" si="52"/>
        <v>0</v>
      </c>
      <c r="P94" s="327">
        <v>7</v>
      </c>
      <c r="Q94" s="347">
        <f>TREND(Q86:Q87,P86:P87,P94)</f>
        <v>0</v>
      </c>
      <c r="R94" s="372">
        <f>TREND(R86:R87,P86:P87,P94)</f>
        <v>0</v>
      </c>
      <c r="S94" s="660">
        <f t="shared" si="53"/>
        <v>0</v>
      </c>
      <c r="T94" s="658">
        <f>TREND(T86:T87,P86:P87,P94)</f>
        <v>0</v>
      </c>
      <c r="U94" s="644">
        <f>TREND(U86:U87,P86:P87,P94)</f>
        <v>0</v>
      </c>
      <c r="V94" s="661">
        <f t="shared" si="54"/>
        <v>0</v>
      </c>
      <c r="W94" s="339">
        <f t="shared" si="55"/>
        <v>0</v>
      </c>
      <c r="X94" s="664">
        <f t="shared" si="56"/>
        <v>0</v>
      </c>
      <c r="Y94" s="436">
        <f t="shared" si="57"/>
        <v>0</v>
      </c>
      <c r="Z94" s="285">
        <f t="shared" si="58"/>
        <v>0</v>
      </c>
      <c r="AA94" s="323">
        <f t="shared" si="59"/>
        <v>0</v>
      </c>
    </row>
    <row r="95" spans="2:27" x14ac:dyDescent="0.25">
      <c r="B95" s="327">
        <v>8</v>
      </c>
      <c r="C95" s="347">
        <f>TREND(C86:C87,B86:B87,B95)</f>
        <v>0</v>
      </c>
      <c r="D95" s="630">
        <f>TREND(D86:D87,B86:B87,B95)</f>
        <v>0</v>
      </c>
      <c r="E95" s="633">
        <f>TREND(E86:E87,B86:B87,B95)</f>
        <v>55</v>
      </c>
      <c r="F95" s="374">
        <f>TREND(F86:F87,B86:B87,B95)</f>
        <v>55</v>
      </c>
      <c r="G95" s="966">
        <f t="shared" si="45"/>
        <v>0</v>
      </c>
      <c r="H95" s="967">
        <f t="shared" si="46"/>
        <v>0</v>
      </c>
      <c r="I95" s="428">
        <f t="shared" si="47"/>
        <v>0</v>
      </c>
      <c r="J95" s="431">
        <f t="shared" si="48"/>
        <v>0</v>
      </c>
      <c r="K95" s="339">
        <f t="shared" si="49"/>
        <v>0</v>
      </c>
      <c r="L95" s="436">
        <f t="shared" si="50"/>
        <v>0</v>
      </c>
      <c r="M95" s="285">
        <f t="shared" si="51"/>
        <v>0</v>
      </c>
      <c r="N95" s="323">
        <f t="shared" si="52"/>
        <v>0</v>
      </c>
      <c r="P95" s="327">
        <v>8</v>
      </c>
      <c r="Q95" s="347">
        <f>TREND(Q86:Q87,P86:P87,P95)</f>
        <v>0</v>
      </c>
      <c r="R95" s="372">
        <f>TREND(R86:R87,P86:P87,P95)</f>
        <v>0</v>
      </c>
      <c r="S95" s="660">
        <f t="shared" si="53"/>
        <v>0</v>
      </c>
      <c r="T95" s="658">
        <f>TREND(T86:T87,P86:P87,P95)</f>
        <v>0</v>
      </c>
      <c r="U95" s="644">
        <f>TREND(U86:U87,P86:P87,P95)</f>
        <v>0</v>
      </c>
      <c r="V95" s="661">
        <f t="shared" si="54"/>
        <v>0</v>
      </c>
      <c r="W95" s="339">
        <f t="shared" si="55"/>
        <v>0</v>
      </c>
      <c r="X95" s="664">
        <f t="shared" si="56"/>
        <v>0</v>
      </c>
      <c r="Y95" s="436">
        <f t="shared" si="57"/>
        <v>0</v>
      </c>
      <c r="Z95" s="285">
        <f t="shared" si="58"/>
        <v>0</v>
      </c>
      <c r="AA95" s="323">
        <f t="shared" si="59"/>
        <v>0</v>
      </c>
    </row>
    <row r="96" spans="2:27" x14ac:dyDescent="0.25">
      <c r="B96" s="327">
        <v>9</v>
      </c>
      <c r="C96" s="347">
        <f>TREND(C86:C87,B86:B87,B96)</f>
        <v>0</v>
      </c>
      <c r="D96" s="630">
        <f>TREND(D86:D87,B86:B87,B96)</f>
        <v>0</v>
      </c>
      <c r="E96" s="633">
        <f>TREND(E86:E87,B86:B87,B96)</f>
        <v>55</v>
      </c>
      <c r="F96" s="374">
        <f>TREND(F86:F87,B86:B87,B96)</f>
        <v>55</v>
      </c>
      <c r="G96" s="966">
        <f t="shared" si="45"/>
        <v>0</v>
      </c>
      <c r="H96" s="967">
        <f t="shared" si="46"/>
        <v>0</v>
      </c>
      <c r="I96" s="428">
        <f t="shared" si="47"/>
        <v>0</v>
      </c>
      <c r="J96" s="431">
        <f t="shared" si="48"/>
        <v>0</v>
      </c>
      <c r="K96" s="339">
        <f t="shared" si="49"/>
        <v>0</v>
      </c>
      <c r="L96" s="436">
        <f t="shared" si="50"/>
        <v>0</v>
      </c>
      <c r="M96" s="285">
        <f t="shared" si="51"/>
        <v>0</v>
      </c>
      <c r="N96" s="323">
        <f t="shared" si="52"/>
        <v>0</v>
      </c>
      <c r="P96" s="327">
        <v>9</v>
      </c>
      <c r="Q96" s="347">
        <f>TREND(Q86:Q87,P86:P87,P96)</f>
        <v>0</v>
      </c>
      <c r="R96" s="372">
        <f>TREND(R86:R87,P86:P87,P96)</f>
        <v>0</v>
      </c>
      <c r="S96" s="660">
        <f t="shared" si="53"/>
        <v>0</v>
      </c>
      <c r="T96" s="658">
        <f>TREND(T86:T87,P86:P87,P96)</f>
        <v>0</v>
      </c>
      <c r="U96" s="644">
        <f>TREND(U86:U87,P86:P87,P96)</f>
        <v>0</v>
      </c>
      <c r="V96" s="661">
        <f t="shared" si="54"/>
        <v>0</v>
      </c>
      <c r="W96" s="339">
        <f t="shared" si="55"/>
        <v>0</v>
      </c>
      <c r="X96" s="664">
        <f t="shared" si="56"/>
        <v>0</v>
      </c>
      <c r="Y96" s="436">
        <f t="shared" si="57"/>
        <v>0</v>
      </c>
      <c r="Z96" s="285">
        <f t="shared" si="58"/>
        <v>0</v>
      </c>
      <c r="AA96" s="323">
        <f t="shared" si="59"/>
        <v>0</v>
      </c>
    </row>
    <row r="97" spans="2:27" x14ac:dyDescent="0.25">
      <c r="B97" s="327">
        <v>10</v>
      </c>
      <c r="C97" s="347">
        <f>TREND(C86:C87,B86:B87,B97)</f>
        <v>0</v>
      </c>
      <c r="D97" s="630">
        <f>TREND(D86:D87,B86:B87,B97)</f>
        <v>0</v>
      </c>
      <c r="E97" s="633">
        <f>TREND(E86:E87,B86:B87,B97)</f>
        <v>55</v>
      </c>
      <c r="F97" s="374">
        <f>TREND(F86:F87,B86:B87,B97)</f>
        <v>55</v>
      </c>
      <c r="G97" s="966">
        <f t="shared" si="45"/>
        <v>0</v>
      </c>
      <c r="H97" s="967">
        <f t="shared" si="46"/>
        <v>0</v>
      </c>
      <c r="I97" s="428">
        <f t="shared" si="47"/>
        <v>0</v>
      </c>
      <c r="J97" s="431">
        <f t="shared" si="48"/>
        <v>0</v>
      </c>
      <c r="K97" s="339">
        <f t="shared" si="49"/>
        <v>0</v>
      </c>
      <c r="L97" s="436">
        <f t="shared" si="50"/>
        <v>0</v>
      </c>
      <c r="M97" s="285">
        <f t="shared" si="51"/>
        <v>0</v>
      </c>
      <c r="N97" s="323">
        <f t="shared" si="52"/>
        <v>0</v>
      </c>
      <c r="P97" s="327">
        <v>10</v>
      </c>
      <c r="Q97" s="347">
        <f>TREND(Q86:Q87,P86:P87,P97)</f>
        <v>0</v>
      </c>
      <c r="R97" s="372">
        <f>TREND(R86:R87,P86:P87,P97)</f>
        <v>0</v>
      </c>
      <c r="S97" s="660">
        <f t="shared" si="53"/>
        <v>0</v>
      </c>
      <c r="T97" s="658">
        <f>TREND(T86:T87,P86:P87,P97)</f>
        <v>0</v>
      </c>
      <c r="U97" s="644">
        <f>TREND(U86:U87,P86:P87,P97)</f>
        <v>0</v>
      </c>
      <c r="V97" s="661">
        <f t="shared" si="54"/>
        <v>0</v>
      </c>
      <c r="W97" s="339">
        <f t="shared" si="55"/>
        <v>0</v>
      </c>
      <c r="X97" s="664">
        <f t="shared" si="56"/>
        <v>0</v>
      </c>
      <c r="Y97" s="436">
        <f t="shared" si="57"/>
        <v>0</v>
      </c>
      <c r="Z97" s="285">
        <f t="shared" si="58"/>
        <v>0</v>
      </c>
      <c r="AA97" s="323">
        <f t="shared" si="59"/>
        <v>0</v>
      </c>
    </row>
    <row r="98" spans="2:27" x14ac:dyDescent="0.25">
      <c r="B98" s="327">
        <v>11</v>
      </c>
      <c r="C98" s="347">
        <f>TREND(C86:C87,B86:B87,B98)</f>
        <v>0</v>
      </c>
      <c r="D98" s="630">
        <f>TREND(D86:D87,B86:B87,B98)</f>
        <v>0</v>
      </c>
      <c r="E98" s="633">
        <f>TREND(E86:E87,B86:B87,B98)</f>
        <v>55</v>
      </c>
      <c r="F98" s="374">
        <f>TREND(F86:F87,B86:B87,B98)</f>
        <v>55</v>
      </c>
      <c r="G98" s="966">
        <f t="shared" si="45"/>
        <v>0</v>
      </c>
      <c r="H98" s="967">
        <f t="shared" si="46"/>
        <v>0</v>
      </c>
      <c r="I98" s="428">
        <f t="shared" si="47"/>
        <v>0</v>
      </c>
      <c r="J98" s="431">
        <f t="shared" si="48"/>
        <v>0</v>
      </c>
      <c r="K98" s="339">
        <f t="shared" si="49"/>
        <v>0</v>
      </c>
      <c r="L98" s="436">
        <f t="shared" si="50"/>
        <v>0</v>
      </c>
      <c r="M98" s="285">
        <f t="shared" si="51"/>
        <v>0</v>
      </c>
      <c r="N98" s="323">
        <f t="shared" si="52"/>
        <v>0</v>
      </c>
      <c r="P98" s="327">
        <v>11</v>
      </c>
      <c r="Q98" s="347">
        <f>TREND(Q86:Q87,P86:P87,P98)</f>
        <v>0</v>
      </c>
      <c r="R98" s="372">
        <f>TREND(R86:R87,P86:P87,P98)</f>
        <v>0</v>
      </c>
      <c r="S98" s="660">
        <f t="shared" si="53"/>
        <v>0</v>
      </c>
      <c r="T98" s="658">
        <f>TREND(T86:T87,P86:P87,P98)</f>
        <v>0</v>
      </c>
      <c r="U98" s="644">
        <f>TREND(U86:U87,P86:P87,P98)</f>
        <v>0</v>
      </c>
      <c r="V98" s="661">
        <f t="shared" si="54"/>
        <v>0</v>
      </c>
      <c r="W98" s="339">
        <f t="shared" si="55"/>
        <v>0</v>
      </c>
      <c r="X98" s="664">
        <f t="shared" si="56"/>
        <v>0</v>
      </c>
      <c r="Y98" s="436">
        <f t="shared" si="57"/>
        <v>0</v>
      </c>
      <c r="Z98" s="285">
        <f t="shared" si="58"/>
        <v>0</v>
      </c>
      <c r="AA98" s="323">
        <f t="shared" si="59"/>
        <v>0</v>
      </c>
    </row>
    <row r="99" spans="2:27" x14ac:dyDescent="0.25">
      <c r="B99" s="327">
        <v>12</v>
      </c>
      <c r="C99" s="347">
        <f>TREND(C86:C87,B86:B87,B99)</f>
        <v>0</v>
      </c>
      <c r="D99" s="630">
        <f>TREND(D86:D87,B86:B87,B99)</f>
        <v>0</v>
      </c>
      <c r="E99" s="633">
        <f>TREND(E86:E87,B86:B87,B99)</f>
        <v>55</v>
      </c>
      <c r="F99" s="374">
        <f>TREND(F86:F87,B86:B87,B99)</f>
        <v>55</v>
      </c>
      <c r="G99" s="966">
        <f t="shared" si="45"/>
        <v>0</v>
      </c>
      <c r="H99" s="967">
        <f t="shared" si="46"/>
        <v>0</v>
      </c>
      <c r="I99" s="428">
        <f t="shared" si="47"/>
        <v>0</v>
      </c>
      <c r="J99" s="431">
        <f t="shared" si="48"/>
        <v>0</v>
      </c>
      <c r="K99" s="339">
        <f t="shared" si="49"/>
        <v>0</v>
      </c>
      <c r="L99" s="436">
        <f t="shared" si="50"/>
        <v>0</v>
      </c>
      <c r="M99" s="285">
        <f t="shared" si="51"/>
        <v>0</v>
      </c>
      <c r="N99" s="323">
        <f t="shared" si="52"/>
        <v>0</v>
      </c>
      <c r="P99" s="327">
        <v>12</v>
      </c>
      <c r="Q99" s="347">
        <f>TREND(Q86:Q87,P86:P87,P99)</f>
        <v>0</v>
      </c>
      <c r="R99" s="372">
        <f>TREND(R86:R87,P86:P87,P99)</f>
        <v>0</v>
      </c>
      <c r="S99" s="660">
        <f t="shared" si="53"/>
        <v>0</v>
      </c>
      <c r="T99" s="658">
        <f>TREND(T86:T87,P86:P87,P99)</f>
        <v>0</v>
      </c>
      <c r="U99" s="644">
        <f>TREND(U86:U87,P86:P87,P99)</f>
        <v>0</v>
      </c>
      <c r="V99" s="661">
        <f t="shared" si="54"/>
        <v>0</v>
      </c>
      <c r="W99" s="339">
        <f t="shared" si="55"/>
        <v>0</v>
      </c>
      <c r="X99" s="664">
        <f t="shared" si="56"/>
        <v>0</v>
      </c>
      <c r="Y99" s="436">
        <f t="shared" si="57"/>
        <v>0</v>
      </c>
      <c r="Z99" s="285">
        <f t="shared" si="58"/>
        <v>0</v>
      </c>
      <c r="AA99" s="323">
        <f t="shared" si="59"/>
        <v>0</v>
      </c>
    </row>
    <row r="100" spans="2:27" x14ac:dyDescent="0.25">
      <c r="B100" s="327">
        <v>13</v>
      </c>
      <c r="C100" s="347">
        <f>TREND(C86:C87,B86:B87,B100)</f>
        <v>0</v>
      </c>
      <c r="D100" s="630">
        <f>TREND(D86:D87,B86:B87,B100)</f>
        <v>0</v>
      </c>
      <c r="E100" s="633">
        <f>TREND(E86:E87,B86:B87,B100)</f>
        <v>55</v>
      </c>
      <c r="F100" s="374">
        <f>TREND(F86:F87,B86:B87,B100)</f>
        <v>55</v>
      </c>
      <c r="G100" s="966">
        <f t="shared" si="45"/>
        <v>0</v>
      </c>
      <c r="H100" s="967">
        <f t="shared" si="46"/>
        <v>0</v>
      </c>
      <c r="I100" s="428">
        <f t="shared" si="47"/>
        <v>0</v>
      </c>
      <c r="J100" s="431">
        <f t="shared" si="48"/>
        <v>0</v>
      </c>
      <c r="K100" s="339">
        <f t="shared" si="49"/>
        <v>0</v>
      </c>
      <c r="L100" s="436">
        <f t="shared" si="50"/>
        <v>0</v>
      </c>
      <c r="M100" s="285">
        <f t="shared" si="51"/>
        <v>0</v>
      </c>
      <c r="N100" s="323">
        <f t="shared" si="52"/>
        <v>0</v>
      </c>
      <c r="P100" s="327">
        <v>13</v>
      </c>
      <c r="Q100" s="347">
        <f>TREND(Q86:Q87,P86:P87,P100)</f>
        <v>0</v>
      </c>
      <c r="R100" s="372">
        <f>TREND(R86:R87,P86:P87,P100)</f>
        <v>0</v>
      </c>
      <c r="S100" s="660">
        <f t="shared" si="53"/>
        <v>0</v>
      </c>
      <c r="T100" s="658">
        <f>TREND(T86:T87,P86:P87,P100)</f>
        <v>0</v>
      </c>
      <c r="U100" s="644">
        <f>TREND(U86:U87,P86:P87,P100)</f>
        <v>0</v>
      </c>
      <c r="V100" s="661">
        <f t="shared" si="54"/>
        <v>0</v>
      </c>
      <c r="W100" s="339">
        <f t="shared" si="55"/>
        <v>0</v>
      </c>
      <c r="X100" s="664">
        <f t="shared" si="56"/>
        <v>0</v>
      </c>
      <c r="Y100" s="436">
        <f t="shared" si="57"/>
        <v>0</v>
      </c>
      <c r="Z100" s="285">
        <f t="shared" si="58"/>
        <v>0</v>
      </c>
      <c r="AA100" s="323">
        <f t="shared" si="59"/>
        <v>0</v>
      </c>
    </row>
    <row r="101" spans="2:27" x14ac:dyDescent="0.25">
      <c r="B101" s="327">
        <v>14</v>
      </c>
      <c r="C101" s="347">
        <f>TREND(C86:C87,B86:B87,B101)</f>
        <v>0</v>
      </c>
      <c r="D101" s="630">
        <f>TREND(D86:D87,B86:B87,B101)</f>
        <v>0</v>
      </c>
      <c r="E101" s="633">
        <f>TREND(E86:E87,B86:B87,B101)</f>
        <v>55</v>
      </c>
      <c r="F101" s="374">
        <f>TREND(F86:F87,B86:B87,B101)</f>
        <v>55</v>
      </c>
      <c r="G101" s="966">
        <f t="shared" si="45"/>
        <v>0</v>
      </c>
      <c r="H101" s="967">
        <f t="shared" si="46"/>
        <v>0</v>
      </c>
      <c r="I101" s="428">
        <f t="shared" si="47"/>
        <v>0</v>
      </c>
      <c r="J101" s="431">
        <f t="shared" si="48"/>
        <v>0</v>
      </c>
      <c r="K101" s="339">
        <f t="shared" si="49"/>
        <v>0</v>
      </c>
      <c r="L101" s="436">
        <f t="shared" si="50"/>
        <v>0</v>
      </c>
      <c r="M101" s="285">
        <f t="shared" si="51"/>
        <v>0</v>
      </c>
      <c r="N101" s="323">
        <f t="shared" si="52"/>
        <v>0</v>
      </c>
      <c r="P101" s="327">
        <v>14</v>
      </c>
      <c r="Q101" s="347">
        <f>TREND(Q86:Q87,P86:P87,P101)</f>
        <v>0</v>
      </c>
      <c r="R101" s="372">
        <f>TREND(R86:R87,P86:P87,P101)</f>
        <v>0</v>
      </c>
      <c r="S101" s="660">
        <f t="shared" si="53"/>
        <v>0</v>
      </c>
      <c r="T101" s="658">
        <f>TREND(T86:T87,P86:P87,P101)</f>
        <v>0</v>
      </c>
      <c r="U101" s="644">
        <f>TREND(U86:U87,P86:P87,P101)</f>
        <v>0</v>
      </c>
      <c r="V101" s="661">
        <f t="shared" si="54"/>
        <v>0</v>
      </c>
      <c r="W101" s="339">
        <f t="shared" si="55"/>
        <v>0</v>
      </c>
      <c r="X101" s="664">
        <f t="shared" si="56"/>
        <v>0</v>
      </c>
      <c r="Y101" s="436">
        <f t="shared" si="57"/>
        <v>0</v>
      </c>
      <c r="Z101" s="285">
        <f t="shared" si="58"/>
        <v>0</v>
      </c>
      <c r="AA101" s="323">
        <f t="shared" si="59"/>
        <v>0</v>
      </c>
    </row>
    <row r="102" spans="2:27" x14ac:dyDescent="0.25">
      <c r="B102" s="327">
        <v>15</v>
      </c>
      <c r="C102" s="347">
        <f>TREND(C86:C87,B86:B87,B102)</f>
        <v>0</v>
      </c>
      <c r="D102" s="630">
        <f>TREND(D86:D87,B86:B87,B102)</f>
        <v>0</v>
      </c>
      <c r="E102" s="633">
        <f>TREND(E86:E87,B86:B87,B102)</f>
        <v>55</v>
      </c>
      <c r="F102" s="374">
        <f>TREND(F86:F87,B86:B87,B102)</f>
        <v>55</v>
      </c>
      <c r="G102" s="966">
        <f t="shared" si="45"/>
        <v>0</v>
      </c>
      <c r="H102" s="967">
        <f t="shared" si="46"/>
        <v>0</v>
      </c>
      <c r="I102" s="428">
        <f t="shared" si="47"/>
        <v>0</v>
      </c>
      <c r="J102" s="431">
        <f t="shared" si="48"/>
        <v>0</v>
      </c>
      <c r="K102" s="339">
        <f t="shared" si="49"/>
        <v>0</v>
      </c>
      <c r="L102" s="436">
        <f t="shared" si="50"/>
        <v>0</v>
      </c>
      <c r="M102" s="285">
        <f t="shared" si="51"/>
        <v>0</v>
      </c>
      <c r="N102" s="323">
        <f t="shared" si="52"/>
        <v>0</v>
      </c>
      <c r="P102" s="327">
        <v>15</v>
      </c>
      <c r="Q102" s="347">
        <f>TREND(Q86:Q87,P86:P87,P102)</f>
        <v>0</v>
      </c>
      <c r="R102" s="372">
        <f>TREND(R86:R87,P86:P87,P102)</f>
        <v>0</v>
      </c>
      <c r="S102" s="660">
        <f t="shared" si="53"/>
        <v>0</v>
      </c>
      <c r="T102" s="658">
        <f>TREND(T86:T87,P86:P87,P102)</f>
        <v>0</v>
      </c>
      <c r="U102" s="644">
        <f>TREND(U86:U87,P86:P87,P102)</f>
        <v>0</v>
      </c>
      <c r="V102" s="661">
        <f t="shared" si="54"/>
        <v>0</v>
      </c>
      <c r="W102" s="339">
        <f t="shared" si="55"/>
        <v>0</v>
      </c>
      <c r="X102" s="664">
        <f t="shared" si="56"/>
        <v>0</v>
      </c>
      <c r="Y102" s="436">
        <f t="shared" si="57"/>
        <v>0</v>
      </c>
      <c r="Z102" s="285">
        <f t="shared" si="58"/>
        <v>0</v>
      </c>
      <c r="AA102" s="323">
        <f t="shared" si="59"/>
        <v>0</v>
      </c>
    </row>
    <row r="103" spans="2:27" x14ac:dyDescent="0.25">
      <c r="B103" s="327">
        <v>16</v>
      </c>
      <c r="C103" s="347">
        <f>TREND(C86:C87,B86:B87,B103)</f>
        <v>0</v>
      </c>
      <c r="D103" s="630">
        <f>TREND(D86:D87,B86:B87,B103)</f>
        <v>0</v>
      </c>
      <c r="E103" s="633">
        <f>TREND(E86:E87,B86:B87,B103)</f>
        <v>55</v>
      </c>
      <c r="F103" s="374">
        <f>TREND(F86:F87,B86:B87,B103)</f>
        <v>55</v>
      </c>
      <c r="G103" s="966">
        <f t="shared" si="45"/>
        <v>0</v>
      </c>
      <c r="H103" s="967">
        <f t="shared" si="46"/>
        <v>0</v>
      </c>
      <c r="I103" s="428">
        <f t="shared" si="47"/>
        <v>0</v>
      </c>
      <c r="J103" s="431">
        <f t="shared" si="48"/>
        <v>0</v>
      </c>
      <c r="K103" s="339">
        <f t="shared" si="49"/>
        <v>0</v>
      </c>
      <c r="L103" s="436">
        <f t="shared" si="50"/>
        <v>0</v>
      </c>
      <c r="M103" s="285">
        <f t="shared" si="51"/>
        <v>0</v>
      </c>
      <c r="N103" s="323">
        <f t="shared" si="52"/>
        <v>0</v>
      </c>
      <c r="P103" s="327">
        <v>16</v>
      </c>
      <c r="Q103" s="347">
        <f>TREND(Q86:Q87,P86:P87,P103)</f>
        <v>0</v>
      </c>
      <c r="R103" s="372">
        <f>TREND(R86:R87,P86:P87,P103)</f>
        <v>0</v>
      </c>
      <c r="S103" s="660">
        <f t="shared" si="53"/>
        <v>0</v>
      </c>
      <c r="T103" s="658">
        <f>TREND(T86:T87,P86:P87,P103)</f>
        <v>0</v>
      </c>
      <c r="U103" s="644">
        <f>TREND(U86:U87,P86:P87,P103)</f>
        <v>0</v>
      </c>
      <c r="V103" s="661">
        <f t="shared" si="54"/>
        <v>0</v>
      </c>
      <c r="W103" s="339">
        <f t="shared" si="55"/>
        <v>0</v>
      </c>
      <c r="X103" s="664">
        <f t="shared" si="56"/>
        <v>0</v>
      </c>
      <c r="Y103" s="436">
        <f t="shared" si="57"/>
        <v>0</v>
      </c>
      <c r="Z103" s="285">
        <f t="shared" si="58"/>
        <v>0</v>
      </c>
      <c r="AA103" s="323">
        <f t="shared" si="59"/>
        <v>0</v>
      </c>
    </row>
    <row r="104" spans="2:27" x14ac:dyDescent="0.25">
      <c r="B104" s="327">
        <v>17</v>
      </c>
      <c r="C104" s="347">
        <f>TREND(C86:C87,B86:B87,B104)</f>
        <v>0</v>
      </c>
      <c r="D104" s="630">
        <f>TREND(D86:D87,B86:B87,B104)</f>
        <v>0</v>
      </c>
      <c r="E104" s="633">
        <f>TREND(E86:E87,B86:B87,B104)</f>
        <v>55</v>
      </c>
      <c r="F104" s="374">
        <f>TREND(F86:F87,B86:B87,B104)</f>
        <v>55</v>
      </c>
      <c r="G104" s="966">
        <f t="shared" si="45"/>
        <v>0</v>
      </c>
      <c r="H104" s="967">
        <f t="shared" si="46"/>
        <v>0</v>
      </c>
      <c r="I104" s="428">
        <f t="shared" si="47"/>
        <v>0</v>
      </c>
      <c r="J104" s="431">
        <f t="shared" si="48"/>
        <v>0</v>
      </c>
      <c r="K104" s="339">
        <f t="shared" si="49"/>
        <v>0</v>
      </c>
      <c r="L104" s="436">
        <f t="shared" si="50"/>
        <v>0</v>
      </c>
      <c r="M104" s="285">
        <f t="shared" si="51"/>
        <v>0</v>
      </c>
      <c r="N104" s="323">
        <f t="shared" si="52"/>
        <v>0</v>
      </c>
      <c r="P104" s="327">
        <v>17</v>
      </c>
      <c r="Q104" s="347">
        <f>TREND(Q86:Q87,P86:P87,P104)</f>
        <v>0</v>
      </c>
      <c r="R104" s="372">
        <f>TREND(R86:R87,P86:P87,P104)</f>
        <v>0</v>
      </c>
      <c r="S104" s="660">
        <f t="shared" si="53"/>
        <v>0</v>
      </c>
      <c r="T104" s="658">
        <f>TREND(T86:T87,P86:P87,P104)</f>
        <v>0</v>
      </c>
      <c r="U104" s="644">
        <f>TREND(U86:U87,P86:P87,P104)</f>
        <v>0</v>
      </c>
      <c r="V104" s="661">
        <f t="shared" si="54"/>
        <v>0</v>
      </c>
      <c r="W104" s="339">
        <f t="shared" si="55"/>
        <v>0</v>
      </c>
      <c r="X104" s="664">
        <f t="shared" si="56"/>
        <v>0</v>
      </c>
      <c r="Y104" s="436">
        <f t="shared" si="57"/>
        <v>0</v>
      </c>
      <c r="Z104" s="285">
        <f t="shared" si="58"/>
        <v>0</v>
      </c>
      <c r="AA104" s="323">
        <f t="shared" si="59"/>
        <v>0</v>
      </c>
    </row>
    <row r="105" spans="2:27" x14ac:dyDescent="0.25">
      <c r="B105" s="327">
        <v>18</v>
      </c>
      <c r="C105" s="347">
        <f>TREND(C86:C87,B86:B87,B105)</f>
        <v>0</v>
      </c>
      <c r="D105" s="630">
        <f>TREND(D86:D87,B86:B87,B105)</f>
        <v>0</v>
      </c>
      <c r="E105" s="633">
        <f>TREND(E86:E87,B86:B87,B105)</f>
        <v>55</v>
      </c>
      <c r="F105" s="374">
        <f>TREND(F86:F87,B86:B87,B105)</f>
        <v>55</v>
      </c>
      <c r="G105" s="966">
        <f t="shared" si="45"/>
        <v>0</v>
      </c>
      <c r="H105" s="967">
        <f t="shared" si="46"/>
        <v>0</v>
      </c>
      <c r="I105" s="428">
        <f t="shared" si="47"/>
        <v>0</v>
      </c>
      <c r="J105" s="431">
        <f t="shared" si="48"/>
        <v>0</v>
      </c>
      <c r="K105" s="339">
        <f t="shared" si="49"/>
        <v>0</v>
      </c>
      <c r="L105" s="436">
        <f t="shared" si="50"/>
        <v>0</v>
      </c>
      <c r="M105" s="285">
        <f t="shared" si="51"/>
        <v>0</v>
      </c>
      <c r="N105" s="323">
        <f t="shared" si="52"/>
        <v>0</v>
      </c>
      <c r="P105" s="327">
        <v>18</v>
      </c>
      <c r="Q105" s="347">
        <f>TREND(Q86:Q87,P86:P87,P105)</f>
        <v>0</v>
      </c>
      <c r="R105" s="372">
        <f>TREND(R86:R87,P86:P87,P105)</f>
        <v>0</v>
      </c>
      <c r="S105" s="660">
        <f t="shared" si="53"/>
        <v>0</v>
      </c>
      <c r="T105" s="658">
        <f>TREND(T86:T87,P86:P87,P105)</f>
        <v>0</v>
      </c>
      <c r="U105" s="644">
        <f>TREND(U86:U87,P86:P87,P105)</f>
        <v>0</v>
      </c>
      <c r="V105" s="661">
        <f t="shared" si="54"/>
        <v>0</v>
      </c>
      <c r="W105" s="339">
        <f t="shared" si="55"/>
        <v>0</v>
      </c>
      <c r="X105" s="664">
        <f t="shared" si="56"/>
        <v>0</v>
      </c>
      <c r="Y105" s="436">
        <f t="shared" si="57"/>
        <v>0</v>
      </c>
      <c r="Z105" s="285">
        <f t="shared" si="58"/>
        <v>0</v>
      </c>
      <c r="AA105" s="323">
        <f t="shared" si="59"/>
        <v>0</v>
      </c>
    </row>
    <row r="106" spans="2:27" x14ac:dyDescent="0.25">
      <c r="B106" s="359">
        <v>19</v>
      </c>
      <c r="C106" s="360">
        <f>TREND(C86:C87,B86:B87,B106)</f>
        <v>0</v>
      </c>
      <c r="D106" s="631">
        <f>TREND(D86:D87,B86:B87,B106)</f>
        <v>0</v>
      </c>
      <c r="E106" s="634">
        <f>TREND(E86:E87,B86:B87,B106)</f>
        <v>55</v>
      </c>
      <c r="F106" s="377">
        <f>TREND(F86:F87,B86:B87,B106)</f>
        <v>55</v>
      </c>
      <c r="G106" s="966">
        <f t="shared" si="45"/>
        <v>0</v>
      </c>
      <c r="H106" s="967">
        <f t="shared" si="46"/>
        <v>0</v>
      </c>
      <c r="I106" s="428">
        <f t="shared" si="47"/>
        <v>0</v>
      </c>
      <c r="J106" s="430">
        <f t="shared" si="48"/>
        <v>0</v>
      </c>
      <c r="K106" s="340">
        <f t="shared" si="49"/>
        <v>0</v>
      </c>
      <c r="L106" s="435">
        <f t="shared" si="50"/>
        <v>0</v>
      </c>
      <c r="M106" s="285">
        <f t="shared" si="51"/>
        <v>0</v>
      </c>
      <c r="N106" s="323">
        <f t="shared" si="52"/>
        <v>0</v>
      </c>
      <c r="P106" s="359">
        <v>19</v>
      </c>
      <c r="Q106" s="360">
        <f>TREND(Q86:Q87,P86:P87,P106)</f>
        <v>0</v>
      </c>
      <c r="R106" s="375">
        <f>TREND(R86:R87,P86:P87,P106)</f>
        <v>0</v>
      </c>
      <c r="S106" s="660">
        <f t="shared" si="53"/>
        <v>0</v>
      </c>
      <c r="T106" s="659">
        <f>TREND(T86:T87,P86:P87,P106)</f>
        <v>0</v>
      </c>
      <c r="U106" s="645">
        <f>TREND(U86:U87,P86:P87,P106)</f>
        <v>0</v>
      </c>
      <c r="V106" s="661">
        <f t="shared" si="54"/>
        <v>0</v>
      </c>
      <c r="W106" s="340">
        <f t="shared" si="55"/>
        <v>0</v>
      </c>
      <c r="X106" s="663">
        <f t="shared" si="56"/>
        <v>0</v>
      </c>
      <c r="Y106" s="435">
        <f t="shared" si="57"/>
        <v>0</v>
      </c>
      <c r="Z106" s="285">
        <f t="shared" si="58"/>
        <v>0</v>
      </c>
      <c r="AA106" s="323">
        <f t="shared" si="59"/>
        <v>0</v>
      </c>
    </row>
    <row r="107" spans="2:27" x14ac:dyDescent="0.25">
      <c r="B107" s="357"/>
      <c r="C107" s="355"/>
      <c r="D107" s="355"/>
      <c r="E107" s="355"/>
      <c r="F107" s="355"/>
      <c r="G107" s="356"/>
      <c r="H107" s="356"/>
      <c r="I107" s="356"/>
      <c r="J107" s="356"/>
      <c r="K107" s="356"/>
      <c r="L107" s="356"/>
      <c r="M107" s="356"/>
      <c r="N107" s="358"/>
      <c r="P107" s="357"/>
      <c r="Q107" s="355"/>
      <c r="R107" s="355"/>
      <c r="S107" s="355"/>
      <c r="T107" s="355"/>
      <c r="U107" s="355"/>
      <c r="V107" s="355"/>
      <c r="W107" s="356"/>
      <c r="X107" s="356"/>
      <c r="Y107" s="356"/>
      <c r="Z107" s="356"/>
      <c r="AA107" s="358"/>
    </row>
    <row r="108" spans="2:27" ht="13" x14ac:dyDescent="0.25">
      <c r="B108" s="329" t="s">
        <v>172</v>
      </c>
      <c r="C108" s="330"/>
      <c r="D108" s="331"/>
      <c r="E108" s="331"/>
      <c r="F108" s="331"/>
      <c r="G108" s="331"/>
      <c r="H108" s="331"/>
      <c r="I108" s="331"/>
      <c r="J108" s="331"/>
      <c r="K108" s="331"/>
      <c r="L108" s="332"/>
      <c r="M108" s="341"/>
      <c r="N108" s="342">
        <f>SUM(N86:N106)</f>
        <v>0</v>
      </c>
      <c r="P108" s="329" t="s">
        <v>172</v>
      </c>
      <c r="Q108" s="330"/>
      <c r="R108" s="331"/>
      <c r="S108" s="331"/>
      <c r="T108" s="331"/>
      <c r="U108" s="331"/>
      <c r="V108" s="331"/>
      <c r="W108" s="331"/>
      <c r="X108" s="331"/>
      <c r="Y108" s="332"/>
      <c r="Z108" s="341"/>
      <c r="AA108" s="342">
        <f>SUM(AA86:AA106)</f>
        <v>0</v>
      </c>
    </row>
    <row r="109" spans="2:27" x14ac:dyDescent="0.25">
      <c r="P109" s="448"/>
      <c r="Q109" s="448"/>
      <c r="R109" s="449"/>
      <c r="S109" s="449"/>
      <c r="T109" s="449"/>
      <c r="U109" s="449"/>
      <c r="V109" s="449"/>
      <c r="W109" s="450"/>
      <c r="X109" s="450"/>
      <c r="Y109" s="450"/>
      <c r="Z109" s="450"/>
      <c r="AA109" s="450"/>
    </row>
    <row r="110" spans="2:27" x14ac:dyDescent="0.25">
      <c r="P110" s="448"/>
      <c r="Q110" s="448"/>
      <c r="R110" s="449"/>
      <c r="S110" s="449"/>
      <c r="T110" s="449"/>
      <c r="U110" s="449"/>
      <c r="V110" s="449"/>
      <c r="W110" s="450"/>
      <c r="X110" s="450"/>
      <c r="Y110" s="450"/>
      <c r="Z110" s="450"/>
      <c r="AA110" s="450"/>
    </row>
    <row r="111" spans="2:27" ht="13" x14ac:dyDescent="0.25">
      <c r="B111" s="350" t="s">
        <v>253</v>
      </c>
      <c r="C111" s="88"/>
      <c r="D111" s="88"/>
      <c r="E111" s="88"/>
      <c r="F111" s="88"/>
      <c r="G111" s="309"/>
      <c r="H111" s="309"/>
      <c r="I111" s="88"/>
      <c r="J111" s="309"/>
      <c r="K111" s="309"/>
      <c r="L111" s="88"/>
      <c r="M111" s="88"/>
      <c r="N111" s="88"/>
      <c r="P111" s="350" t="s">
        <v>520</v>
      </c>
      <c r="Q111" s="88"/>
      <c r="R111" s="88"/>
      <c r="S111" s="88"/>
      <c r="T111" s="88"/>
      <c r="U111" s="88"/>
      <c r="V111" s="88"/>
      <c r="W111" s="309"/>
      <c r="X111" s="309"/>
      <c r="Y111" s="88"/>
      <c r="Z111" s="88"/>
      <c r="AA111" s="88"/>
    </row>
    <row r="112" spans="2:27" x14ac:dyDescent="0.25">
      <c r="B112" s="88"/>
      <c r="C112" s="88"/>
      <c r="D112" s="274"/>
      <c r="E112" s="274"/>
      <c r="F112" s="274"/>
      <c r="G112" s="88"/>
      <c r="H112" s="88"/>
      <c r="I112" s="88"/>
      <c r="J112" s="88"/>
      <c r="K112" s="88"/>
      <c r="L112" s="88"/>
      <c r="M112" s="88"/>
      <c r="N112" s="351"/>
      <c r="P112" s="88"/>
      <c r="Q112" s="88"/>
      <c r="R112" s="274"/>
      <c r="S112" s="274"/>
      <c r="T112" s="274"/>
      <c r="U112" s="274"/>
      <c r="V112" s="274"/>
      <c r="W112" s="88"/>
      <c r="X112" s="88"/>
      <c r="Y112" s="88"/>
      <c r="Z112" s="88"/>
      <c r="AA112" s="351"/>
    </row>
    <row r="113" spans="2:27" ht="15.5" x14ac:dyDescent="0.25">
      <c r="B113" s="317"/>
      <c r="C113" s="320" t="s">
        <v>230</v>
      </c>
      <c r="D113" s="361"/>
      <c r="E113" s="320" t="s">
        <v>231</v>
      </c>
      <c r="F113" s="333"/>
      <c r="G113" s="335" t="s">
        <v>234</v>
      </c>
      <c r="H113" s="361"/>
      <c r="I113" s="335" t="s">
        <v>232</v>
      </c>
      <c r="J113" s="321"/>
      <c r="K113" s="437" t="s">
        <v>233</v>
      </c>
      <c r="L113" s="438"/>
      <c r="M113" s="322"/>
      <c r="N113" s="343"/>
      <c r="P113" s="317"/>
      <c r="Q113" s="320" t="s">
        <v>234</v>
      </c>
      <c r="R113" s="361"/>
      <c r="S113" s="333"/>
      <c r="T113" s="335" t="s">
        <v>519</v>
      </c>
      <c r="U113" s="321"/>
      <c r="V113" s="646"/>
      <c r="W113" s="437" t="s">
        <v>233</v>
      </c>
      <c r="X113" s="320"/>
      <c r="Y113" s="438"/>
      <c r="Z113" s="322"/>
      <c r="AA113" s="343"/>
    </row>
    <row r="114" spans="2:27" ht="14" x14ac:dyDescent="0.25">
      <c r="B114" s="318"/>
      <c r="C114" s="287" t="s">
        <v>237</v>
      </c>
      <c r="D114" s="362"/>
      <c r="E114" s="287" t="s">
        <v>238</v>
      </c>
      <c r="F114" s="334"/>
      <c r="G114" s="336" t="s">
        <v>240</v>
      </c>
      <c r="H114" s="362"/>
      <c r="I114" s="336" t="s">
        <v>239</v>
      </c>
      <c r="J114" s="288"/>
      <c r="K114" s="439" t="s">
        <v>552</v>
      </c>
      <c r="L114" s="440"/>
      <c r="M114" s="284"/>
      <c r="N114" s="344"/>
      <c r="P114" s="318"/>
      <c r="Q114" s="287" t="s">
        <v>240</v>
      </c>
      <c r="R114" s="362"/>
      <c r="S114" s="334"/>
      <c r="T114" s="336" t="s">
        <v>239</v>
      </c>
      <c r="U114" s="288"/>
      <c r="V114" s="287"/>
      <c r="W114" s="439" t="s">
        <v>552</v>
      </c>
      <c r="X114" s="287"/>
      <c r="Y114" s="440"/>
      <c r="Z114" s="284"/>
      <c r="AA114" s="344"/>
    </row>
    <row r="115" spans="2:27" ht="14" x14ac:dyDescent="0.25">
      <c r="B115" s="169" t="s">
        <v>135</v>
      </c>
      <c r="C115" s="316"/>
      <c r="D115" s="283"/>
      <c r="E115" s="316"/>
      <c r="F115" s="283"/>
      <c r="G115" s="316"/>
      <c r="H115" s="283"/>
      <c r="I115" s="316"/>
      <c r="J115" s="283"/>
      <c r="K115" s="432" t="s">
        <v>151</v>
      </c>
      <c r="L115" s="283" t="s">
        <v>152</v>
      </c>
      <c r="M115" s="286" t="s">
        <v>242</v>
      </c>
      <c r="N115" s="345" t="s">
        <v>139</v>
      </c>
      <c r="P115" s="169" t="s">
        <v>135</v>
      </c>
      <c r="Q115" s="432"/>
      <c r="R115" s="647"/>
      <c r="S115" s="283" t="s">
        <v>243</v>
      </c>
      <c r="T115" s="432"/>
      <c r="U115" s="647"/>
      <c r="V115" s="283" t="s">
        <v>151</v>
      </c>
      <c r="W115" s="432" t="s">
        <v>151</v>
      </c>
      <c r="X115" s="316" t="s">
        <v>243</v>
      </c>
      <c r="Y115" s="283" t="s">
        <v>152</v>
      </c>
      <c r="Z115" s="286" t="s">
        <v>242</v>
      </c>
      <c r="AA115" s="345" t="s">
        <v>139</v>
      </c>
    </row>
    <row r="116" spans="2:27" ht="14" x14ac:dyDescent="0.25">
      <c r="B116" s="319"/>
      <c r="C116" s="324" t="s">
        <v>0</v>
      </c>
      <c r="D116" s="325" t="s">
        <v>1</v>
      </c>
      <c r="E116" s="324" t="s">
        <v>0</v>
      </c>
      <c r="F116" s="325" t="s">
        <v>1</v>
      </c>
      <c r="G116" s="324" t="s">
        <v>0</v>
      </c>
      <c r="H116" s="325" t="s">
        <v>1</v>
      </c>
      <c r="I116" s="324" t="s">
        <v>0</v>
      </c>
      <c r="J116" s="325" t="s">
        <v>1</v>
      </c>
      <c r="K116" s="441" t="s">
        <v>244</v>
      </c>
      <c r="L116" s="325" t="s">
        <v>245</v>
      </c>
      <c r="M116" s="326" t="s">
        <v>148</v>
      </c>
      <c r="N116" s="346" t="s">
        <v>149</v>
      </c>
      <c r="P116" s="319"/>
      <c r="Q116" s="441" t="s">
        <v>0</v>
      </c>
      <c r="R116" s="648" t="s">
        <v>1</v>
      </c>
      <c r="S116" s="325" t="s">
        <v>246</v>
      </c>
      <c r="T116" s="441" t="s">
        <v>0</v>
      </c>
      <c r="U116" s="648" t="s">
        <v>1</v>
      </c>
      <c r="V116" s="325" t="s">
        <v>129</v>
      </c>
      <c r="W116" s="441" t="s">
        <v>244</v>
      </c>
      <c r="X116" s="324" t="s">
        <v>246</v>
      </c>
      <c r="Y116" s="325" t="s">
        <v>245</v>
      </c>
      <c r="Z116" s="326" t="s">
        <v>148</v>
      </c>
      <c r="AA116" s="346" t="s">
        <v>149</v>
      </c>
    </row>
    <row r="117" spans="2:27" x14ac:dyDescent="0.25">
      <c r="B117" s="327">
        <v>1</v>
      </c>
      <c r="C117" s="348">
        <f>PTV1NB*AnnualFactor</f>
        <v>0</v>
      </c>
      <c r="D117" s="349">
        <f>PTV1B*AnnualFactor</f>
        <v>0</v>
      </c>
      <c r="E117" s="363">
        <f>ROUND(PTS1NB,1)</f>
        <v>55</v>
      </c>
      <c r="F117" s="364">
        <f>ROUND(PTS1B,1)</f>
        <v>55</v>
      </c>
      <c r="G117" s="966">
        <f>C117</f>
        <v>0</v>
      </c>
      <c r="H117" s="967">
        <f>D117</f>
        <v>0</v>
      </c>
      <c r="I117" s="428">
        <f>ImpactedNB/E117</f>
        <v>0</v>
      </c>
      <c r="J117" s="429">
        <f>ImpactedB/F117</f>
        <v>0</v>
      </c>
      <c r="K117" s="433">
        <f>IF(OR(TruckLane,Bypass,HOV2to3,HOTConv,OnRamp,RM,AM,IM,TI),I117*G117-J117*H117,(I117-J117)*MIN(G117,H117))*IF(UserAdjInputs,1,VLOOKUP(TMSLookup,TMSAdj,9))</f>
        <v>0</v>
      </c>
      <c r="L117" s="434">
        <f>IF(AND(H117&gt;G117,NOT(OR(TruckLane,Bypass,HOV2to3,HOTConv,OnRamp,RM,AM,IM,TI)),Induced="Y"),(I117-J117)*(H117-G117)*0.5,IF(OR(HOV2to3,HOTConv),(I117-((1-PerIndHOV)*J117+PerIndHOV*J24))*PTT1Ind*IF(Induced="Y",-0.5,-1),0))*IF(UserAdjInputs,1,VLOOKUP(TMSLookup,TMSAdj,9))</f>
        <v>0</v>
      </c>
      <c r="M117" s="285">
        <f>SUM($K117:$L117)*ValTimeTruck*IF(IM,ValTimeIMFactor,1)*(1+TTUprater)^($B117+Construct-1)</f>
        <v>0</v>
      </c>
      <c r="N117" s="323">
        <f>$M117/(1+DiscRate)^($B117+Construct-1)</f>
        <v>0</v>
      </c>
      <c r="P117" s="327">
        <v>1</v>
      </c>
      <c r="Q117" s="895">
        <f>TAPT1NB*(1-TPerPeak)</f>
        <v>0</v>
      </c>
      <c r="R117" s="896">
        <f>TAPT1B*(1-TPerPeak)</f>
        <v>0</v>
      </c>
      <c r="S117" s="650">
        <f>TPerHwy*(R117-Q117)</f>
        <v>0</v>
      </c>
      <c r="T117" s="642">
        <f>TOutTimeNBN/60</f>
        <v>0</v>
      </c>
      <c r="U117" s="653">
        <f>TOutTimeBN/60</f>
        <v>0</v>
      </c>
      <c r="V117" s="825">
        <v>0</v>
      </c>
      <c r="W117" s="433">
        <f>MIN(Q117:R117)*(T117-U117)</f>
        <v>0</v>
      </c>
      <c r="X117" s="662">
        <f>S117*(IF(V86+V117*ValTimeOVFactor-U86-U117*ValTimeOVFactor&gt;0&gt;0,V117-U117,0))</f>
        <v>0</v>
      </c>
      <c r="Y117" s="434">
        <f>IF(AND(R117&gt;Q117,Induced="Y"),(T117-U117)*(R117-Q117-S117)*0.5,0)</f>
        <v>0</v>
      </c>
      <c r="Z117" s="285">
        <f>SUM(W117:Y117)*ValTimeTransit*ValTimeOVFactor*(1+TTUprater)^($P117+Construct-1)</f>
        <v>0</v>
      </c>
      <c r="AA117" s="323">
        <f>$Z117/(1+DiscRate)^($P117+Construct-1)</f>
        <v>0</v>
      </c>
    </row>
    <row r="118" spans="2:27" x14ac:dyDescent="0.25">
      <c r="B118" s="328">
        <v>20</v>
      </c>
      <c r="C118" s="353">
        <f>PTV20NB*AnnualFactor</f>
        <v>0</v>
      </c>
      <c r="D118" s="354">
        <f>PTV20B*AnnualFactor</f>
        <v>0</v>
      </c>
      <c r="E118" s="365">
        <f>ROUND(PTS20NB,1)</f>
        <v>55</v>
      </c>
      <c r="F118" s="366">
        <f>ROUND(PTS20B,1)</f>
        <v>55</v>
      </c>
      <c r="G118" s="966">
        <f>C118</f>
        <v>0</v>
      </c>
      <c r="H118" s="967">
        <f>D118</f>
        <v>0</v>
      </c>
      <c r="I118" s="428">
        <f>ImpactedNB/E118</f>
        <v>0</v>
      </c>
      <c r="J118" s="430">
        <f>ImpactedB/F118</f>
        <v>0</v>
      </c>
      <c r="K118" s="340">
        <f>IF(OR(TruckLane,Bypass,HOV2to3,HOTConv,OnRamp,RM,AM,IM,TI),I118*G118-J118*H118,(I118-J118)*MIN(G118,H118))*IF(UserAdjInputs,1,VLOOKUP(TMSLookup,TMSAdj,9))</f>
        <v>0</v>
      </c>
      <c r="L118" s="435">
        <f>IF(AND(H118&gt;G118,NOT(OR(TruckLane,Bypass,HOV2to3,HOTConv,OnRamp,RM,AM,IM,TI)),Induced="Y"),(I118-J118)*(H118-G118)*0.5,IF(OR(HOV2to3,HOTConv),(I118-((1-PerIndHOV)*J118+PerIndHOV*J25))*PTT20Ind*IF(Induced="Y",-0.5,-1),0))*IF(UserAdjInputs,1,VLOOKUP(TMSLookup,TMSAdj,9))</f>
        <v>0</v>
      </c>
      <c r="M118" s="285">
        <f>SUM($K118:$L118)*ValTimeTruck*IF(IM,ValTimeIMFactor,1)*(1+TTUprater)^($B118+Construct-1)</f>
        <v>0</v>
      </c>
      <c r="N118" s="323">
        <f>$M118/(1+DiscRate)^($B118+Construct-1)</f>
        <v>0</v>
      </c>
      <c r="P118" s="328">
        <v>20</v>
      </c>
      <c r="Q118" s="651">
        <f>TAPT20NB*(1-TPerPeak)</f>
        <v>0</v>
      </c>
      <c r="R118" s="652">
        <f>TAPT20B*(1-TPerPeak)</f>
        <v>0</v>
      </c>
      <c r="S118" s="650">
        <f>TPerHwy*(R118-Q118)</f>
        <v>0</v>
      </c>
      <c r="T118" s="655">
        <f>TOutTimeNBN/60</f>
        <v>0</v>
      </c>
      <c r="U118" s="656">
        <f>TOutTimeBN/60</f>
        <v>0</v>
      </c>
      <c r="V118" s="825">
        <v>0</v>
      </c>
      <c r="W118" s="340">
        <f>MIN(Q118:R118)*(T118-U118)</f>
        <v>0</v>
      </c>
      <c r="X118" s="663">
        <f>S118*(IF(V87+V118*ValTimeOVFactor-U87-U118*ValTimeOVFactor&gt;0&gt;0,V118-U118,0))</f>
        <v>0</v>
      </c>
      <c r="Y118" s="435">
        <f>IF(AND(R118&gt;Q118,Induced="Y"),(T118-U118)*(R118-Q118-S118)*0.5,0)</f>
        <v>0</v>
      </c>
      <c r="Z118" s="285">
        <f>SUM(W118:Y118)*ValTimeTransit*ValTimeOVFactor*(1+TTUprater)^($P118+Construct-1)</f>
        <v>0</v>
      </c>
      <c r="AA118" s="323">
        <f>$Z118/(1+DiscRate)^($P118+Construct-1)</f>
        <v>0</v>
      </c>
    </row>
    <row r="119" spans="2:27" x14ac:dyDescent="0.25">
      <c r="B119" s="357"/>
      <c r="C119" s="355"/>
      <c r="D119" s="355"/>
      <c r="E119" s="367"/>
      <c r="F119" s="367"/>
      <c r="G119" s="356"/>
      <c r="H119" s="356"/>
      <c r="I119" s="356"/>
      <c r="J119" s="356"/>
      <c r="K119" s="356"/>
      <c r="L119" s="356"/>
      <c r="M119" s="356"/>
      <c r="N119" s="358"/>
      <c r="P119" s="357"/>
      <c r="Q119" s="355"/>
      <c r="R119" s="355"/>
      <c r="S119" s="355"/>
      <c r="T119" s="367"/>
      <c r="U119" s="367"/>
      <c r="V119" s="367"/>
      <c r="W119" s="356"/>
      <c r="X119" s="356"/>
      <c r="Y119" s="356"/>
      <c r="Z119" s="356"/>
      <c r="AA119" s="358"/>
    </row>
    <row r="120" spans="2:27" x14ac:dyDescent="0.25">
      <c r="B120" s="352">
        <v>2</v>
      </c>
      <c r="C120" s="368">
        <f>TREND(C117:C118,B117:B118,B120)</f>
        <v>0</v>
      </c>
      <c r="D120" s="629">
        <f>TREND(D117:D118,B117:B118,B120)</f>
        <v>0</v>
      </c>
      <c r="E120" s="632">
        <f>TREND(E117:E118,B117:B118,B120)</f>
        <v>55</v>
      </c>
      <c r="F120" s="371">
        <f>TREND(F117:F118,B117:B118,B120)</f>
        <v>55</v>
      </c>
      <c r="G120" s="966">
        <f>C120</f>
        <v>0</v>
      </c>
      <c r="H120" s="967">
        <f>D120</f>
        <v>0</v>
      </c>
      <c r="I120" s="428">
        <f t="shared" ref="I120:I137" si="60">ImpactedNB/E120</f>
        <v>0</v>
      </c>
      <c r="J120" s="429">
        <f t="shared" ref="J120:J137" si="61">ImpactedB/F120</f>
        <v>0</v>
      </c>
      <c r="K120" s="433">
        <f t="shared" ref="K120:K137" si="62">IF(OR(TruckLane,Bypass,HOV2to3,HOTConv,OnRamp,RM,AM,IM,TI),I120*G120-J120*H120,(I120-J120)*MIN(G120,H120))*IF(UserAdjInputs,1,VLOOKUP(TMSLookup,TMSAdj,9))</f>
        <v>0</v>
      </c>
      <c r="L120" s="434">
        <f>IF(AND(H120&gt;G120,NOT(OR(TruckLane,Bypass,HOV2to3,HOTConv,OnRamp,RM,AM,IM,TI)),Induced="Y"),(I120-J120)*(H120-G120)*0.5,IF(OR(HOV2to3,HOTConv),TREND(L117:L118,B117:B118,B120),0))*IF(UserAdjInputs,1,VLOOKUP(TMSLookup,TMSAdj,9))</f>
        <v>0</v>
      </c>
      <c r="M120" s="285">
        <f t="shared" ref="M120:M137" si="63">SUM($K120:$L120)*ValTimeTruck*IF(IM,ValTimeIMFactor,1)*(1+TTUprater)^($B120+Construct-1)</f>
        <v>0</v>
      </c>
      <c r="N120" s="323">
        <f t="shared" ref="N120:N137" si="64">$M120/(1+DiscRate)^($B120+Construct-1)</f>
        <v>0</v>
      </c>
      <c r="P120" s="352">
        <v>2</v>
      </c>
      <c r="Q120" s="368">
        <f>TREND(Q117:Q118,P117:P118,P120)</f>
        <v>0</v>
      </c>
      <c r="R120" s="369">
        <f>TREND(R117:R118,P117:P118,P120)</f>
        <v>0</v>
      </c>
      <c r="S120" s="660">
        <f t="shared" ref="S120:S137" si="65">TPerHwy*(R120-Q120)</f>
        <v>0</v>
      </c>
      <c r="T120" s="657">
        <f>TREND(T117:T118,P117:P118,P120)</f>
        <v>0</v>
      </c>
      <c r="U120" s="643">
        <f>TREND(U117:U118,P117:P118,P120)</f>
        <v>0</v>
      </c>
      <c r="V120" s="825">
        <v>0</v>
      </c>
      <c r="W120" s="433">
        <f t="shared" ref="W120:W137" si="66">MIN(Q120:R120)*(T120-U120)</f>
        <v>0</v>
      </c>
      <c r="X120" s="662">
        <f t="shared" ref="X120:X137" si="67">S120*(IF(V89+V120*ValTimeOVFactor-U89-U120*ValTimeOVFactor&gt;0&gt;0,V120-U120,0))</f>
        <v>0</v>
      </c>
      <c r="Y120" s="434">
        <f t="shared" ref="Y120:Y137" si="68">IF(AND(R120&gt;Q120,Induced="Y"),(T120-U120)*(R120-Q120-S120)*0.5,0)</f>
        <v>0</v>
      </c>
      <c r="Z120" s="285">
        <f t="shared" ref="Z120:Z137" si="69">SUM(W120:Y120)*ValTimeTransit*ValTimeOVFactor*(1+TTUprater)^($P120+Construct-1)</f>
        <v>0</v>
      </c>
      <c r="AA120" s="323">
        <f t="shared" ref="AA120:AA137" si="70">$Z120/(1+DiscRate)^($P120+Construct-1)</f>
        <v>0</v>
      </c>
    </row>
    <row r="121" spans="2:27" x14ac:dyDescent="0.25">
      <c r="B121" s="327">
        <v>3</v>
      </c>
      <c r="C121" s="347">
        <f>TREND(C117:C118,B117:B118,B121)</f>
        <v>0</v>
      </c>
      <c r="D121" s="630">
        <f>TREND(D117:D118,B117:B118,B121)</f>
        <v>0</v>
      </c>
      <c r="E121" s="633">
        <f>TREND(E117:E118,B117:B118,B121)</f>
        <v>55</v>
      </c>
      <c r="F121" s="374">
        <f>TREND(F117:F118,B117:B118,B121)</f>
        <v>55</v>
      </c>
      <c r="G121" s="966">
        <f t="shared" ref="G121:G137" si="71">C121</f>
        <v>0</v>
      </c>
      <c r="H121" s="967">
        <f t="shared" ref="H121:H137" si="72">D121</f>
        <v>0</v>
      </c>
      <c r="I121" s="428">
        <f t="shared" si="60"/>
        <v>0</v>
      </c>
      <c r="J121" s="431">
        <f t="shared" si="61"/>
        <v>0</v>
      </c>
      <c r="K121" s="339">
        <f t="shared" si="62"/>
        <v>0</v>
      </c>
      <c r="L121" s="436">
        <f>IF(AND(H121&gt;G121,NOT(OR(TruckLane,Bypass,HOV2to3,HOTConv,OnRamp,RM,AM,IM,TI)),Induced="Y"),(I121-J121)*(H121-G121)*0.5,IF(OR(HOV2to3,HOTConv),TREND(L117:L118,B117:B118,B121),0))*IF(UserAdjInputs,1,VLOOKUP(TMSLookup,TMSAdj,9))</f>
        <v>0</v>
      </c>
      <c r="M121" s="285">
        <f t="shared" si="63"/>
        <v>0</v>
      </c>
      <c r="N121" s="323">
        <f t="shared" si="64"/>
        <v>0</v>
      </c>
      <c r="P121" s="327">
        <v>3</v>
      </c>
      <c r="Q121" s="347">
        <f>TREND(Q117:Q118,P117:P118,P121)</f>
        <v>0</v>
      </c>
      <c r="R121" s="372">
        <f>TREND(R117:R118,P117:P118,P121)</f>
        <v>0</v>
      </c>
      <c r="S121" s="660">
        <f t="shared" si="65"/>
        <v>0</v>
      </c>
      <c r="T121" s="658">
        <f>TREND(T117:T118,P117:P118,P121)</f>
        <v>0</v>
      </c>
      <c r="U121" s="644">
        <f>TREND(U117:U118,P117:P118,P121)</f>
        <v>0</v>
      </c>
      <c r="V121" s="825">
        <v>0</v>
      </c>
      <c r="W121" s="339">
        <f t="shared" si="66"/>
        <v>0</v>
      </c>
      <c r="X121" s="664">
        <f t="shared" si="67"/>
        <v>0</v>
      </c>
      <c r="Y121" s="436">
        <f t="shared" si="68"/>
        <v>0</v>
      </c>
      <c r="Z121" s="285">
        <f t="shared" si="69"/>
        <v>0</v>
      </c>
      <c r="AA121" s="323">
        <f t="shared" si="70"/>
        <v>0</v>
      </c>
    </row>
    <row r="122" spans="2:27" x14ac:dyDescent="0.25">
      <c r="B122" s="327">
        <v>4</v>
      </c>
      <c r="C122" s="347">
        <f>TREND(C117:C118,B117:B118,B122)</f>
        <v>0</v>
      </c>
      <c r="D122" s="630">
        <f>TREND(D117:D118,B117:B118,B122)</f>
        <v>0</v>
      </c>
      <c r="E122" s="633">
        <f>TREND(E117:E118,B117:B118,B122)</f>
        <v>55</v>
      </c>
      <c r="F122" s="374">
        <f>TREND(F117:F118,B117:B118,B122)</f>
        <v>55</v>
      </c>
      <c r="G122" s="966">
        <f t="shared" si="71"/>
        <v>0</v>
      </c>
      <c r="H122" s="967">
        <f t="shared" si="72"/>
        <v>0</v>
      </c>
      <c r="I122" s="428">
        <f t="shared" si="60"/>
        <v>0</v>
      </c>
      <c r="J122" s="431">
        <f t="shared" si="61"/>
        <v>0</v>
      </c>
      <c r="K122" s="339">
        <f t="shared" si="62"/>
        <v>0</v>
      </c>
      <c r="L122" s="436">
        <f>IF(AND(H122&gt;G122,NOT(OR(TruckLane,Bypass,HOV2to3,HOTConv,OnRamp,RM,AM,IM,TI)),Induced="Y"),(I122-J122)*(H122-G122)*0.5,IF(OR(HOV2to3,HOTConv),TREND(L117:L118,B117:B118,B122),0))*IF(UserAdjInputs,1,VLOOKUP(TMSLookup,TMSAdj,9))</f>
        <v>0</v>
      </c>
      <c r="M122" s="285">
        <f t="shared" si="63"/>
        <v>0</v>
      </c>
      <c r="N122" s="323">
        <f t="shared" si="64"/>
        <v>0</v>
      </c>
      <c r="P122" s="327">
        <v>4</v>
      </c>
      <c r="Q122" s="347">
        <f>TREND(Q117:Q118,P117:P118,P122)</f>
        <v>0</v>
      </c>
      <c r="R122" s="372">
        <f>TREND(R117:R118,P117:P118,P122)</f>
        <v>0</v>
      </c>
      <c r="S122" s="660">
        <f t="shared" si="65"/>
        <v>0</v>
      </c>
      <c r="T122" s="658">
        <f>TREND(T117:T118,P117:P118,P122)</f>
        <v>0</v>
      </c>
      <c r="U122" s="644">
        <f>TREND(U117:U118,P117:P118,P122)</f>
        <v>0</v>
      </c>
      <c r="V122" s="825">
        <v>0</v>
      </c>
      <c r="W122" s="339">
        <f t="shared" si="66"/>
        <v>0</v>
      </c>
      <c r="X122" s="664">
        <f t="shared" si="67"/>
        <v>0</v>
      </c>
      <c r="Y122" s="436">
        <f t="shared" si="68"/>
        <v>0</v>
      </c>
      <c r="Z122" s="285">
        <f t="shared" si="69"/>
        <v>0</v>
      </c>
      <c r="AA122" s="323">
        <f t="shared" si="70"/>
        <v>0</v>
      </c>
    </row>
    <row r="123" spans="2:27" x14ac:dyDescent="0.25">
      <c r="B123" s="327">
        <v>5</v>
      </c>
      <c r="C123" s="347">
        <f>TREND(C117:C118,B117:B118,B123)</f>
        <v>0</v>
      </c>
      <c r="D123" s="630">
        <f>TREND(D117:D118,B117:B118,B123)</f>
        <v>0</v>
      </c>
      <c r="E123" s="633">
        <f>TREND(E117:E118,B117:B118,B123)</f>
        <v>55</v>
      </c>
      <c r="F123" s="374">
        <f>TREND(F117:F118,B117:B118,B123)</f>
        <v>55</v>
      </c>
      <c r="G123" s="966">
        <f t="shared" si="71"/>
        <v>0</v>
      </c>
      <c r="H123" s="967">
        <f t="shared" si="72"/>
        <v>0</v>
      </c>
      <c r="I123" s="428">
        <f t="shared" si="60"/>
        <v>0</v>
      </c>
      <c r="J123" s="431">
        <f t="shared" si="61"/>
        <v>0</v>
      </c>
      <c r="K123" s="339">
        <f t="shared" si="62"/>
        <v>0</v>
      </c>
      <c r="L123" s="436">
        <f>IF(AND(H123&gt;G123,NOT(OR(TruckLane,Bypass,HOV2to3,HOTConv,OnRamp,RM,AM,IM,TI)),Induced="Y"),(I123-J123)*(H123-G123)*0.5,IF(OR(HOV2to3,HOTConv),TREND(L117:L118,B117:B118,B123),0))*IF(UserAdjInputs,1,VLOOKUP(TMSLookup,TMSAdj,9))</f>
        <v>0</v>
      </c>
      <c r="M123" s="285">
        <f t="shared" si="63"/>
        <v>0</v>
      </c>
      <c r="N123" s="323">
        <f t="shared" si="64"/>
        <v>0</v>
      </c>
      <c r="P123" s="327">
        <v>5</v>
      </c>
      <c r="Q123" s="347">
        <f>TREND(Q117:Q118,P117:P118,P123)</f>
        <v>0</v>
      </c>
      <c r="R123" s="372">
        <f>TREND(R117:R118,P117:P118,P123)</f>
        <v>0</v>
      </c>
      <c r="S123" s="660">
        <f t="shared" si="65"/>
        <v>0</v>
      </c>
      <c r="T123" s="658">
        <f>TREND(T117:T118,P117:P118,P123)</f>
        <v>0</v>
      </c>
      <c r="U123" s="644">
        <f>TREND(U117:U118,P117:P118,P123)</f>
        <v>0</v>
      </c>
      <c r="V123" s="825">
        <v>0</v>
      </c>
      <c r="W123" s="339">
        <f t="shared" si="66"/>
        <v>0</v>
      </c>
      <c r="X123" s="664">
        <f t="shared" si="67"/>
        <v>0</v>
      </c>
      <c r="Y123" s="436">
        <f t="shared" si="68"/>
        <v>0</v>
      </c>
      <c r="Z123" s="285">
        <f t="shared" si="69"/>
        <v>0</v>
      </c>
      <c r="AA123" s="323">
        <f t="shared" si="70"/>
        <v>0</v>
      </c>
    </row>
    <row r="124" spans="2:27" x14ac:dyDescent="0.25">
      <c r="B124" s="327">
        <v>6</v>
      </c>
      <c r="C124" s="347">
        <f>TREND(C117:C118,B117:B118,B124)</f>
        <v>0</v>
      </c>
      <c r="D124" s="630">
        <f>TREND(D117:D118,B117:B118,B124)</f>
        <v>0</v>
      </c>
      <c r="E124" s="633">
        <f>TREND(E117:E118,B117:B118,B124)</f>
        <v>55</v>
      </c>
      <c r="F124" s="374">
        <f>TREND(F117:F118,B117:B118,B124)</f>
        <v>55</v>
      </c>
      <c r="G124" s="966">
        <f t="shared" si="71"/>
        <v>0</v>
      </c>
      <c r="H124" s="967">
        <f t="shared" si="72"/>
        <v>0</v>
      </c>
      <c r="I124" s="428">
        <f t="shared" si="60"/>
        <v>0</v>
      </c>
      <c r="J124" s="431">
        <f t="shared" si="61"/>
        <v>0</v>
      </c>
      <c r="K124" s="339">
        <f t="shared" si="62"/>
        <v>0</v>
      </c>
      <c r="L124" s="436">
        <f>IF(AND(H124&gt;G124,NOT(OR(TruckLane,Bypass,HOV2to3,HOTConv,OnRamp,RM,AM,IM,TI)),Induced="Y"),(I124-J124)*(H124-G124)*0.5,IF(OR(HOV2to3,HOTConv),TREND(L117:L118,B117:B118,B124),0))*IF(UserAdjInputs,1,VLOOKUP(TMSLookup,TMSAdj,9))</f>
        <v>0</v>
      </c>
      <c r="M124" s="285">
        <f t="shared" si="63"/>
        <v>0</v>
      </c>
      <c r="N124" s="323">
        <f t="shared" si="64"/>
        <v>0</v>
      </c>
      <c r="P124" s="327">
        <v>6</v>
      </c>
      <c r="Q124" s="347">
        <f>TREND(Q117:Q118,P117:P118,P124)</f>
        <v>0</v>
      </c>
      <c r="R124" s="372">
        <f>TREND(R117:R118,P117:P118,P124)</f>
        <v>0</v>
      </c>
      <c r="S124" s="660">
        <f t="shared" si="65"/>
        <v>0</v>
      </c>
      <c r="T124" s="658">
        <f>TREND(T117:T118,P117:P118,P124)</f>
        <v>0</v>
      </c>
      <c r="U124" s="644">
        <f>TREND(U117:U118,P117:P118,P124)</f>
        <v>0</v>
      </c>
      <c r="V124" s="825">
        <v>0</v>
      </c>
      <c r="W124" s="339">
        <f t="shared" si="66"/>
        <v>0</v>
      </c>
      <c r="X124" s="664">
        <f t="shared" si="67"/>
        <v>0</v>
      </c>
      <c r="Y124" s="436">
        <f t="shared" si="68"/>
        <v>0</v>
      </c>
      <c r="Z124" s="285">
        <f t="shared" si="69"/>
        <v>0</v>
      </c>
      <c r="AA124" s="323">
        <f t="shared" si="70"/>
        <v>0</v>
      </c>
    </row>
    <row r="125" spans="2:27" x14ac:dyDescent="0.25">
      <c r="B125" s="327">
        <v>7</v>
      </c>
      <c r="C125" s="347">
        <f>TREND(C117:C118,B117:B118,B125)</f>
        <v>0</v>
      </c>
      <c r="D125" s="630">
        <f>TREND(D117:D118,B117:B118,B125)</f>
        <v>0</v>
      </c>
      <c r="E125" s="633">
        <f>TREND(E117:E118,B117:B118,B125)</f>
        <v>55</v>
      </c>
      <c r="F125" s="374">
        <f>TREND(F117:F118,B117:B118,B125)</f>
        <v>55</v>
      </c>
      <c r="G125" s="966">
        <f t="shared" si="71"/>
        <v>0</v>
      </c>
      <c r="H125" s="967">
        <f t="shared" si="72"/>
        <v>0</v>
      </c>
      <c r="I125" s="428">
        <f t="shared" si="60"/>
        <v>0</v>
      </c>
      <c r="J125" s="431">
        <f t="shared" si="61"/>
        <v>0</v>
      </c>
      <c r="K125" s="339">
        <f t="shared" si="62"/>
        <v>0</v>
      </c>
      <c r="L125" s="436">
        <f>IF(AND(H125&gt;G125,NOT(OR(TruckLane,Bypass,HOV2to3,HOTConv,OnRamp,RM,AM,IM,TI)),Induced="Y"),(I125-J125)*(H125-G125)*0.5,IF(OR(HOV2to3,HOTConv),TREND(L117:L118,B117:B118,B125),0))*IF(UserAdjInputs,1,VLOOKUP(TMSLookup,TMSAdj,9))</f>
        <v>0</v>
      </c>
      <c r="M125" s="285">
        <f t="shared" si="63"/>
        <v>0</v>
      </c>
      <c r="N125" s="323">
        <f t="shared" si="64"/>
        <v>0</v>
      </c>
      <c r="P125" s="327">
        <v>7</v>
      </c>
      <c r="Q125" s="347">
        <f>TREND(Q117:Q118,P117:P118,P125)</f>
        <v>0</v>
      </c>
      <c r="R125" s="372">
        <f>TREND(R117:R118,P117:P118,P125)</f>
        <v>0</v>
      </c>
      <c r="S125" s="660">
        <f t="shared" si="65"/>
        <v>0</v>
      </c>
      <c r="T125" s="658">
        <f>TREND(T117:T118,P117:P118,P125)</f>
        <v>0</v>
      </c>
      <c r="U125" s="644">
        <f>TREND(U117:U118,P117:P118,P125)</f>
        <v>0</v>
      </c>
      <c r="V125" s="825">
        <v>0</v>
      </c>
      <c r="W125" s="339">
        <f t="shared" si="66"/>
        <v>0</v>
      </c>
      <c r="X125" s="664">
        <f t="shared" si="67"/>
        <v>0</v>
      </c>
      <c r="Y125" s="436">
        <f t="shared" si="68"/>
        <v>0</v>
      </c>
      <c r="Z125" s="285">
        <f t="shared" si="69"/>
        <v>0</v>
      </c>
      <c r="AA125" s="323">
        <f t="shared" si="70"/>
        <v>0</v>
      </c>
    </row>
    <row r="126" spans="2:27" x14ac:dyDescent="0.25">
      <c r="B126" s="327">
        <v>8</v>
      </c>
      <c r="C126" s="347">
        <f>TREND(C117:C118,B117:B118,B126)</f>
        <v>0</v>
      </c>
      <c r="D126" s="630">
        <f>TREND(D117:D118,B117:B118,B126)</f>
        <v>0</v>
      </c>
      <c r="E126" s="633">
        <f>TREND(E117:E118,B117:B118,B126)</f>
        <v>55</v>
      </c>
      <c r="F126" s="374">
        <f>TREND(F117:F118,B117:B118,B126)</f>
        <v>55</v>
      </c>
      <c r="G126" s="966">
        <f t="shared" si="71"/>
        <v>0</v>
      </c>
      <c r="H126" s="967">
        <f t="shared" si="72"/>
        <v>0</v>
      </c>
      <c r="I126" s="428">
        <f t="shared" si="60"/>
        <v>0</v>
      </c>
      <c r="J126" s="431">
        <f t="shared" si="61"/>
        <v>0</v>
      </c>
      <c r="K126" s="339">
        <f t="shared" si="62"/>
        <v>0</v>
      </c>
      <c r="L126" s="436">
        <f>IF(AND(H126&gt;G126,NOT(OR(TruckLane,Bypass,HOV2to3,HOTConv,OnRamp,RM,AM,IM,TI)),Induced="Y"),(I126-J126)*(H126-G126)*0.5,IF(OR(HOV2to3,HOTConv),TREND(L117:L118,B117:B118,B126),0))*IF(UserAdjInputs,1,VLOOKUP(TMSLookup,TMSAdj,9))</f>
        <v>0</v>
      </c>
      <c r="M126" s="285">
        <f t="shared" si="63"/>
        <v>0</v>
      </c>
      <c r="N126" s="323">
        <f t="shared" si="64"/>
        <v>0</v>
      </c>
      <c r="P126" s="327">
        <v>8</v>
      </c>
      <c r="Q126" s="347">
        <f>TREND(Q117:Q118,P117:P118,P126)</f>
        <v>0</v>
      </c>
      <c r="R126" s="372">
        <f>TREND(R117:R118,P117:P118,P126)</f>
        <v>0</v>
      </c>
      <c r="S126" s="660">
        <f t="shared" si="65"/>
        <v>0</v>
      </c>
      <c r="T126" s="658">
        <f>TREND(T117:T118,P117:P118,P126)</f>
        <v>0</v>
      </c>
      <c r="U126" s="644">
        <f>TREND(U117:U118,P117:P118,P126)</f>
        <v>0</v>
      </c>
      <c r="V126" s="825">
        <v>0</v>
      </c>
      <c r="W126" s="339">
        <f t="shared" si="66"/>
        <v>0</v>
      </c>
      <c r="X126" s="664">
        <f t="shared" si="67"/>
        <v>0</v>
      </c>
      <c r="Y126" s="436">
        <f t="shared" si="68"/>
        <v>0</v>
      </c>
      <c r="Z126" s="285">
        <f t="shared" si="69"/>
        <v>0</v>
      </c>
      <c r="AA126" s="323">
        <f t="shared" si="70"/>
        <v>0</v>
      </c>
    </row>
    <row r="127" spans="2:27" x14ac:dyDescent="0.25">
      <c r="B127" s="327">
        <v>9</v>
      </c>
      <c r="C127" s="347">
        <f>TREND(C117:C118,B117:B118,B127)</f>
        <v>0</v>
      </c>
      <c r="D127" s="630">
        <f>TREND(D117:D118,B117:B118,B127)</f>
        <v>0</v>
      </c>
      <c r="E127" s="633">
        <f>TREND(E117:E118,B117:B118,B127)</f>
        <v>55</v>
      </c>
      <c r="F127" s="374">
        <f>TREND(F117:F118,B117:B118,B127)</f>
        <v>55</v>
      </c>
      <c r="G127" s="966">
        <f t="shared" si="71"/>
        <v>0</v>
      </c>
      <c r="H127" s="967">
        <f t="shared" si="72"/>
        <v>0</v>
      </c>
      <c r="I127" s="428">
        <f t="shared" si="60"/>
        <v>0</v>
      </c>
      <c r="J127" s="431">
        <f t="shared" si="61"/>
        <v>0</v>
      </c>
      <c r="K127" s="339">
        <f t="shared" si="62"/>
        <v>0</v>
      </c>
      <c r="L127" s="436">
        <f>IF(AND(H127&gt;G127,NOT(OR(TruckLane,Bypass,HOV2to3,HOTConv,OnRamp,RM,AM,IM,TI)),Induced="Y"),(I127-J127)*(H127-G127)*0.5,IF(OR(HOV2to3,HOTConv),TREND(L117:L118,B117:B118,B127),0))*IF(UserAdjInputs,1,VLOOKUP(TMSLookup,TMSAdj,9))</f>
        <v>0</v>
      </c>
      <c r="M127" s="285">
        <f t="shared" si="63"/>
        <v>0</v>
      </c>
      <c r="N127" s="323">
        <f t="shared" si="64"/>
        <v>0</v>
      </c>
      <c r="P127" s="327">
        <v>9</v>
      </c>
      <c r="Q127" s="347">
        <f>TREND(Q117:Q118,P117:P118,P127)</f>
        <v>0</v>
      </c>
      <c r="R127" s="372">
        <f>TREND(R117:R118,P117:P118,P127)</f>
        <v>0</v>
      </c>
      <c r="S127" s="660">
        <f t="shared" si="65"/>
        <v>0</v>
      </c>
      <c r="T127" s="658">
        <f>TREND(T117:T118,P117:P118,P127)</f>
        <v>0</v>
      </c>
      <c r="U127" s="644">
        <f>TREND(U117:U118,P117:P118,P127)</f>
        <v>0</v>
      </c>
      <c r="V127" s="825">
        <v>0</v>
      </c>
      <c r="W127" s="339">
        <f t="shared" si="66"/>
        <v>0</v>
      </c>
      <c r="X127" s="664">
        <f t="shared" si="67"/>
        <v>0</v>
      </c>
      <c r="Y127" s="436">
        <f t="shared" si="68"/>
        <v>0</v>
      </c>
      <c r="Z127" s="285">
        <f t="shared" si="69"/>
        <v>0</v>
      </c>
      <c r="AA127" s="323">
        <f t="shared" si="70"/>
        <v>0</v>
      </c>
    </row>
    <row r="128" spans="2:27" x14ac:dyDescent="0.25">
      <c r="B128" s="327">
        <v>10</v>
      </c>
      <c r="C128" s="347">
        <f>TREND(C117:C118,B117:B118,B128)</f>
        <v>0</v>
      </c>
      <c r="D128" s="630">
        <f>TREND(D117:D118,B117:B118,B128)</f>
        <v>0</v>
      </c>
      <c r="E128" s="633">
        <f>TREND(E117:E118,B117:B118,B128)</f>
        <v>55</v>
      </c>
      <c r="F128" s="374">
        <f>TREND(F117:F118,B117:B118,B128)</f>
        <v>55</v>
      </c>
      <c r="G128" s="966">
        <f t="shared" si="71"/>
        <v>0</v>
      </c>
      <c r="H128" s="967">
        <f t="shared" si="72"/>
        <v>0</v>
      </c>
      <c r="I128" s="428">
        <f t="shared" si="60"/>
        <v>0</v>
      </c>
      <c r="J128" s="431">
        <f t="shared" si="61"/>
        <v>0</v>
      </c>
      <c r="K128" s="339">
        <f t="shared" si="62"/>
        <v>0</v>
      </c>
      <c r="L128" s="436">
        <f>IF(AND(H128&gt;G128,NOT(OR(TruckLane,Bypass,HOV2to3,HOTConv,OnRamp,RM,AM,IM,TI)),Induced="Y"),(I128-J128)*(H128-G128)*0.5,IF(OR(HOV2to3,HOTConv),TREND(L117:L118,B117:B118,B128),0))*IF(UserAdjInputs,1,VLOOKUP(TMSLookup,TMSAdj,9))</f>
        <v>0</v>
      </c>
      <c r="M128" s="285">
        <f t="shared" si="63"/>
        <v>0</v>
      </c>
      <c r="N128" s="323">
        <f t="shared" si="64"/>
        <v>0</v>
      </c>
      <c r="P128" s="327">
        <v>10</v>
      </c>
      <c r="Q128" s="347">
        <f>TREND(Q117:Q118,P117:P118,P128)</f>
        <v>0</v>
      </c>
      <c r="R128" s="372">
        <f>TREND(R117:R118,P117:P118,P128)</f>
        <v>0</v>
      </c>
      <c r="S128" s="660">
        <f t="shared" si="65"/>
        <v>0</v>
      </c>
      <c r="T128" s="658">
        <f>TREND(T117:T118,P117:P118,P128)</f>
        <v>0</v>
      </c>
      <c r="U128" s="644">
        <f>TREND(U117:U118,P117:P118,P128)</f>
        <v>0</v>
      </c>
      <c r="V128" s="825">
        <v>0</v>
      </c>
      <c r="W128" s="339">
        <f t="shared" si="66"/>
        <v>0</v>
      </c>
      <c r="X128" s="664">
        <f t="shared" si="67"/>
        <v>0</v>
      </c>
      <c r="Y128" s="436">
        <f t="shared" si="68"/>
        <v>0</v>
      </c>
      <c r="Z128" s="285">
        <f t="shared" si="69"/>
        <v>0</v>
      </c>
      <c r="AA128" s="323">
        <f t="shared" si="70"/>
        <v>0</v>
      </c>
    </row>
    <row r="129" spans="2:27" x14ac:dyDescent="0.25">
      <c r="B129" s="327">
        <v>11</v>
      </c>
      <c r="C129" s="347">
        <f>TREND(C117:C118,B117:B118,B129)</f>
        <v>0</v>
      </c>
      <c r="D129" s="630">
        <f>TREND(D117:D118,B117:B118,B129)</f>
        <v>0</v>
      </c>
      <c r="E129" s="633">
        <f>TREND(E117:E118,B117:B118,B129)</f>
        <v>55</v>
      </c>
      <c r="F129" s="374">
        <f>TREND(F117:F118,B117:B118,B129)</f>
        <v>55</v>
      </c>
      <c r="G129" s="966">
        <f t="shared" si="71"/>
        <v>0</v>
      </c>
      <c r="H129" s="967">
        <f t="shared" si="72"/>
        <v>0</v>
      </c>
      <c r="I129" s="428">
        <f t="shared" si="60"/>
        <v>0</v>
      </c>
      <c r="J129" s="431">
        <f t="shared" si="61"/>
        <v>0</v>
      </c>
      <c r="K129" s="339">
        <f t="shared" si="62"/>
        <v>0</v>
      </c>
      <c r="L129" s="436">
        <f>IF(AND(H129&gt;G129,NOT(OR(TruckLane,Bypass,HOV2to3,HOTConv,OnRamp,RM,AM,IM,TI)),Induced="Y"),(I129-J129)*(H129-G129)*0.5,IF(OR(HOV2to3,HOTConv),TREND(L117:L118,B117:B118,B129),0))*IF(UserAdjInputs,1,VLOOKUP(TMSLookup,TMSAdj,9))</f>
        <v>0</v>
      </c>
      <c r="M129" s="285">
        <f t="shared" si="63"/>
        <v>0</v>
      </c>
      <c r="N129" s="323">
        <f t="shared" si="64"/>
        <v>0</v>
      </c>
      <c r="P129" s="327">
        <v>11</v>
      </c>
      <c r="Q129" s="347">
        <f>TREND(Q117:Q118,P117:P118,P129)</f>
        <v>0</v>
      </c>
      <c r="R129" s="372">
        <f>TREND(R117:R118,P117:P118,P129)</f>
        <v>0</v>
      </c>
      <c r="S129" s="660">
        <f t="shared" si="65"/>
        <v>0</v>
      </c>
      <c r="T129" s="658">
        <f>TREND(T117:T118,P117:P118,P129)</f>
        <v>0</v>
      </c>
      <c r="U129" s="644">
        <f>TREND(U117:U118,P117:P118,P129)</f>
        <v>0</v>
      </c>
      <c r="V129" s="825">
        <v>0</v>
      </c>
      <c r="W129" s="339">
        <f t="shared" si="66"/>
        <v>0</v>
      </c>
      <c r="X129" s="664">
        <f t="shared" si="67"/>
        <v>0</v>
      </c>
      <c r="Y129" s="436">
        <f t="shared" si="68"/>
        <v>0</v>
      </c>
      <c r="Z129" s="285">
        <f t="shared" si="69"/>
        <v>0</v>
      </c>
      <c r="AA129" s="323">
        <f t="shared" si="70"/>
        <v>0</v>
      </c>
    </row>
    <row r="130" spans="2:27" x14ac:dyDescent="0.25">
      <c r="B130" s="327">
        <v>12</v>
      </c>
      <c r="C130" s="347">
        <f>TREND(C117:C118,B117:B118,B130)</f>
        <v>0</v>
      </c>
      <c r="D130" s="630">
        <f>TREND(D117:D118,B117:B118,B130)</f>
        <v>0</v>
      </c>
      <c r="E130" s="633">
        <f>TREND(E117:E118,B117:B118,B130)</f>
        <v>55</v>
      </c>
      <c r="F130" s="374">
        <f>TREND(F117:F118,B117:B118,B130)</f>
        <v>55</v>
      </c>
      <c r="G130" s="966">
        <f t="shared" si="71"/>
        <v>0</v>
      </c>
      <c r="H130" s="967">
        <f t="shared" si="72"/>
        <v>0</v>
      </c>
      <c r="I130" s="428">
        <f t="shared" si="60"/>
        <v>0</v>
      </c>
      <c r="J130" s="431">
        <f t="shared" si="61"/>
        <v>0</v>
      </c>
      <c r="K130" s="339">
        <f t="shared" si="62"/>
        <v>0</v>
      </c>
      <c r="L130" s="436">
        <f>IF(AND(H130&gt;G130,NOT(OR(TruckLane,Bypass,HOV2to3,HOTConv,OnRamp,RM,AM,IM,TI)),Induced="Y"),(I130-J130)*(H130-G130)*0.5,IF(OR(HOV2to3,HOTConv),TREND(L117:L118,B117:B118,B130),0))*IF(UserAdjInputs,1,VLOOKUP(TMSLookup,TMSAdj,9))</f>
        <v>0</v>
      </c>
      <c r="M130" s="285">
        <f t="shared" si="63"/>
        <v>0</v>
      </c>
      <c r="N130" s="323">
        <f t="shared" si="64"/>
        <v>0</v>
      </c>
      <c r="P130" s="327">
        <v>12</v>
      </c>
      <c r="Q130" s="347">
        <f>TREND(Q117:Q118,P117:P118,P130)</f>
        <v>0</v>
      </c>
      <c r="R130" s="372">
        <f>TREND(R117:R118,P117:P118,P130)</f>
        <v>0</v>
      </c>
      <c r="S130" s="660">
        <f t="shared" si="65"/>
        <v>0</v>
      </c>
      <c r="T130" s="658">
        <f>TREND(T117:T118,P117:P118,P130)</f>
        <v>0</v>
      </c>
      <c r="U130" s="644">
        <f>TREND(U117:U118,P117:P118,P130)</f>
        <v>0</v>
      </c>
      <c r="V130" s="825">
        <v>0</v>
      </c>
      <c r="W130" s="339">
        <f t="shared" si="66"/>
        <v>0</v>
      </c>
      <c r="X130" s="664">
        <f t="shared" si="67"/>
        <v>0</v>
      </c>
      <c r="Y130" s="436">
        <f t="shared" si="68"/>
        <v>0</v>
      </c>
      <c r="Z130" s="285">
        <f t="shared" si="69"/>
        <v>0</v>
      </c>
      <c r="AA130" s="323">
        <f t="shared" si="70"/>
        <v>0</v>
      </c>
    </row>
    <row r="131" spans="2:27" x14ac:dyDescent="0.25">
      <c r="B131" s="327">
        <v>13</v>
      </c>
      <c r="C131" s="347">
        <f>TREND(C117:C118,B117:B118,B131)</f>
        <v>0</v>
      </c>
      <c r="D131" s="630">
        <f>TREND(D117:D118,B117:B118,B131)</f>
        <v>0</v>
      </c>
      <c r="E131" s="633">
        <f>TREND(E117:E118,B117:B118,B131)</f>
        <v>55</v>
      </c>
      <c r="F131" s="374">
        <f>TREND(F117:F118,B117:B118,B131)</f>
        <v>55</v>
      </c>
      <c r="G131" s="966">
        <f t="shared" si="71"/>
        <v>0</v>
      </c>
      <c r="H131" s="967">
        <f t="shared" si="72"/>
        <v>0</v>
      </c>
      <c r="I131" s="428">
        <f t="shared" si="60"/>
        <v>0</v>
      </c>
      <c r="J131" s="431">
        <f t="shared" si="61"/>
        <v>0</v>
      </c>
      <c r="K131" s="339">
        <f t="shared" si="62"/>
        <v>0</v>
      </c>
      <c r="L131" s="436">
        <f>IF(AND(H131&gt;G131,NOT(OR(TruckLane,Bypass,HOV2to3,HOTConv,OnRamp,RM,AM,IM,TI)),Induced="Y"),(I131-J131)*(H131-G131)*0.5,IF(OR(HOV2to3,HOTConv),TREND(L117:L118,B117:B118,B131),0))*IF(UserAdjInputs,1,VLOOKUP(TMSLookup,TMSAdj,9))</f>
        <v>0</v>
      </c>
      <c r="M131" s="285">
        <f t="shared" si="63"/>
        <v>0</v>
      </c>
      <c r="N131" s="323">
        <f t="shared" si="64"/>
        <v>0</v>
      </c>
      <c r="P131" s="327">
        <v>13</v>
      </c>
      <c r="Q131" s="347">
        <f>TREND(Q117:Q118,P117:P118,P131)</f>
        <v>0</v>
      </c>
      <c r="R131" s="372">
        <f>TREND(R117:R118,P117:P118,P131)</f>
        <v>0</v>
      </c>
      <c r="S131" s="660">
        <f t="shared" si="65"/>
        <v>0</v>
      </c>
      <c r="T131" s="658">
        <f>TREND(T117:T118,P117:P118,P131)</f>
        <v>0</v>
      </c>
      <c r="U131" s="644">
        <f>TREND(U117:U118,P117:P118,P131)</f>
        <v>0</v>
      </c>
      <c r="V131" s="825">
        <v>0</v>
      </c>
      <c r="W131" s="339">
        <f t="shared" si="66"/>
        <v>0</v>
      </c>
      <c r="X131" s="664">
        <f t="shared" si="67"/>
        <v>0</v>
      </c>
      <c r="Y131" s="436">
        <f t="shared" si="68"/>
        <v>0</v>
      </c>
      <c r="Z131" s="285">
        <f t="shared" si="69"/>
        <v>0</v>
      </c>
      <c r="AA131" s="323">
        <f t="shared" si="70"/>
        <v>0</v>
      </c>
    </row>
    <row r="132" spans="2:27" x14ac:dyDescent="0.25">
      <c r="B132" s="327">
        <v>14</v>
      </c>
      <c r="C132" s="347">
        <f>TREND(C117:C118,B117:B118,B132)</f>
        <v>0</v>
      </c>
      <c r="D132" s="630">
        <f>TREND(D117:D118,B117:B118,B132)</f>
        <v>0</v>
      </c>
      <c r="E132" s="633">
        <f>TREND(E117:E118,B117:B118,B132)</f>
        <v>55</v>
      </c>
      <c r="F132" s="374">
        <f>TREND(F117:F118,B117:B118,B132)</f>
        <v>55</v>
      </c>
      <c r="G132" s="966">
        <f t="shared" si="71"/>
        <v>0</v>
      </c>
      <c r="H132" s="967">
        <f t="shared" si="72"/>
        <v>0</v>
      </c>
      <c r="I132" s="428">
        <f t="shared" si="60"/>
        <v>0</v>
      </c>
      <c r="J132" s="431">
        <f t="shared" si="61"/>
        <v>0</v>
      </c>
      <c r="K132" s="339">
        <f t="shared" si="62"/>
        <v>0</v>
      </c>
      <c r="L132" s="436">
        <f>IF(AND(H132&gt;G132,NOT(OR(TruckLane,Bypass,HOV2to3,HOTConv,OnRamp,RM,AM,IM,TI)),Induced="Y"),(I132-J132)*(H132-G132)*0.5,IF(OR(HOV2to3,HOTConv),TREND(L117:L118,B117:B118,B132),0))*IF(UserAdjInputs,1,VLOOKUP(TMSLookup,TMSAdj,9))</f>
        <v>0</v>
      </c>
      <c r="M132" s="285">
        <f t="shared" si="63"/>
        <v>0</v>
      </c>
      <c r="N132" s="323">
        <f t="shared" si="64"/>
        <v>0</v>
      </c>
      <c r="P132" s="327">
        <v>14</v>
      </c>
      <c r="Q132" s="347">
        <f>TREND(Q117:Q118,P117:P118,P132)</f>
        <v>0</v>
      </c>
      <c r="R132" s="372">
        <f>TREND(R117:R118,P117:P118,P132)</f>
        <v>0</v>
      </c>
      <c r="S132" s="660">
        <f t="shared" si="65"/>
        <v>0</v>
      </c>
      <c r="T132" s="658">
        <f>TREND(T117:T118,P117:P118,P132)</f>
        <v>0</v>
      </c>
      <c r="U132" s="644">
        <f>TREND(U117:U118,P117:P118,P132)</f>
        <v>0</v>
      </c>
      <c r="V132" s="825">
        <v>0</v>
      </c>
      <c r="W132" s="339">
        <f t="shared" si="66"/>
        <v>0</v>
      </c>
      <c r="X132" s="664">
        <f t="shared" si="67"/>
        <v>0</v>
      </c>
      <c r="Y132" s="436">
        <f t="shared" si="68"/>
        <v>0</v>
      </c>
      <c r="Z132" s="285">
        <f t="shared" si="69"/>
        <v>0</v>
      </c>
      <c r="AA132" s="323">
        <f t="shared" si="70"/>
        <v>0</v>
      </c>
    </row>
    <row r="133" spans="2:27" x14ac:dyDescent="0.25">
      <c r="B133" s="327">
        <v>15</v>
      </c>
      <c r="C133" s="347">
        <f>TREND(C117:C118,B117:B118,B133)</f>
        <v>0</v>
      </c>
      <c r="D133" s="630">
        <f>TREND(D117:D118,B117:B118,B133)</f>
        <v>0</v>
      </c>
      <c r="E133" s="633">
        <f>TREND(E117:E118,B117:B118,B133)</f>
        <v>55</v>
      </c>
      <c r="F133" s="374">
        <f>TREND(F117:F118,B117:B118,B133)</f>
        <v>55</v>
      </c>
      <c r="G133" s="966">
        <f t="shared" si="71"/>
        <v>0</v>
      </c>
      <c r="H133" s="967">
        <f t="shared" si="72"/>
        <v>0</v>
      </c>
      <c r="I133" s="428">
        <f t="shared" si="60"/>
        <v>0</v>
      </c>
      <c r="J133" s="431">
        <f t="shared" si="61"/>
        <v>0</v>
      </c>
      <c r="K133" s="339">
        <f t="shared" si="62"/>
        <v>0</v>
      </c>
      <c r="L133" s="436">
        <f>IF(AND(H133&gt;G133,NOT(OR(TruckLane,Bypass,HOV2to3,HOTConv,OnRamp,RM,AM,IM,TI)),Induced="Y"),(I133-J133)*(H133-G133)*0.5,IF(OR(HOV2to3,HOTConv),TREND(L117:L118,B117:B118,B133),0))*IF(UserAdjInputs,1,VLOOKUP(TMSLookup,TMSAdj,9))</f>
        <v>0</v>
      </c>
      <c r="M133" s="285">
        <f t="shared" si="63"/>
        <v>0</v>
      </c>
      <c r="N133" s="323">
        <f t="shared" si="64"/>
        <v>0</v>
      </c>
      <c r="P133" s="327">
        <v>15</v>
      </c>
      <c r="Q133" s="347">
        <f>TREND(Q117:Q118,P117:P118,P133)</f>
        <v>0</v>
      </c>
      <c r="R133" s="372">
        <f>TREND(R117:R118,P117:P118,P133)</f>
        <v>0</v>
      </c>
      <c r="S133" s="660">
        <f t="shared" si="65"/>
        <v>0</v>
      </c>
      <c r="T133" s="658">
        <f>TREND(T117:T118,P117:P118,P133)</f>
        <v>0</v>
      </c>
      <c r="U133" s="644">
        <f>TREND(U117:U118,P117:P118,P133)</f>
        <v>0</v>
      </c>
      <c r="V133" s="825">
        <v>0</v>
      </c>
      <c r="W133" s="339">
        <f t="shared" si="66"/>
        <v>0</v>
      </c>
      <c r="X133" s="664">
        <f t="shared" si="67"/>
        <v>0</v>
      </c>
      <c r="Y133" s="436">
        <f t="shared" si="68"/>
        <v>0</v>
      </c>
      <c r="Z133" s="285">
        <f t="shared" si="69"/>
        <v>0</v>
      </c>
      <c r="AA133" s="323">
        <f t="shared" si="70"/>
        <v>0</v>
      </c>
    </row>
    <row r="134" spans="2:27" x14ac:dyDescent="0.25">
      <c r="B134" s="327">
        <v>16</v>
      </c>
      <c r="C134" s="347">
        <f>TREND(C117:C118,B117:B118,B134)</f>
        <v>0</v>
      </c>
      <c r="D134" s="630">
        <f>TREND(D117:D118,B117:B118,B134)</f>
        <v>0</v>
      </c>
      <c r="E134" s="633">
        <f>TREND(E117:E118,B117:B118,B134)</f>
        <v>55</v>
      </c>
      <c r="F134" s="374">
        <f>TREND(F117:F118,B117:B118,B134)</f>
        <v>55</v>
      </c>
      <c r="G134" s="966">
        <f t="shared" si="71"/>
        <v>0</v>
      </c>
      <c r="H134" s="967">
        <f t="shared" si="72"/>
        <v>0</v>
      </c>
      <c r="I134" s="428">
        <f t="shared" si="60"/>
        <v>0</v>
      </c>
      <c r="J134" s="431">
        <f t="shared" si="61"/>
        <v>0</v>
      </c>
      <c r="K134" s="339">
        <f t="shared" si="62"/>
        <v>0</v>
      </c>
      <c r="L134" s="436">
        <f>IF(AND(H134&gt;G134,NOT(OR(TruckLane,Bypass,HOV2to3,HOTConv,OnRamp,RM,AM,IM,TI)),Induced="Y"),(I134-J134)*(H134-G134)*0.5,IF(OR(HOV2to3,HOTConv),TREND(L117:L118,B117:B118,B134),0))*IF(UserAdjInputs,1,VLOOKUP(TMSLookup,TMSAdj,9))</f>
        <v>0</v>
      </c>
      <c r="M134" s="285">
        <f t="shared" si="63"/>
        <v>0</v>
      </c>
      <c r="N134" s="323">
        <f t="shared" si="64"/>
        <v>0</v>
      </c>
      <c r="P134" s="327">
        <v>16</v>
      </c>
      <c r="Q134" s="347">
        <f>TREND(Q117:Q118,P117:P118,P134)</f>
        <v>0</v>
      </c>
      <c r="R134" s="372">
        <f>TREND(R117:R118,P117:P118,P134)</f>
        <v>0</v>
      </c>
      <c r="S134" s="660">
        <f t="shared" si="65"/>
        <v>0</v>
      </c>
      <c r="T134" s="658">
        <f>TREND(T117:T118,P117:P118,P134)</f>
        <v>0</v>
      </c>
      <c r="U134" s="644">
        <f>TREND(U117:U118,P117:P118,P134)</f>
        <v>0</v>
      </c>
      <c r="V134" s="825">
        <v>0</v>
      </c>
      <c r="W134" s="339">
        <f t="shared" si="66"/>
        <v>0</v>
      </c>
      <c r="X134" s="664">
        <f t="shared" si="67"/>
        <v>0</v>
      </c>
      <c r="Y134" s="436">
        <f t="shared" si="68"/>
        <v>0</v>
      </c>
      <c r="Z134" s="285">
        <f t="shared" si="69"/>
        <v>0</v>
      </c>
      <c r="AA134" s="323">
        <f t="shared" si="70"/>
        <v>0</v>
      </c>
    </row>
    <row r="135" spans="2:27" x14ac:dyDescent="0.25">
      <c r="B135" s="327">
        <v>17</v>
      </c>
      <c r="C135" s="347">
        <f>TREND(C117:C118,B117:B118,B135)</f>
        <v>0</v>
      </c>
      <c r="D135" s="630">
        <f>TREND(D117:D118,B117:B118,B135)</f>
        <v>0</v>
      </c>
      <c r="E135" s="633">
        <f>TREND(E117:E118,B117:B118,B135)</f>
        <v>55</v>
      </c>
      <c r="F135" s="374">
        <f>TREND(F117:F118,B117:B118,B135)</f>
        <v>55</v>
      </c>
      <c r="G135" s="966">
        <f t="shared" si="71"/>
        <v>0</v>
      </c>
      <c r="H135" s="967">
        <f t="shared" si="72"/>
        <v>0</v>
      </c>
      <c r="I135" s="428">
        <f t="shared" si="60"/>
        <v>0</v>
      </c>
      <c r="J135" s="431">
        <f t="shared" si="61"/>
        <v>0</v>
      </c>
      <c r="K135" s="339">
        <f t="shared" si="62"/>
        <v>0</v>
      </c>
      <c r="L135" s="436">
        <f>IF(AND(H135&gt;G135,NOT(OR(TruckLane,Bypass,HOV2to3,HOTConv,OnRamp,RM,AM,IM,TI)),Induced="Y"),(I135-J135)*(H135-G135)*0.5,IF(OR(HOV2to3,HOTConv),TREND(L117:L118,B117:B118,B135),0))*IF(UserAdjInputs,1,VLOOKUP(TMSLookup,TMSAdj,9))</f>
        <v>0</v>
      </c>
      <c r="M135" s="285">
        <f t="shared" si="63"/>
        <v>0</v>
      </c>
      <c r="N135" s="323">
        <f t="shared" si="64"/>
        <v>0</v>
      </c>
      <c r="P135" s="327">
        <v>17</v>
      </c>
      <c r="Q135" s="347">
        <f>TREND(Q117:Q118,P117:P118,P135)</f>
        <v>0</v>
      </c>
      <c r="R135" s="372">
        <f>TREND(R117:R118,P117:P118,P135)</f>
        <v>0</v>
      </c>
      <c r="S135" s="660">
        <f t="shared" si="65"/>
        <v>0</v>
      </c>
      <c r="T135" s="658">
        <f>TREND(T117:T118,P117:P118,P135)</f>
        <v>0</v>
      </c>
      <c r="U135" s="644">
        <f>TREND(U117:U118,P117:P118,P135)</f>
        <v>0</v>
      </c>
      <c r="V135" s="825">
        <v>0</v>
      </c>
      <c r="W135" s="339">
        <f t="shared" si="66"/>
        <v>0</v>
      </c>
      <c r="X135" s="664">
        <f t="shared" si="67"/>
        <v>0</v>
      </c>
      <c r="Y135" s="436">
        <f t="shared" si="68"/>
        <v>0</v>
      </c>
      <c r="Z135" s="285">
        <f t="shared" si="69"/>
        <v>0</v>
      </c>
      <c r="AA135" s="323">
        <f t="shared" si="70"/>
        <v>0</v>
      </c>
    </row>
    <row r="136" spans="2:27" x14ac:dyDescent="0.25">
      <c r="B136" s="327">
        <v>18</v>
      </c>
      <c r="C136" s="347">
        <f>TREND(C117:C118,B117:B118,B136)</f>
        <v>0</v>
      </c>
      <c r="D136" s="630">
        <f>TREND(D117:D118,B117:B118,B136)</f>
        <v>0</v>
      </c>
      <c r="E136" s="633">
        <f>TREND(E117:E118,B117:B118,B136)</f>
        <v>55</v>
      </c>
      <c r="F136" s="374">
        <f>TREND(F117:F118,B117:B118,B136)</f>
        <v>55</v>
      </c>
      <c r="G136" s="966">
        <f t="shared" si="71"/>
        <v>0</v>
      </c>
      <c r="H136" s="967">
        <f t="shared" si="72"/>
        <v>0</v>
      </c>
      <c r="I136" s="428">
        <f t="shared" si="60"/>
        <v>0</v>
      </c>
      <c r="J136" s="431">
        <f t="shared" si="61"/>
        <v>0</v>
      </c>
      <c r="K136" s="339">
        <f t="shared" si="62"/>
        <v>0</v>
      </c>
      <c r="L136" s="436">
        <f>IF(AND(H136&gt;G136,NOT(OR(TruckLane,Bypass,HOV2to3,HOTConv,OnRamp,RM,AM,IM,TI)),Induced="Y"),(I136-J136)*(H136-G136)*0.5,IF(OR(HOV2to3,HOTConv),TREND(L117:L118,B117:B118,B136),0))*IF(UserAdjInputs,1,VLOOKUP(TMSLookup,TMSAdj,9))</f>
        <v>0</v>
      </c>
      <c r="M136" s="285">
        <f t="shared" si="63"/>
        <v>0</v>
      </c>
      <c r="N136" s="323">
        <f t="shared" si="64"/>
        <v>0</v>
      </c>
      <c r="P136" s="327">
        <v>18</v>
      </c>
      <c r="Q136" s="347">
        <f>TREND(Q117:Q118,P117:P118,P136)</f>
        <v>0</v>
      </c>
      <c r="R136" s="372">
        <f>TREND(R117:R118,P117:P118,P136)</f>
        <v>0</v>
      </c>
      <c r="S136" s="660">
        <f t="shared" si="65"/>
        <v>0</v>
      </c>
      <c r="T136" s="658">
        <f>TREND(T117:T118,P117:P118,P136)</f>
        <v>0</v>
      </c>
      <c r="U136" s="644">
        <f>TREND(U117:U118,P117:P118,P136)</f>
        <v>0</v>
      </c>
      <c r="V136" s="825">
        <v>0</v>
      </c>
      <c r="W136" s="339">
        <f t="shared" si="66"/>
        <v>0</v>
      </c>
      <c r="X136" s="664">
        <f t="shared" si="67"/>
        <v>0</v>
      </c>
      <c r="Y136" s="436">
        <f t="shared" si="68"/>
        <v>0</v>
      </c>
      <c r="Z136" s="285">
        <f t="shared" si="69"/>
        <v>0</v>
      </c>
      <c r="AA136" s="323">
        <f t="shared" si="70"/>
        <v>0</v>
      </c>
    </row>
    <row r="137" spans="2:27" x14ac:dyDescent="0.25">
      <c r="B137" s="359">
        <v>19</v>
      </c>
      <c r="C137" s="360">
        <f>TREND(C117:C118,B117:B118,B137)</f>
        <v>0</v>
      </c>
      <c r="D137" s="631">
        <f>TREND(D117:D118,B117:B118,B137)</f>
        <v>0</v>
      </c>
      <c r="E137" s="634">
        <f>TREND(E117:E118,B117:B118,B137)</f>
        <v>55</v>
      </c>
      <c r="F137" s="377">
        <f>TREND(F117:F118,B117:B118,B137)</f>
        <v>55</v>
      </c>
      <c r="G137" s="966">
        <f t="shared" si="71"/>
        <v>0</v>
      </c>
      <c r="H137" s="967">
        <f t="shared" si="72"/>
        <v>0</v>
      </c>
      <c r="I137" s="428">
        <f t="shared" si="60"/>
        <v>0</v>
      </c>
      <c r="J137" s="430">
        <f t="shared" si="61"/>
        <v>0</v>
      </c>
      <c r="K137" s="340">
        <f t="shared" si="62"/>
        <v>0</v>
      </c>
      <c r="L137" s="435">
        <f>IF(AND(H137&gt;G137,NOT(OR(TruckLane,Bypass,HOV2to3,HOTConv,OnRamp,RM,AM,IM,TI)),Induced="Y"),(I137-J137)*(H137-G137)*0.5,IF(OR(HOV2to3,HOTConv),TREND(L117:L118,B117:B118,B137),0))*IF(UserAdjInputs,1,VLOOKUP(TMSLookup,TMSAdj,9))</f>
        <v>0</v>
      </c>
      <c r="M137" s="285">
        <f t="shared" si="63"/>
        <v>0</v>
      </c>
      <c r="N137" s="323">
        <f t="shared" si="64"/>
        <v>0</v>
      </c>
      <c r="P137" s="359">
        <v>19</v>
      </c>
      <c r="Q137" s="360">
        <f>TREND(Q117:Q118,P117:P118,P137)</f>
        <v>0</v>
      </c>
      <c r="R137" s="375">
        <f>TREND(R117:R118,P117:P118,P137)</f>
        <v>0</v>
      </c>
      <c r="S137" s="660">
        <f t="shared" si="65"/>
        <v>0</v>
      </c>
      <c r="T137" s="659">
        <f>TREND(T117:T118,P117:P118,P137)</f>
        <v>0</v>
      </c>
      <c r="U137" s="645">
        <f>TREND(U117:U118,P117:P118,P137)</f>
        <v>0</v>
      </c>
      <c r="V137" s="825">
        <v>0</v>
      </c>
      <c r="W137" s="340">
        <f t="shared" si="66"/>
        <v>0</v>
      </c>
      <c r="X137" s="663">
        <f t="shared" si="67"/>
        <v>0</v>
      </c>
      <c r="Y137" s="435">
        <f t="shared" si="68"/>
        <v>0</v>
      </c>
      <c r="Z137" s="285">
        <f t="shared" si="69"/>
        <v>0</v>
      </c>
      <c r="AA137" s="323">
        <f t="shared" si="70"/>
        <v>0</v>
      </c>
    </row>
    <row r="138" spans="2:27" x14ac:dyDescent="0.25">
      <c r="B138" s="357"/>
      <c r="C138" s="355"/>
      <c r="D138" s="355"/>
      <c r="E138" s="355"/>
      <c r="F138" s="355"/>
      <c r="G138" s="356"/>
      <c r="H138" s="356"/>
      <c r="I138" s="356"/>
      <c r="J138" s="356"/>
      <c r="K138" s="356"/>
      <c r="L138" s="356"/>
      <c r="M138" s="356"/>
      <c r="N138" s="358"/>
      <c r="P138" s="357"/>
      <c r="Q138" s="355"/>
      <c r="R138" s="355"/>
      <c r="S138" s="355"/>
      <c r="T138" s="355"/>
      <c r="U138" s="355"/>
      <c r="V138" s="355"/>
      <c r="W138" s="356"/>
      <c r="X138" s="356"/>
      <c r="Y138" s="356"/>
      <c r="Z138" s="356"/>
      <c r="AA138" s="358"/>
    </row>
    <row r="139" spans="2:27" ht="13" x14ac:dyDescent="0.25">
      <c r="B139" s="329" t="s">
        <v>172</v>
      </c>
      <c r="C139" s="330"/>
      <c r="D139" s="331"/>
      <c r="E139" s="331"/>
      <c r="F139" s="331"/>
      <c r="G139" s="331"/>
      <c r="H139" s="331"/>
      <c r="I139" s="331"/>
      <c r="J139" s="331"/>
      <c r="K139" s="331"/>
      <c r="L139" s="332"/>
      <c r="M139" s="341"/>
      <c r="N139" s="342">
        <f>SUM(N117:N137)</f>
        <v>0</v>
      </c>
      <c r="P139" s="329" t="s">
        <v>172</v>
      </c>
      <c r="Q139" s="330"/>
      <c r="R139" s="331"/>
      <c r="S139" s="331"/>
      <c r="T139" s="331"/>
      <c r="U139" s="331"/>
      <c r="V139" s="331"/>
      <c r="W139" s="331"/>
      <c r="X139" s="331"/>
      <c r="Y139" s="332"/>
      <c r="Z139" s="341"/>
      <c r="AA139" s="342">
        <f>SUM(AA117:AA137)</f>
        <v>0</v>
      </c>
    </row>
    <row r="140" spans="2:27" x14ac:dyDescent="0.25">
      <c r="P140" s="448"/>
      <c r="Q140" s="448"/>
      <c r="R140" s="449"/>
      <c r="S140" s="449"/>
      <c r="T140" s="449"/>
      <c r="U140" s="449"/>
      <c r="V140" s="449"/>
      <c r="W140" s="450"/>
      <c r="X140" s="450"/>
      <c r="Y140" s="450"/>
      <c r="Z140" s="450"/>
      <c r="AA140" s="450"/>
    </row>
    <row r="141" spans="2:27" x14ac:dyDescent="0.25">
      <c r="P141" s="448"/>
      <c r="Q141" s="448"/>
      <c r="R141" s="449"/>
      <c r="S141" s="449"/>
      <c r="T141" s="449"/>
      <c r="U141" s="449"/>
      <c r="V141" s="449"/>
      <c r="W141" s="450"/>
      <c r="X141" s="450"/>
      <c r="Y141" s="450"/>
      <c r="Z141" s="450"/>
      <c r="AA141" s="450"/>
    </row>
    <row r="142" spans="2:27" ht="13" x14ac:dyDescent="0.25">
      <c r="B142" s="350" t="s">
        <v>551</v>
      </c>
      <c r="C142" s="88"/>
      <c r="D142" s="88"/>
      <c r="E142" s="88"/>
      <c r="F142" s="88"/>
      <c r="G142" s="309"/>
      <c r="H142" s="309"/>
      <c r="I142" s="88"/>
      <c r="J142" s="309"/>
      <c r="K142" s="309"/>
      <c r="L142" s="88"/>
      <c r="M142" s="88"/>
      <c r="N142" s="88"/>
      <c r="P142" s="459"/>
      <c r="Q142" s="271"/>
      <c r="R142" s="271"/>
      <c r="S142" s="271"/>
      <c r="T142" s="271"/>
      <c r="U142" s="271"/>
      <c r="V142" s="271"/>
      <c r="W142" s="309"/>
      <c r="X142" s="309"/>
      <c r="Y142" s="271"/>
      <c r="Z142" s="271"/>
      <c r="AA142" s="271"/>
    </row>
    <row r="143" spans="2:27" x14ac:dyDescent="0.25">
      <c r="B143" s="88"/>
      <c r="C143" s="88"/>
      <c r="D143" s="274"/>
      <c r="E143" s="274"/>
      <c r="F143" s="274"/>
      <c r="G143" s="88"/>
      <c r="H143" s="88"/>
      <c r="I143" s="88"/>
      <c r="J143" s="88"/>
      <c r="K143" s="88"/>
      <c r="L143" s="88"/>
      <c r="M143" s="88"/>
      <c r="N143" s="351"/>
      <c r="P143" s="271"/>
      <c r="Q143" s="271"/>
      <c r="R143" s="274"/>
      <c r="S143" s="274"/>
      <c r="T143" s="274"/>
      <c r="U143" s="274"/>
      <c r="V143" s="274"/>
      <c r="W143" s="271"/>
      <c r="X143" s="271"/>
      <c r="Y143" s="271"/>
      <c r="Z143" s="271"/>
      <c r="AA143" s="460"/>
    </row>
    <row r="144" spans="2:27" ht="15.5" x14ac:dyDescent="0.25">
      <c r="B144" s="317"/>
      <c r="C144" s="320" t="s">
        <v>230</v>
      </c>
      <c r="D144" s="361"/>
      <c r="E144" s="320" t="s">
        <v>231</v>
      </c>
      <c r="F144" s="333"/>
      <c r="G144" s="335" t="s">
        <v>234</v>
      </c>
      <c r="H144" s="361"/>
      <c r="I144" s="335" t="s">
        <v>232</v>
      </c>
      <c r="J144" s="321"/>
      <c r="K144" s="437" t="s">
        <v>233</v>
      </c>
      <c r="L144" s="438"/>
      <c r="M144" s="322"/>
      <c r="N144" s="343"/>
      <c r="P144" s="271"/>
      <c r="Q144" s="461"/>
      <c r="R144" s="3"/>
      <c r="S144" s="3"/>
      <c r="T144" s="461"/>
      <c r="U144" s="3"/>
      <c r="V144" s="3"/>
      <c r="W144" s="461"/>
      <c r="X144" s="461"/>
      <c r="Y144" s="461"/>
      <c r="Z144" s="462"/>
      <c r="AA144" s="271"/>
    </row>
    <row r="145" spans="2:27" ht="14" x14ac:dyDescent="0.25">
      <c r="B145" s="318"/>
      <c r="C145" s="287" t="s">
        <v>237</v>
      </c>
      <c r="D145" s="362"/>
      <c r="E145" s="287" t="s">
        <v>238</v>
      </c>
      <c r="F145" s="334"/>
      <c r="G145" s="336" t="s">
        <v>240</v>
      </c>
      <c r="H145" s="362"/>
      <c r="I145" s="336" t="s">
        <v>239</v>
      </c>
      <c r="J145" s="288"/>
      <c r="K145" s="439" t="s">
        <v>552</v>
      </c>
      <c r="L145" s="440"/>
      <c r="M145" s="284"/>
      <c r="N145" s="344"/>
      <c r="P145" s="36"/>
      <c r="Q145" s="463"/>
      <c r="R145" s="464"/>
      <c r="S145" s="464"/>
      <c r="T145" s="463"/>
      <c r="U145" s="464"/>
      <c r="V145" s="464"/>
      <c r="W145" s="463"/>
      <c r="X145" s="463"/>
      <c r="Y145" s="463"/>
      <c r="Z145" s="271"/>
      <c r="AA145" s="271"/>
    </row>
    <row r="146" spans="2:27" ht="14" x14ac:dyDescent="0.25">
      <c r="B146" s="169" t="s">
        <v>135</v>
      </c>
      <c r="C146" s="316"/>
      <c r="D146" s="283"/>
      <c r="E146" s="316"/>
      <c r="F146" s="283"/>
      <c r="G146" s="316"/>
      <c r="H146" s="283"/>
      <c r="I146" s="316"/>
      <c r="J146" s="283"/>
      <c r="K146" s="432" t="s">
        <v>151</v>
      </c>
      <c r="L146" s="283" t="s">
        <v>152</v>
      </c>
      <c r="M146" s="286" t="s">
        <v>242</v>
      </c>
      <c r="N146" s="345" t="s">
        <v>139</v>
      </c>
      <c r="P146" s="465"/>
      <c r="Q146" s="466"/>
      <c r="R146" s="466"/>
      <c r="S146" s="466"/>
      <c r="T146" s="466"/>
      <c r="U146" s="466"/>
      <c r="V146" s="466"/>
      <c r="W146" s="466"/>
      <c r="X146" s="466"/>
      <c r="Y146" s="466"/>
      <c r="Z146" s="465"/>
      <c r="AA146" s="465"/>
    </row>
    <row r="147" spans="2:27" ht="14" x14ac:dyDescent="0.25">
      <c r="B147" s="319"/>
      <c r="C147" s="324" t="s">
        <v>0</v>
      </c>
      <c r="D147" s="325" t="s">
        <v>1</v>
      </c>
      <c r="E147" s="324" t="s">
        <v>0</v>
      </c>
      <c r="F147" s="325" t="s">
        <v>1</v>
      </c>
      <c r="G147" s="324" t="s">
        <v>0</v>
      </c>
      <c r="H147" s="325" t="s">
        <v>1</v>
      </c>
      <c r="I147" s="324" t="s">
        <v>0</v>
      </c>
      <c r="J147" s="325" t="s">
        <v>1</v>
      </c>
      <c r="K147" s="441" t="s">
        <v>244</v>
      </c>
      <c r="L147" s="325" t="s">
        <v>245</v>
      </c>
      <c r="M147" s="326" t="s">
        <v>148</v>
      </c>
      <c r="N147" s="346" t="s">
        <v>149</v>
      </c>
      <c r="P147" s="467"/>
      <c r="Q147" s="466"/>
      <c r="R147" s="466"/>
      <c r="S147" s="466"/>
      <c r="T147" s="466"/>
      <c r="U147" s="466"/>
      <c r="V147" s="466"/>
      <c r="W147" s="466"/>
      <c r="X147" s="466"/>
      <c r="Y147" s="466"/>
      <c r="Z147" s="465"/>
      <c r="AA147" s="465"/>
    </row>
    <row r="148" spans="2:27" x14ac:dyDescent="0.25">
      <c r="B148" s="327">
        <v>1</v>
      </c>
      <c r="C148" s="348">
        <f>PRV1NB*AnnualFactor</f>
        <v>0</v>
      </c>
      <c r="D148" s="349">
        <f>PRV1B*AnnualFactor</f>
        <v>0</v>
      </c>
      <c r="E148" s="363">
        <f>ROUND(PRS1NB,1)</f>
        <v>5</v>
      </c>
      <c r="F148" s="364">
        <f>ROUND(PRS1B,1)</f>
        <v>5</v>
      </c>
      <c r="G148" s="966">
        <f>C148*AVOPeakNB</f>
        <v>0</v>
      </c>
      <c r="H148" s="967">
        <f>D148*AVOPeakB</f>
        <v>0</v>
      </c>
      <c r="I148" s="428">
        <f>SegmentR/E148</f>
        <v>0</v>
      </c>
      <c r="J148" s="429">
        <f>SegmentR/F148</f>
        <v>0</v>
      </c>
      <c r="K148" s="433">
        <f>IF(RADataAvail="Y",(I148-J148)*MIN(G148,H148),0)</f>
        <v>0</v>
      </c>
      <c r="L148" s="434">
        <f>IF(AND(RADataAvail="Y",H148&gt;G148,Induced="Y"),(I148-J148)*(H148-G148)*0.5,0)</f>
        <v>0</v>
      </c>
      <c r="M148" s="285">
        <f>SUM($K148:$L148)*ValTimeAuto*IF(IM,ValTimeIMFactor,1)*(1+TTUprater)^($B148+Construct-1)</f>
        <v>0</v>
      </c>
      <c r="N148" s="323">
        <f>$M148/(1+DiscRate)^($B148+Construct-1)</f>
        <v>0</v>
      </c>
      <c r="P148" s="468"/>
      <c r="Q148" s="469"/>
      <c r="R148" s="469"/>
      <c r="S148" s="469"/>
      <c r="T148" s="470"/>
      <c r="U148" s="470"/>
      <c r="V148" s="470"/>
      <c r="W148" s="472"/>
      <c r="X148" s="472"/>
      <c r="Y148" s="472"/>
      <c r="Z148" s="473"/>
      <c r="AA148" s="474"/>
    </row>
    <row r="149" spans="2:27" x14ac:dyDescent="0.25">
      <c r="B149" s="328">
        <v>20</v>
      </c>
      <c r="C149" s="353">
        <f>PRV20NB*AnnualFactor</f>
        <v>0</v>
      </c>
      <c r="D149" s="354">
        <f>PRV20B*AnnualFactor</f>
        <v>0</v>
      </c>
      <c r="E149" s="365">
        <f>ROUND(PRS20NB,1)</f>
        <v>5</v>
      </c>
      <c r="F149" s="366">
        <f>ROUND(PRS20B,1)</f>
        <v>5</v>
      </c>
      <c r="G149" s="966">
        <f>C149*AVOPeakNB</f>
        <v>0</v>
      </c>
      <c r="H149" s="967">
        <f>D149*AVOPeakB</f>
        <v>0</v>
      </c>
      <c r="I149" s="428">
        <f>SegmentR/E149</f>
        <v>0</v>
      </c>
      <c r="J149" s="430">
        <f>SegmentR/F149</f>
        <v>0</v>
      </c>
      <c r="K149" s="340">
        <f>IF(RADataAvail="Y",(I149-J149)*MIN(G149,H149),0)</f>
        <v>0</v>
      </c>
      <c r="L149" s="435">
        <f>IF(AND(RADataAvail="Y",H149&gt;G149,Induced="Y"),(I149-J149)*(H149-G149)*0.5,0)</f>
        <v>0</v>
      </c>
      <c r="M149" s="285">
        <f>SUM($K149:$L149)*ValTimeAuto*IF(IM,ValTimeIMFactor,1)*(1+TTUprater)^($B149+Construct-1)</f>
        <v>0</v>
      </c>
      <c r="N149" s="323">
        <f>$M149/(1+DiscRate)^($B149+Construct-1)</f>
        <v>0</v>
      </c>
      <c r="P149" s="468"/>
      <c r="Q149" s="469"/>
      <c r="R149" s="469"/>
      <c r="S149" s="469"/>
      <c r="T149" s="470"/>
      <c r="U149" s="470"/>
      <c r="V149" s="470"/>
      <c r="W149" s="472"/>
      <c r="X149" s="472"/>
      <c r="Y149" s="472"/>
      <c r="Z149" s="473"/>
      <c r="AA149" s="474"/>
    </row>
    <row r="150" spans="2:27" x14ac:dyDescent="0.25">
      <c r="B150" s="357"/>
      <c r="C150" s="355"/>
      <c r="D150" s="355"/>
      <c r="E150" s="367"/>
      <c r="F150" s="367"/>
      <c r="G150" s="356"/>
      <c r="H150" s="356"/>
      <c r="I150" s="356"/>
      <c r="J150" s="356"/>
      <c r="K150" s="356"/>
      <c r="L150" s="356"/>
      <c r="M150" s="356"/>
      <c r="N150" s="358"/>
      <c r="P150" s="468"/>
      <c r="Q150" s="469"/>
      <c r="R150" s="469"/>
      <c r="S150" s="469"/>
      <c r="T150" s="470"/>
      <c r="U150" s="470"/>
      <c r="V150" s="470"/>
      <c r="W150" s="472"/>
      <c r="X150" s="472"/>
      <c r="Y150" s="472"/>
      <c r="Z150" s="472"/>
      <c r="AA150" s="475"/>
    </row>
    <row r="151" spans="2:27" x14ac:dyDescent="0.25">
      <c r="B151" s="352">
        <v>2</v>
      </c>
      <c r="C151" s="368">
        <f>TREND(C148:C149,B148:B149,B151)</f>
        <v>0</v>
      </c>
      <c r="D151" s="629">
        <f>TREND(D148:D149,B148:B149,B151)</f>
        <v>0</v>
      </c>
      <c r="E151" s="632">
        <f>TREND(E148:E149,B148:B149,B151)</f>
        <v>5</v>
      </c>
      <c r="F151" s="371">
        <f>TREND(F148:F149,B148:B149,B151)</f>
        <v>5</v>
      </c>
      <c r="G151" s="966">
        <f t="shared" ref="G151:G168" si="73">C151*AVOPeakNB</f>
        <v>0</v>
      </c>
      <c r="H151" s="967">
        <f t="shared" ref="H151:H168" si="74">D151*AVOPeakB</f>
        <v>0</v>
      </c>
      <c r="I151" s="428">
        <f t="shared" ref="I151:I168" si="75">SegmentR/E151</f>
        <v>0</v>
      </c>
      <c r="J151" s="429">
        <f t="shared" ref="J151:J168" si="76">SegmentR/F151</f>
        <v>0</v>
      </c>
      <c r="K151" s="433">
        <f t="shared" ref="K151:K168" si="77">IF(RADataAvail="Y",(I151-J151)*MIN(G151,H151),0)</f>
        <v>0</v>
      </c>
      <c r="L151" s="434">
        <f t="shared" ref="L151:L168" si="78">IF(AND(RADataAvail="Y",H151&gt;G151,Induced="Y"),(I151-J151)*(H151-G151)*0.5,0)</f>
        <v>0</v>
      </c>
      <c r="M151" s="285">
        <f t="shared" ref="M151:M168" si="79">SUM($K151:$L151)*ValTimeAuto*IF(IM,ValTimeIMFactor,1)*(1+TTUprater)^($B151+Construct-1)</f>
        <v>0</v>
      </c>
      <c r="N151" s="323">
        <f t="shared" ref="N151:N168" si="80">$M151/(1+DiscRate)^($B151+Construct-1)</f>
        <v>0</v>
      </c>
      <c r="P151" s="468"/>
      <c r="Q151" s="469"/>
      <c r="R151" s="469"/>
      <c r="S151" s="469"/>
      <c r="T151" s="470"/>
      <c r="U151" s="470"/>
      <c r="V151" s="470"/>
      <c r="W151" s="472"/>
      <c r="X151" s="472"/>
      <c r="Y151" s="472"/>
      <c r="Z151" s="473"/>
      <c r="AA151" s="474"/>
    </row>
    <row r="152" spans="2:27" x14ac:dyDescent="0.25">
      <c r="B152" s="327">
        <v>3</v>
      </c>
      <c r="C152" s="347">
        <f>TREND(C148:C149,B148:B149,B152)</f>
        <v>0</v>
      </c>
      <c r="D152" s="630">
        <f>TREND(D148:D149,B148:B149,B152)</f>
        <v>0</v>
      </c>
      <c r="E152" s="633">
        <f>TREND(E148:E149,B148:B149,B152)</f>
        <v>5</v>
      </c>
      <c r="F152" s="374">
        <f>TREND(F148:F149,B148:B149,B152)</f>
        <v>5</v>
      </c>
      <c r="G152" s="966">
        <f t="shared" si="73"/>
        <v>0</v>
      </c>
      <c r="H152" s="967">
        <f t="shared" si="74"/>
        <v>0</v>
      </c>
      <c r="I152" s="428">
        <f t="shared" si="75"/>
        <v>0</v>
      </c>
      <c r="J152" s="431">
        <f t="shared" si="76"/>
        <v>0</v>
      </c>
      <c r="K152" s="339">
        <f t="shared" si="77"/>
        <v>0</v>
      </c>
      <c r="L152" s="436">
        <f t="shared" si="78"/>
        <v>0</v>
      </c>
      <c r="M152" s="285">
        <f t="shared" si="79"/>
        <v>0</v>
      </c>
      <c r="N152" s="323">
        <f t="shared" si="80"/>
        <v>0</v>
      </c>
      <c r="P152" s="468"/>
      <c r="Q152" s="469"/>
      <c r="R152" s="469"/>
      <c r="S152" s="469"/>
      <c r="T152" s="470"/>
      <c r="U152" s="470"/>
      <c r="V152" s="470"/>
      <c r="W152" s="472"/>
      <c r="X152" s="472"/>
      <c r="Y152" s="472"/>
      <c r="Z152" s="473"/>
      <c r="AA152" s="474"/>
    </row>
    <row r="153" spans="2:27" x14ac:dyDescent="0.25">
      <c r="B153" s="327">
        <v>4</v>
      </c>
      <c r="C153" s="347">
        <f>TREND(C148:C149,B148:B149,B153)</f>
        <v>0</v>
      </c>
      <c r="D153" s="630">
        <f>TREND(D148:D149,B148:B149,B153)</f>
        <v>0</v>
      </c>
      <c r="E153" s="633">
        <f>TREND(E148:E149,B148:B149,B153)</f>
        <v>5</v>
      </c>
      <c r="F153" s="374">
        <f>TREND(F148:F149,B148:B149,B153)</f>
        <v>5</v>
      </c>
      <c r="G153" s="966">
        <f t="shared" si="73"/>
        <v>0</v>
      </c>
      <c r="H153" s="967">
        <f t="shared" si="74"/>
        <v>0</v>
      </c>
      <c r="I153" s="428">
        <f t="shared" si="75"/>
        <v>0</v>
      </c>
      <c r="J153" s="431">
        <f t="shared" si="76"/>
        <v>0</v>
      </c>
      <c r="K153" s="339">
        <f t="shared" si="77"/>
        <v>0</v>
      </c>
      <c r="L153" s="436">
        <f t="shared" si="78"/>
        <v>0</v>
      </c>
      <c r="M153" s="285">
        <f t="shared" si="79"/>
        <v>0</v>
      </c>
      <c r="N153" s="323">
        <f t="shared" si="80"/>
        <v>0</v>
      </c>
      <c r="P153" s="468"/>
      <c r="Q153" s="469"/>
      <c r="R153" s="469"/>
      <c r="S153" s="469"/>
      <c r="T153" s="470"/>
      <c r="U153" s="470"/>
      <c r="V153" s="470"/>
      <c r="W153" s="472"/>
      <c r="X153" s="472"/>
      <c r="Y153" s="472"/>
      <c r="Z153" s="473"/>
      <c r="AA153" s="474"/>
    </row>
    <row r="154" spans="2:27" x14ac:dyDescent="0.25">
      <c r="B154" s="327">
        <v>5</v>
      </c>
      <c r="C154" s="347">
        <f>TREND(C148:C149,B148:B149,B154)</f>
        <v>0</v>
      </c>
      <c r="D154" s="630">
        <f>TREND(D148:D149,B148:B149,B154)</f>
        <v>0</v>
      </c>
      <c r="E154" s="633">
        <f>TREND(E148:E149,B148:B149,B154)</f>
        <v>5</v>
      </c>
      <c r="F154" s="374">
        <f>TREND(F148:F149,B148:B149,B154)</f>
        <v>5</v>
      </c>
      <c r="G154" s="966">
        <f t="shared" si="73"/>
        <v>0</v>
      </c>
      <c r="H154" s="967">
        <f t="shared" si="74"/>
        <v>0</v>
      </c>
      <c r="I154" s="428">
        <f t="shared" si="75"/>
        <v>0</v>
      </c>
      <c r="J154" s="431">
        <f t="shared" si="76"/>
        <v>0</v>
      </c>
      <c r="K154" s="339">
        <f t="shared" si="77"/>
        <v>0</v>
      </c>
      <c r="L154" s="436">
        <f t="shared" si="78"/>
        <v>0</v>
      </c>
      <c r="M154" s="285">
        <f t="shared" si="79"/>
        <v>0</v>
      </c>
      <c r="N154" s="323">
        <f t="shared" si="80"/>
        <v>0</v>
      </c>
      <c r="P154" s="468"/>
      <c r="Q154" s="469"/>
      <c r="R154" s="469"/>
      <c r="S154" s="469"/>
      <c r="T154" s="470"/>
      <c r="U154" s="470"/>
      <c r="V154" s="470"/>
      <c r="W154" s="472"/>
      <c r="X154" s="472"/>
      <c r="Y154" s="472"/>
      <c r="Z154" s="473"/>
      <c r="AA154" s="474"/>
    </row>
    <row r="155" spans="2:27" x14ac:dyDescent="0.25">
      <c r="B155" s="327">
        <v>6</v>
      </c>
      <c r="C155" s="347">
        <f>TREND(C148:C149,B148:B149,B155)</f>
        <v>0</v>
      </c>
      <c r="D155" s="630">
        <f>TREND(D148:D149,B148:B149,B155)</f>
        <v>0</v>
      </c>
      <c r="E155" s="633">
        <f>TREND(E148:E149,B148:B149,B155)</f>
        <v>5</v>
      </c>
      <c r="F155" s="374">
        <f>TREND(F148:F149,B148:B149,B155)</f>
        <v>5</v>
      </c>
      <c r="G155" s="966">
        <f t="shared" si="73"/>
        <v>0</v>
      </c>
      <c r="H155" s="967">
        <f t="shared" si="74"/>
        <v>0</v>
      </c>
      <c r="I155" s="428">
        <f t="shared" si="75"/>
        <v>0</v>
      </c>
      <c r="J155" s="431">
        <f t="shared" si="76"/>
        <v>0</v>
      </c>
      <c r="K155" s="339">
        <f t="shared" si="77"/>
        <v>0</v>
      </c>
      <c r="L155" s="436">
        <f t="shared" si="78"/>
        <v>0</v>
      </c>
      <c r="M155" s="285">
        <f t="shared" si="79"/>
        <v>0</v>
      </c>
      <c r="N155" s="323">
        <f t="shared" si="80"/>
        <v>0</v>
      </c>
      <c r="P155" s="468"/>
      <c r="Q155" s="469"/>
      <c r="R155" s="469"/>
      <c r="S155" s="469"/>
      <c r="T155" s="470"/>
      <c r="U155" s="470"/>
      <c r="V155" s="470"/>
      <c r="W155" s="472"/>
      <c r="X155" s="472"/>
      <c r="Y155" s="472"/>
      <c r="Z155" s="473"/>
      <c r="AA155" s="474"/>
    </row>
    <row r="156" spans="2:27" x14ac:dyDescent="0.25">
      <c r="B156" s="327">
        <v>7</v>
      </c>
      <c r="C156" s="347">
        <f>TREND(C148:C149,B148:B149,B156)</f>
        <v>0</v>
      </c>
      <c r="D156" s="630">
        <f>TREND(D148:D149,B148:B149,B156)</f>
        <v>0</v>
      </c>
      <c r="E156" s="633">
        <f>TREND(E148:E149,B148:B149,B156)</f>
        <v>5</v>
      </c>
      <c r="F156" s="374">
        <f>TREND(F148:F149,B148:B149,B156)</f>
        <v>5</v>
      </c>
      <c r="G156" s="966">
        <f t="shared" si="73"/>
        <v>0</v>
      </c>
      <c r="H156" s="967">
        <f t="shared" si="74"/>
        <v>0</v>
      </c>
      <c r="I156" s="428">
        <f t="shared" si="75"/>
        <v>0</v>
      </c>
      <c r="J156" s="431">
        <f t="shared" si="76"/>
        <v>0</v>
      </c>
      <c r="K156" s="339">
        <f t="shared" si="77"/>
        <v>0</v>
      </c>
      <c r="L156" s="436">
        <f t="shared" si="78"/>
        <v>0</v>
      </c>
      <c r="M156" s="285">
        <f t="shared" si="79"/>
        <v>0</v>
      </c>
      <c r="N156" s="323">
        <f t="shared" si="80"/>
        <v>0</v>
      </c>
      <c r="P156" s="468"/>
      <c r="Q156" s="469"/>
      <c r="R156" s="469"/>
      <c r="S156" s="469"/>
      <c r="T156" s="470"/>
      <c r="U156" s="470"/>
      <c r="V156" s="470"/>
      <c r="W156" s="472"/>
      <c r="X156" s="472"/>
      <c r="Y156" s="472"/>
      <c r="Z156" s="473"/>
      <c r="AA156" s="474"/>
    </row>
    <row r="157" spans="2:27" x14ac:dyDescent="0.25">
      <c r="B157" s="327">
        <v>8</v>
      </c>
      <c r="C157" s="347">
        <f>TREND(C148:C149,B148:B149,B157)</f>
        <v>0</v>
      </c>
      <c r="D157" s="630">
        <f>TREND(D148:D149,B148:B149,B157)</f>
        <v>0</v>
      </c>
      <c r="E157" s="633">
        <f>TREND(E148:E149,B148:B149,B157)</f>
        <v>5</v>
      </c>
      <c r="F157" s="374">
        <f>TREND(F148:F149,B148:B149,B157)</f>
        <v>5</v>
      </c>
      <c r="G157" s="966">
        <f t="shared" si="73"/>
        <v>0</v>
      </c>
      <c r="H157" s="967">
        <f t="shared" si="74"/>
        <v>0</v>
      </c>
      <c r="I157" s="428">
        <f t="shared" si="75"/>
        <v>0</v>
      </c>
      <c r="J157" s="431">
        <f t="shared" si="76"/>
        <v>0</v>
      </c>
      <c r="K157" s="339">
        <f t="shared" si="77"/>
        <v>0</v>
      </c>
      <c r="L157" s="436">
        <f t="shared" si="78"/>
        <v>0</v>
      </c>
      <c r="M157" s="285">
        <f t="shared" si="79"/>
        <v>0</v>
      </c>
      <c r="N157" s="323">
        <f t="shared" si="80"/>
        <v>0</v>
      </c>
      <c r="P157" s="468"/>
      <c r="Q157" s="469"/>
      <c r="R157" s="469"/>
      <c r="S157" s="469"/>
      <c r="T157" s="470"/>
      <c r="U157" s="470"/>
      <c r="V157" s="470"/>
      <c r="W157" s="472"/>
      <c r="X157" s="472"/>
      <c r="Y157" s="472"/>
      <c r="Z157" s="473"/>
      <c r="AA157" s="474"/>
    </row>
    <row r="158" spans="2:27" x14ac:dyDescent="0.25">
      <c r="B158" s="327">
        <v>9</v>
      </c>
      <c r="C158" s="347">
        <f>TREND(C148:C149,B148:B149,B158)</f>
        <v>0</v>
      </c>
      <c r="D158" s="630">
        <f>TREND(D148:D149,B148:B149,B158)</f>
        <v>0</v>
      </c>
      <c r="E158" s="633">
        <f>TREND(E148:E149,B148:B149,B158)</f>
        <v>5</v>
      </c>
      <c r="F158" s="374">
        <f>TREND(F148:F149,B148:B149,B158)</f>
        <v>5</v>
      </c>
      <c r="G158" s="966">
        <f t="shared" si="73"/>
        <v>0</v>
      </c>
      <c r="H158" s="967">
        <f t="shared" si="74"/>
        <v>0</v>
      </c>
      <c r="I158" s="428">
        <f t="shared" si="75"/>
        <v>0</v>
      </c>
      <c r="J158" s="431">
        <f t="shared" si="76"/>
        <v>0</v>
      </c>
      <c r="K158" s="339">
        <f t="shared" si="77"/>
        <v>0</v>
      </c>
      <c r="L158" s="436">
        <f t="shared" si="78"/>
        <v>0</v>
      </c>
      <c r="M158" s="285">
        <f t="shared" si="79"/>
        <v>0</v>
      </c>
      <c r="N158" s="323">
        <f t="shared" si="80"/>
        <v>0</v>
      </c>
      <c r="P158" s="468"/>
      <c r="Q158" s="469"/>
      <c r="R158" s="469"/>
      <c r="S158" s="469"/>
      <c r="T158" s="470"/>
      <c r="U158" s="470"/>
      <c r="V158" s="470"/>
      <c r="W158" s="472"/>
      <c r="X158" s="472"/>
      <c r="Y158" s="472"/>
      <c r="Z158" s="473"/>
      <c r="AA158" s="474"/>
    </row>
    <row r="159" spans="2:27" x14ac:dyDescent="0.25">
      <c r="B159" s="327">
        <v>10</v>
      </c>
      <c r="C159" s="347">
        <f>TREND(C148:C149,B148:B149,B159)</f>
        <v>0</v>
      </c>
      <c r="D159" s="630">
        <f>TREND(D148:D149,B148:B149,B159)</f>
        <v>0</v>
      </c>
      <c r="E159" s="633">
        <f>TREND(E148:E149,B148:B149,B159)</f>
        <v>5</v>
      </c>
      <c r="F159" s="374">
        <f>TREND(F148:F149,B148:B149,B159)</f>
        <v>5</v>
      </c>
      <c r="G159" s="966">
        <f t="shared" si="73"/>
        <v>0</v>
      </c>
      <c r="H159" s="967">
        <f t="shared" si="74"/>
        <v>0</v>
      </c>
      <c r="I159" s="428">
        <f t="shared" si="75"/>
        <v>0</v>
      </c>
      <c r="J159" s="431">
        <f t="shared" si="76"/>
        <v>0</v>
      </c>
      <c r="K159" s="339">
        <f t="shared" si="77"/>
        <v>0</v>
      </c>
      <c r="L159" s="436">
        <f t="shared" si="78"/>
        <v>0</v>
      </c>
      <c r="M159" s="285">
        <f t="shared" si="79"/>
        <v>0</v>
      </c>
      <c r="N159" s="323">
        <f t="shared" si="80"/>
        <v>0</v>
      </c>
      <c r="P159" s="468"/>
      <c r="Q159" s="469"/>
      <c r="R159" s="469"/>
      <c r="S159" s="469"/>
      <c r="T159" s="470"/>
      <c r="U159" s="470"/>
      <c r="V159" s="470"/>
      <c r="W159" s="472"/>
      <c r="X159" s="472"/>
      <c r="Y159" s="472"/>
      <c r="Z159" s="473"/>
      <c r="AA159" s="474"/>
    </row>
    <row r="160" spans="2:27" x14ac:dyDescent="0.25">
      <c r="B160" s="327">
        <v>11</v>
      </c>
      <c r="C160" s="347">
        <f>TREND(C148:C149,B148:B149,B160)</f>
        <v>0</v>
      </c>
      <c r="D160" s="630">
        <f>TREND(D148:D149,B148:B149,B160)</f>
        <v>0</v>
      </c>
      <c r="E160" s="633">
        <f>TREND(E148:E149,B148:B149,B160)</f>
        <v>5</v>
      </c>
      <c r="F160" s="374">
        <f>TREND(F148:F149,B148:B149,B160)</f>
        <v>5</v>
      </c>
      <c r="G160" s="966">
        <f t="shared" si="73"/>
        <v>0</v>
      </c>
      <c r="H160" s="967">
        <f t="shared" si="74"/>
        <v>0</v>
      </c>
      <c r="I160" s="428">
        <f t="shared" si="75"/>
        <v>0</v>
      </c>
      <c r="J160" s="431">
        <f t="shared" si="76"/>
        <v>0</v>
      </c>
      <c r="K160" s="339">
        <f t="shared" si="77"/>
        <v>0</v>
      </c>
      <c r="L160" s="436">
        <f t="shared" si="78"/>
        <v>0</v>
      </c>
      <c r="M160" s="285">
        <f t="shared" si="79"/>
        <v>0</v>
      </c>
      <c r="N160" s="323">
        <f t="shared" si="80"/>
        <v>0</v>
      </c>
      <c r="P160" s="468"/>
      <c r="Q160" s="469"/>
      <c r="R160" s="469"/>
      <c r="S160" s="469"/>
      <c r="T160" s="470"/>
      <c r="U160" s="470"/>
      <c r="V160" s="470"/>
      <c r="W160" s="472"/>
      <c r="X160" s="472"/>
      <c r="Y160" s="472"/>
      <c r="Z160" s="473"/>
      <c r="AA160" s="474"/>
    </row>
    <row r="161" spans="2:27" x14ac:dyDescent="0.25">
      <c r="B161" s="327">
        <v>12</v>
      </c>
      <c r="C161" s="347">
        <f>TREND(C148:C149,B148:B149,B161)</f>
        <v>0</v>
      </c>
      <c r="D161" s="630">
        <f>TREND(D148:D149,B148:B149,B161)</f>
        <v>0</v>
      </c>
      <c r="E161" s="633">
        <f>TREND(E148:E149,B148:B149,B161)</f>
        <v>5</v>
      </c>
      <c r="F161" s="374">
        <f>TREND(F148:F149,B148:B149,B161)</f>
        <v>5</v>
      </c>
      <c r="G161" s="966">
        <f t="shared" si="73"/>
        <v>0</v>
      </c>
      <c r="H161" s="967">
        <f t="shared" si="74"/>
        <v>0</v>
      </c>
      <c r="I161" s="428">
        <f t="shared" si="75"/>
        <v>0</v>
      </c>
      <c r="J161" s="431">
        <f t="shared" si="76"/>
        <v>0</v>
      </c>
      <c r="K161" s="339">
        <f t="shared" si="77"/>
        <v>0</v>
      </c>
      <c r="L161" s="436">
        <f t="shared" si="78"/>
        <v>0</v>
      </c>
      <c r="M161" s="285">
        <f t="shared" si="79"/>
        <v>0</v>
      </c>
      <c r="N161" s="323">
        <f t="shared" si="80"/>
        <v>0</v>
      </c>
      <c r="P161" s="468"/>
      <c r="Q161" s="469"/>
      <c r="R161" s="469"/>
      <c r="S161" s="469"/>
      <c r="T161" s="470"/>
      <c r="U161" s="470"/>
      <c r="V161" s="470"/>
      <c r="W161" s="472"/>
      <c r="X161" s="472"/>
      <c r="Y161" s="472"/>
      <c r="Z161" s="473"/>
      <c r="AA161" s="474"/>
    </row>
    <row r="162" spans="2:27" x14ac:dyDescent="0.25">
      <c r="B162" s="327">
        <v>13</v>
      </c>
      <c r="C162" s="347">
        <f>TREND(C148:C149,B148:B149,B162)</f>
        <v>0</v>
      </c>
      <c r="D162" s="630">
        <f>TREND(D148:D149,B148:B149,B162)</f>
        <v>0</v>
      </c>
      <c r="E162" s="633">
        <f>TREND(E148:E149,B148:B149,B162)</f>
        <v>5</v>
      </c>
      <c r="F162" s="374">
        <f>TREND(F148:F149,B148:B149,B162)</f>
        <v>5</v>
      </c>
      <c r="G162" s="966">
        <f t="shared" si="73"/>
        <v>0</v>
      </c>
      <c r="H162" s="967">
        <f t="shared" si="74"/>
        <v>0</v>
      </c>
      <c r="I162" s="428">
        <f t="shared" si="75"/>
        <v>0</v>
      </c>
      <c r="J162" s="431">
        <f t="shared" si="76"/>
        <v>0</v>
      </c>
      <c r="K162" s="339">
        <f t="shared" si="77"/>
        <v>0</v>
      </c>
      <c r="L162" s="436">
        <f t="shared" si="78"/>
        <v>0</v>
      </c>
      <c r="M162" s="285">
        <f t="shared" si="79"/>
        <v>0</v>
      </c>
      <c r="N162" s="323">
        <f t="shared" si="80"/>
        <v>0</v>
      </c>
      <c r="P162" s="468"/>
      <c r="Q162" s="469"/>
      <c r="R162" s="469"/>
      <c r="S162" s="469"/>
      <c r="T162" s="470"/>
      <c r="U162" s="470"/>
      <c r="V162" s="470"/>
      <c r="W162" s="472"/>
      <c r="X162" s="472"/>
      <c r="Y162" s="472"/>
      <c r="Z162" s="473"/>
      <c r="AA162" s="474"/>
    </row>
    <row r="163" spans="2:27" x14ac:dyDescent="0.25">
      <c r="B163" s="327">
        <v>14</v>
      </c>
      <c r="C163" s="347">
        <f>TREND(C148:C149,B148:B149,B163)</f>
        <v>0</v>
      </c>
      <c r="D163" s="630">
        <f>TREND(D148:D149,B148:B149,B163)</f>
        <v>0</v>
      </c>
      <c r="E163" s="633">
        <f>TREND(E148:E149,B148:B149,B163)</f>
        <v>5</v>
      </c>
      <c r="F163" s="374">
        <f>TREND(F148:F149,B148:B149,B163)</f>
        <v>5</v>
      </c>
      <c r="G163" s="966">
        <f t="shared" si="73"/>
        <v>0</v>
      </c>
      <c r="H163" s="967">
        <f t="shared" si="74"/>
        <v>0</v>
      </c>
      <c r="I163" s="428">
        <f t="shared" si="75"/>
        <v>0</v>
      </c>
      <c r="J163" s="431">
        <f t="shared" si="76"/>
        <v>0</v>
      </c>
      <c r="K163" s="339">
        <f t="shared" si="77"/>
        <v>0</v>
      </c>
      <c r="L163" s="436">
        <f t="shared" si="78"/>
        <v>0</v>
      </c>
      <c r="M163" s="285">
        <f t="shared" si="79"/>
        <v>0</v>
      </c>
      <c r="N163" s="323">
        <f t="shared" si="80"/>
        <v>0</v>
      </c>
      <c r="P163" s="468"/>
      <c r="Q163" s="469"/>
      <c r="R163" s="469"/>
      <c r="S163" s="469"/>
      <c r="T163" s="470"/>
      <c r="U163" s="470"/>
      <c r="V163" s="470"/>
      <c r="W163" s="472"/>
      <c r="X163" s="472"/>
      <c r="Y163" s="472"/>
      <c r="Z163" s="473"/>
      <c r="AA163" s="474"/>
    </row>
    <row r="164" spans="2:27" x14ac:dyDescent="0.25">
      <c r="B164" s="327">
        <v>15</v>
      </c>
      <c r="C164" s="347">
        <f>TREND(C148:C149,B148:B149,B164)</f>
        <v>0</v>
      </c>
      <c r="D164" s="630">
        <f>TREND(D148:D149,B148:B149,B164)</f>
        <v>0</v>
      </c>
      <c r="E164" s="633">
        <f>TREND(E148:E149,B148:B149,B164)</f>
        <v>5</v>
      </c>
      <c r="F164" s="374">
        <f>TREND(F148:F149,B148:B149,B164)</f>
        <v>5</v>
      </c>
      <c r="G164" s="966">
        <f t="shared" si="73"/>
        <v>0</v>
      </c>
      <c r="H164" s="967">
        <f t="shared" si="74"/>
        <v>0</v>
      </c>
      <c r="I164" s="428">
        <f t="shared" si="75"/>
        <v>0</v>
      </c>
      <c r="J164" s="431">
        <f t="shared" si="76"/>
        <v>0</v>
      </c>
      <c r="K164" s="339">
        <f t="shared" si="77"/>
        <v>0</v>
      </c>
      <c r="L164" s="436">
        <f t="shared" si="78"/>
        <v>0</v>
      </c>
      <c r="M164" s="285">
        <f t="shared" si="79"/>
        <v>0</v>
      </c>
      <c r="N164" s="323">
        <f t="shared" si="80"/>
        <v>0</v>
      </c>
      <c r="P164" s="468"/>
      <c r="Q164" s="469"/>
      <c r="R164" s="469"/>
      <c r="S164" s="469"/>
      <c r="T164" s="470"/>
      <c r="U164" s="470"/>
      <c r="V164" s="470"/>
      <c r="W164" s="472"/>
      <c r="X164" s="472"/>
      <c r="Y164" s="472"/>
      <c r="Z164" s="473"/>
      <c r="AA164" s="474"/>
    </row>
    <row r="165" spans="2:27" x14ac:dyDescent="0.25">
      <c r="B165" s="327">
        <v>16</v>
      </c>
      <c r="C165" s="347">
        <f>TREND(C148:C149,B148:B149,B165)</f>
        <v>0</v>
      </c>
      <c r="D165" s="630">
        <f>TREND(D148:D149,B148:B149,B165)</f>
        <v>0</v>
      </c>
      <c r="E165" s="633">
        <f>TREND(E148:E149,B148:B149,B165)</f>
        <v>5</v>
      </c>
      <c r="F165" s="374">
        <f>TREND(F148:F149,B148:B149,B165)</f>
        <v>5</v>
      </c>
      <c r="G165" s="966">
        <f t="shared" si="73"/>
        <v>0</v>
      </c>
      <c r="H165" s="967">
        <f t="shared" si="74"/>
        <v>0</v>
      </c>
      <c r="I165" s="428">
        <f t="shared" si="75"/>
        <v>0</v>
      </c>
      <c r="J165" s="431">
        <f t="shared" si="76"/>
        <v>0</v>
      </c>
      <c r="K165" s="339">
        <f t="shared" si="77"/>
        <v>0</v>
      </c>
      <c r="L165" s="436">
        <f t="shared" si="78"/>
        <v>0</v>
      </c>
      <c r="M165" s="285">
        <f t="shared" si="79"/>
        <v>0</v>
      </c>
      <c r="N165" s="323">
        <f t="shared" si="80"/>
        <v>0</v>
      </c>
      <c r="P165" s="468"/>
      <c r="Q165" s="469"/>
      <c r="R165" s="469"/>
      <c r="S165" s="469"/>
      <c r="T165" s="470"/>
      <c r="U165" s="470"/>
      <c r="V165" s="470"/>
      <c r="W165" s="472"/>
      <c r="X165" s="472"/>
      <c r="Y165" s="472"/>
      <c r="Z165" s="473"/>
      <c r="AA165" s="474"/>
    </row>
    <row r="166" spans="2:27" x14ac:dyDescent="0.25">
      <c r="B166" s="327">
        <v>17</v>
      </c>
      <c r="C166" s="347">
        <f>TREND(C148:C149,B148:B149,B166)</f>
        <v>0</v>
      </c>
      <c r="D166" s="630">
        <f>TREND(D148:D149,B148:B149,B166)</f>
        <v>0</v>
      </c>
      <c r="E166" s="633">
        <f>TREND(E148:E149,B148:B149,B166)</f>
        <v>5</v>
      </c>
      <c r="F166" s="374">
        <f>TREND(F148:F149,B148:B149,B166)</f>
        <v>5</v>
      </c>
      <c r="G166" s="966">
        <f t="shared" si="73"/>
        <v>0</v>
      </c>
      <c r="H166" s="967">
        <f t="shared" si="74"/>
        <v>0</v>
      </c>
      <c r="I166" s="428">
        <f t="shared" si="75"/>
        <v>0</v>
      </c>
      <c r="J166" s="431">
        <f t="shared" si="76"/>
        <v>0</v>
      </c>
      <c r="K166" s="339">
        <f t="shared" si="77"/>
        <v>0</v>
      </c>
      <c r="L166" s="436">
        <f t="shared" si="78"/>
        <v>0</v>
      </c>
      <c r="M166" s="285">
        <f t="shared" si="79"/>
        <v>0</v>
      </c>
      <c r="N166" s="323">
        <f t="shared" si="80"/>
        <v>0</v>
      </c>
      <c r="P166" s="468"/>
      <c r="Q166" s="469"/>
      <c r="R166" s="469"/>
      <c r="S166" s="469"/>
      <c r="T166" s="470"/>
      <c r="U166" s="470"/>
      <c r="V166" s="470"/>
      <c r="W166" s="472"/>
      <c r="X166" s="472"/>
      <c r="Y166" s="472"/>
      <c r="Z166" s="473"/>
      <c r="AA166" s="474"/>
    </row>
    <row r="167" spans="2:27" x14ac:dyDescent="0.25">
      <c r="B167" s="327">
        <v>18</v>
      </c>
      <c r="C167" s="347">
        <f>TREND(C148:C149,B148:B149,B167)</f>
        <v>0</v>
      </c>
      <c r="D167" s="630">
        <f>TREND(D148:D149,B148:B149,B167)</f>
        <v>0</v>
      </c>
      <c r="E167" s="633">
        <f>TREND(E148:E149,B148:B149,B167)</f>
        <v>5</v>
      </c>
      <c r="F167" s="374">
        <f>TREND(F148:F149,B148:B149,B167)</f>
        <v>5</v>
      </c>
      <c r="G167" s="966">
        <f t="shared" si="73"/>
        <v>0</v>
      </c>
      <c r="H167" s="967">
        <f t="shared" si="74"/>
        <v>0</v>
      </c>
      <c r="I167" s="428">
        <f t="shared" si="75"/>
        <v>0</v>
      </c>
      <c r="J167" s="431">
        <f t="shared" si="76"/>
        <v>0</v>
      </c>
      <c r="K167" s="339">
        <f t="shared" si="77"/>
        <v>0</v>
      </c>
      <c r="L167" s="436">
        <f t="shared" si="78"/>
        <v>0</v>
      </c>
      <c r="M167" s="285">
        <f t="shared" si="79"/>
        <v>0</v>
      </c>
      <c r="N167" s="323">
        <f t="shared" si="80"/>
        <v>0</v>
      </c>
      <c r="P167" s="468"/>
      <c r="Q167" s="469"/>
      <c r="R167" s="469"/>
      <c r="S167" s="469"/>
      <c r="T167" s="470"/>
      <c r="U167" s="470"/>
      <c r="V167" s="470"/>
      <c r="W167" s="472"/>
      <c r="X167" s="472"/>
      <c r="Y167" s="472"/>
      <c r="Z167" s="473"/>
      <c r="AA167" s="474"/>
    </row>
    <row r="168" spans="2:27" x14ac:dyDescent="0.25">
      <c r="B168" s="359">
        <v>19</v>
      </c>
      <c r="C168" s="360">
        <f>TREND(C148:C149,B148:B149,B168)</f>
        <v>0</v>
      </c>
      <c r="D168" s="631">
        <f>TREND(D148:D149,B148:B149,B168)</f>
        <v>0</v>
      </c>
      <c r="E168" s="634">
        <f>TREND(E148:E149,B148:B149,B168)</f>
        <v>5</v>
      </c>
      <c r="F168" s="377">
        <f>TREND(F148:F149,B148:B149,B168)</f>
        <v>5</v>
      </c>
      <c r="G168" s="966">
        <f t="shared" si="73"/>
        <v>0</v>
      </c>
      <c r="H168" s="967">
        <f t="shared" si="74"/>
        <v>0</v>
      </c>
      <c r="I168" s="428">
        <f t="shared" si="75"/>
        <v>0</v>
      </c>
      <c r="J168" s="430">
        <f t="shared" si="76"/>
        <v>0</v>
      </c>
      <c r="K168" s="340">
        <f t="shared" si="77"/>
        <v>0</v>
      </c>
      <c r="L168" s="435">
        <f t="shared" si="78"/>
        <v>0</v>
      </c>
      <c r="M168" s="285">
        <f t="shared" si="79"/>
        <v>0</v>
      </c>
      <c r="N168" s="323">
        <f t="shared" si="80"/>
        <v>0</v>
      </c>
      <c r="P168" s="468"/>
      <c r="Q168" s="469"/>
      <c r="R168" s="469"/>
      <c r="S168" s="469"/>
      <c r="T168" s="470"/>
      <c r="U168" s="470"/>
      <c r="V168" s="470"/>
      <c r="W168" s="472"/>
      <c r="X168" s="472"/>
      <c r="Y168" s="472"/>
      <c r="Z168" s="473"/>
      <c r="AA168" s="474"/>
    </row>
    <row r="169" spans="2:27" x14ac:dyDescent="0.25">
      <c r="B169" s="357"/>
      <c r="C169" s="355"/>
      <c r="D169" s="355"/>
      <c r="E169" s="355"/>
      <c r="F169" s="355"/>
      <c r="G169" s="356"/>
      <c r="H169" s="356"/>
      <c r="I169" s="356"/>
      <c r="J169" s="356"/>
      <c r="K169" s="356"/>
      <c r="L169" s="356"/>
      <c r="M169" s="356"/>
      <c r="N169" s="358"/>
      <c r="P169" s="468"/>
      <c r="Q169" s="469"/>
      <c r="R169" s="469"/>
      <c r="S169" s="469"/>
      <c r="T169" s="469"/>
      <c r="U169" s="469"/>
      <c r="V169" s="469"/>
      <c r="W169" s="472"/>
      <c r="X169" s="472"/>
      <c r="Y169" s="472"/>
      <c r="Z169" s="472"/>
      <c r="AA169" s="475"/>
    </row>
    <row r="170" spans="2:27" ht="13" x14ac:dyDescent="0.25">
      <c r="B170" s="329" t="s">
        <v>172</v>
      </c>
      <c r="C170" s="330"/>
      <c r="D170" s="331"/>
      <c r="E170" s="331"/>
      <c r="F170" s="331"/>
      <c r="G170" s="331"/>
      <c r="H170" s="331"/>
      <c r="I170" s="331"/>
      <c r="J170" s="331"/>
      <c r="K170" s="331"/>
      <c r="L170" s="332"/>
      <c r="M170" s="341"/>
      <c r="N170" s="342">
        <f>SUM(N148:N168)</f>
        <v>0</v>
      </c>
      <c r="P170" s="465"/>
      <c r="Q170" s="476"/>
      <c r="R170" s="271"/>
      <c r="S170" s="271"/>
      <c r="T170" s="271"/>
      <c r="U170" s="271"/>
      <c r="V170" s="271"/>
      <c r="W170" s="271"/>
      <c r="X170" s="271"/>
      <c r="Y170" s="473"/>
      <c r="Z170" s="271"/>
      <c r="AA170" s="477"/>
    </row>
    <row r="171" spans="2:27" x14ac:dyDescent="0.25">
      <c r="P171" s="448"/>
      <c r="Q171" s="448"/>
      <c r="R171" s="449"/>
      <c r="S171" s="449"/>
      <c r="T171" s="449"/>
      <c r="U171" s="449"/>
      <c r="V171" s="449"/>
      <c r="W171" s="450"/>
      <c r="X171" s="450"/>
      <c r="Y171" s="450"/>
      <c r="Z171" s="450"/>
      <c r="AA171" s="450"/>
    </row>
    <row r="172" spans="2:27" x14ac:dyDescent="0.25">
      <c r="P172" s="448"/>
      <c r="Q172" s="448"/>
      <c r="R172" s="449"/>
      <c r="S172" s="449"/>
      <c r="T172" s="449"/>
      <c r="U172" s="449"/>
      <c r="V172" s="449"/>
      <c r="W172" s="450"/>
      <c r="X172" s="450"/>
      <c r="Y172" s="450"/>
      <c r="Z172" s="450"/>
      <c r="AA172" s="450"/>
    </row>
    <row r="173" spans="2:27" ht="13" x14ac:dyDescent="0.25">
      <c r="B173" s="350" t="s">
        <v>553</v>
      </c>
      <c r="C173" s="88"/>
      <c r="D173" s="88"/>
      <c r="E173" s="88"/>
      <c r="F173" s="88"/>
      <c r="G173" s="309"/>
      <c r="H173" s="309"/>
      <c r="I173" s="88"/>
      <c r="J173" s="309"/>
      <c r="K173" s="309"/>
      <c r="L173" s="88"/>
      <c r="M173" s="88"/>
      <c r="N173" s="88"/>
      <c r="P173" s="459"/>
      <c r="Q173" s="271"/>
      <c r="R173" s="271"/>
      <c r="S173" s="271"/>
      <c r="T173" s="271"/>
      <c r="U173" s="271"/>
      <c r="V173" s="271"/>
      <c r="W173" s="309"/>
      <c r="X173" s="309"/>
      <c r="Y173" s="271"/>
      <c r="Z173" s="271"/>
      <c r="AA173" s="271"/>
    </row>
    <row r="174" spans="2:27" x14ac:dyDescent="0.25">
      <c r="B174" s="88"/>
      <c r="C174" s="88"/>
      <c r="D174" s="274"/>
      <c r="E174" s="274"/>
      <c r="F174" s="274"/>
      <c r="G174" s="88"/>
      <c r="H174" s="88"/>
      <c r="I174" s="88"/>
      <c r="J174" s="88"/>
      <c r="K174" s="88"/>
      <c r="L174" s="88"/>
      <c r="M174" s="88"/>
      <c r="N174" s="351"/>
      <c r="P174" s="271"/>
      <c r="Q174" s="271"/>
      <c r="R174" s="274"/>
      <c r="S174" s="274"/>
      <c r="T174" s="274"/>
      <c r="U174" s="274"/>
      <c r="V174" s="274"/>
      <c r="W174" s="271"/>
      <c r="X174" s="271"/>
      <c r="Y174" s="271"/>
      <c r="Z174" s="271"/>
      <c r="AA174" s="460"/>
    </row>
    <row r="175" spans="2:27" ht="15.5" x14ac:dyDescent="0.25">
      <c r="B175" s="317"/>
      <c r="C175" s="320" t="s">
        <v>230</v>
      </c>
      <c r="D175" s="361"/>
      <c r="E175" s="320" t="s">
        <v>231</v>
      </c>
      <c r="F175" s="333"/>
      <c r="G175" s="335" t="s">
        <v>234</v>
      </c>
      <c r="H175" s="361"/>
      <c r="I175" s="335" t="s">
        <v>232</v>
      </c>
      <c r="J175" s="321"/>
      <c r="K175" s="437" t="s">
        <v>233</v>
      </c>
      <c r="L175" s="438"/>
      <c r="M175" s="322"/>
      <c r="N175" s="343"/>
      <c r="P175" s="271"/>
      <c r="Q175" s="461"/>
      <c r="R175" s="3"/>
      <c r="S175" s="3"/>
      <c r="T175" s="461"/>
      <c r="U175" s="3"/>
      <c r="V175" s="3"/>
      <c r="W175" s="461"/>
      <c r="X175" s="461"/>
      <c r="Y175" s="461"/>
      <c r="Z175" s="462"/>
      <c r="AA175" s="271"/>
    </row>
    <row r="176" spans="2:27" ht="14" x14ac:dyDescent="0.25">
      <c r="B176" s="318"/>
      <c r="C176" s="287" t="s">
        <v>237</v>
      </c>
      <c r="D176" s="362"/>
      <c r="E176" s="287" t="s">
        <v>238</v>
      </c>
      <c r="F176" s="334"/>
      <c r="G176" s="336" t="s">
        <v>240</v>
      </c>
      <c r="H176" s="362"/>
      <c r="I176" s="336" t="s">
        <v>239</v>
      </c>
      <c r="J176" s="288"/>
      <c r="K176" s="439" t="s">
        <v>552</v>
      </c>
      <c r="L176" s="440"/>
      <c r="M176" s="284"/>
      <c r="N176" s="344"/>
      <c r="P176" s="36"/>
      <c r="Q176" s="463"/>
      <c r="R176" s="464"/>
      <c r="S176" s="464"/>
      <c r="T176" s="463"/>
      <c r="U176" s="464"/>
      <c r="V176" s="464"/>
      <c r="W176" s="463"/>
      <c r="X176" s="463"/>
      <c r="Y176" s="463"/>
      <c r="Z176" s="271"/>
      <c r="AA176" s="271"/>
    </row>
    <row r="177" spans="2:27" ht="14" x14ac:dyDescent="0.25">
      <c r="B177" s="169" t="s">
        <v>135</v>
      </c>
      <c r="C177" s="316"/>
      <c r="D177" s="283"/>
      <c r="E177" s="316"/>
      <c r="F177" s="283"/>
      <c r="G177" s="316"/>
      <c r="H177" s="283"/>
      <c r="I177" s="316"/>
      <c r="J177" s="283"/>
      <c r="K177" s="432" t="s">
        <v>151</v>
      </c>
      <c r="L177" s="283" t="s">
        <v>152</v>
      </c>
      <c r="M177" s="286" t="s">
        <v>242</v>
      </c>
      <c r="N177" s="345" t="s">
        <v>139</v>
      </c>
      <c r="P177" s="465"/>
      <c r="Q177" s="466"/>
      <c r="R177" s="466"/>
      <c r="S177" s="466"/>
      <c r="T177" s="466"/>
      <c r="U177" s="466"/>
      <c r="V177" s="466"/>
      <c r="W177" s="466"/>
      <c r="X177" s="466"/>
      <c r="Y177" s="466"/>
      <c r="Z177" s="465"/>
      <c r="AA177" s="465"/>
    </row>
    <row r="178" spans="2:27" ht="14" x14ac:dyDescent="0.25">
      <c r="B178" s="319"/>
      <c r="C178" s="324" t="s">
        <v>0</v>
      </c>
      <c r="D178" s="325" t="s">
        <v>1</v>
      </c>
      <c r="E178" s="324" t="s">
        <v>0</v>
      </c>
      <c r="F178" s="325" t="s">
        <v>1</v>
      </c>
      <c r="G178" s="324" t="s">
        <v>0</v>
      </c>
      <c r="H178" s="325" t="s">
        <v>1</v>
      </c>
      <c r="I178" s="324" t="s">
        <v>0</v>
      </c>
      <c r="J178" s="325" t="s">
        <v>1</v>
      </c>
      <c r="K178" s="441" t="s">
        <v>244</v>
      </c>
      <c r="L178" s="325" t="s">
        <v>245</v>
      </c>
      <c r="M178" s="326" t="s">
        <v>148</v>
      </c>
      <c r="N178" s="346" t="s">
        <v>149</v>
      </c>
      <c r="P178" s="467"/>
      <c r="Q178" s="466"/>
      <c r="R178" s="466"/>
      <c r="S178" s="466"/>
      <c r="T178" s="466"/>
      <c r="U178" s="466"/>
      <c r="V178" s="466"/>
      <c r="W178" s="466"/>
      <c r="X178" s="466"/>
      <c r="Y178" s="466"/>
      <c r="Z178" s="465"/>
      <c r="AA178" s="465"/>
    </row>
    <row r="179" spans="2:27" x14ac:dyDescent="0.25">
      <c r="B179" s="327">
        <v>1</v>
      </c>
      <c r="C179" s="348">
        <f>PAV1NB*AnnualFactor</f>
        <v>0</v>
      </c>
      <c r="D179" s="349">
        <f>PAV1B*AnnualFactor</f>
        <v>0</v>
      </c>
      <c r="E179" s="363">
        <f>ROUND(PAS1NB,1)</f>
        <v>5</v>
      </c>
      <c r="F179" s="364">
        <f>ROUND(PAS1B,1)</f>
        <v>5</v>
      </c>
      <c r="G179" s="966">
        <f>C179*AVOPeakNB</f>
        <v>0</v>
      </c>
      <c r="H179" s="967">
        <f>D179*AVOPeakB</f>
        <v>0</v>
      </c>
      <c r="I179" s="428">
        <f>SegmentA/E179</f>
        <v>0</v>
      </c>
      <c r="J179" s="429">
        <f>SegmentA/F179</f>
        <v>0</v>
      </c>
      <c r="K179" s="433">
        <f>IF(RADataAvail="Y",(I179-J179)*MIN(G179,H179),SUM(K55,K86,K117)*VLOOKUP(TMSLookup,TMSAdj,6))</f>
        <v>0</v>
      </c>
      <c r="L179" s="434">
        <f>IF(AND(RADataAvail="Y",H179&gt;G179,Induced="Y"),(I179-J179)*(H179-G179)*0.5,SUM(L55,L86,L117)*VLOOKUP(TMSLookup,TMSAdj,6))</f>
        <v>0</v>
      </c>
      <c r="M179" s="285">
        <f>SUM($K179:$L179)*ValTimeAuto*IF(IM,ValTimeIMFactor,1)*(1+TTUprater)^($B179+Construct-1)</f>
        <v>0</v>
      </c>
      <c r="N179" s="323">
        <f>$M179/(1+DiscRate)^($B179+Construct-1)</f>
        <v>0</v>
      </c>
      <c r="P179" s="468"/>
      <c r="Q179" s="469"/>
      <c r="R179" s="469"/>
      <c r="S179" s="469"/>
      <c r="T179" s="470"/>
      <c r="U179" s="470"/>
      <c r="V179" s="470"/>
      <c r="W179" s="472"/>
      <c r="X179" s="472"/>
      <c r="Y179" s="472"/>
      <c r="Z179" s="473"/>
      <c r="AA179" s="474"/>
    </row>
    <row r="180" spans="2:27" x14ac:dyDescent="0.25">
      <c r="B180" s="328">
        <v>20</v>
      </c>
      <c r="C180" s="353">
        <f>PAV20NB*AnnualFactor</f>
        <v>0</v>
      </c>
      <c r="D180" s="354">
        <f>PAV20B*AnnualFactor</f>
        <v>0</v>
      </c>
      <c r="E180" s="365">
        <f>ROUND(PAS20NB,1)</f>
        <v>5</v>
      </c>
      <c r="F180" s="366">
        <f>ROUND(PAS20B,1)</f>
        <v>5</v>
      </c>
      <c r="G180" s="966">
        <f>C180*AVOPeakNB</f>
        <v>0</v>
      </c>
      <c r="H180" s="967">
        <f>D180*AVOPeakB</f>
        <v>0</v>
      </c>
      <c r="I180" s="428">
        <f>SegmentA/E180</f>
        <v>0</v>
      </c>
      <c r="J180" s="430">
        <f>SegmentA/F180</f>
        <v>0</v>
      </c>
      <c r="K180" s="340">
        <f>IF(RADataAvail="Y",(I180-J180)*MIN(G180,H180),SUM(K56,K87,K118)*VLOOKUP(TMSLookup,TMSAdj,6))</f>
        <v>0</v>
      </c>
      <c r="L180" s="435">
        <f>IF(AND(RADataAvail="Y",H180&gt;G180,Induced="Y"),(I180-J180)*(H180-G180)*0.5,SUM(L56,L87,L118)*VLOOKUP(TMSLookup,TMSAdj,6))</f>
        <v>0</v>
      </c>
      <c r="M180" s="285">
        <f>SUM($K180:$L180)*ValTimeAuto*IF(IM,ValTimeIMFactor,1)*(1+TTUprater)^($B180+Construct-1)</f>
        <v>0</v>
      </c>
      <c r="N180" s="323">
        <f>$M180/(1+DiscRate)^($B180+Construct-1)</f>
        <v>0</v>
      </c>
      <c r="P180" s="468"/>
      <c r="Q180" s="469"/>
      <c r="R180" s="469"/>
      <c r="S180" s="469"/>
      <c r="T180" s="470"/>
      <c r="U180" s="470"/>
      <c r="V180" s="470"/>
      <c r="W180" s="472"/>
      <c r="X180" s="472"/>
      <c r="Y180" s="472"/>
      <c r="Z180" s="473"/>
      <c r="AA180" s="474"/>
    </row>
    <row r="181" spans="2:27" x14ac:dyDescent="0.25">
      <c r="B181" s="357"/>
      <c r="C181" s="355"/>
      <c r="D181" s="355"/>
      <c r="E181" s="367"/>
      <c r="F181" s="367"/>
      <c r="G181" s="356"/>
      <c r="H181" s="356"/>
      <c r="I181" s="356"/>
      <c r="J181" s="356"/>
      <c r="K181" s="356"/>
      <c r="L181" s="356"/>
      <c r="M181" s="356"/>
      <c r="N181" s="358"/>
      <c r="P181" s="468"/>
      <c r="Q181" s="469"/>
      <c r="R181" s="469"/>
      <c r="S181" s="469"/>
      <c r="T181" s="470"/>
      <c r="U181" s="470"/>
      <c r="V181" s="470"/>
      <c r="W181" s="472"/>
      <c r="X181" s="472"/>
      <c r="Y181" s="472"/>
      <c r="Z181" s="472"/>
      <c r="AA181" s="475"/>
    </row>
    <row r="182" spans="2:27" x14ac:dyDescent="0.25">
      <c r="B182" s="352">
        <v>2</v>
      </c>
      <c r="C182" s="368">
        <f>TREND(C179:C180,B179:B180,B182)</f>
        <v>0</v>
      </c>
      <c r="D182" s="629">
        <f>TREND(D179:D180,B179:B180,B182)</f>
        <v>0</v>
      </c>
      <c r="E182" s="632">
        <f>TREND(E179:E180,B179:B180,B182)</f>
        <v>5</v>
      </c>
      <c r="F182" s="371">
        <f>TREND(F179:F180,B179:B180,B182)</f>
        <v>5</v>
      </c>
      <c r="G182" s="966">
        <f t="shared" ref="G182:G199" si="81">C182*AVOPeakNB</f>
        <v>0</v>
      </c>
      <c r="H182" s="967">
        <f t="shared" ref="H182:H199" si="82">D182*AVOPeakB</f>
        <v>0</v>
      </c>
      <c r="I182" s="428">
        <f t="shared" ref="I182:I199" si="83">SegmentA/E182</f>
        <v>0</v>
      </c>
      <c r="J182" s="429">
        <f t="shared" ref="J182:J199" si="84">SegmentA/F182</f>
        <v>0</v>
      </c>
      <c r="K182" s="433">
        <f t="shared" ref="K182:K199" si="85">IF(RADataAvail="Y",(I182-J182)*MIN(G182,H182),SUM(K58,K89,K120)*VLOOKUP(TMSLookup,TMSAdj,6))</f>
        <v>0</v>
      </c>
      <c r="L182" s="434">
        <f t="shared" ref="L182:L199" si="86">IF(AND(RADataAvail="Y",H182&gt;G182,Induced="Y"),(I182-J182)*(H182-G182)*0.5,SUM(L58,L89,L120)*VLOOKUP(TMSLookup,TMSAdj,6))</f>
        <v>0</v>
      </c>
      <c r="M182" s="285">
        <f t="shared" ref="M182:M199" si="87">SUM($K182:$L182)*ValTimeAuto*IF(IM,ValTimeIMFactor,1)*(1+TTUprater)^($B182+Construct-1)</f>
        <v>0</v>
      </c>
      <c r="N182" s="323">
        <f t="shared" ref="N182:N199" si="88">$M182/(1+DiscRate)^($B182+Construct-1)</f>
        <v>0</v>
      </c>
      <c r="P182" s="468"/>
      <c r="Q182" s="469"/>
      <c r="R182" s="469"/>
      <c r="S182" s="469"/>
      <c r="T182" s="470"/>
      <c r="U182" s="470"/>
      <c r="V182" s="470"/>
      <c r="W182" s="472"/>
      <c r="X182" s="472"/>
      <c r="Y182" s="472"/>
      <c r="Z182" s="473"/>
      <c r="AA182" s="474"/>
    </row>
    <row r="183" spans="2:27" x14ac:dyDescent="0.25">
      <c r="B183" s="327">
        <v>3</v>
      </c>
      <c r="C183" s="347">
        <f>TREND(C179:C180,B179:B180,B183)</f>
        <v>0</v>
      </c>
      <c r="D183" s="630">
        <f>TREND(D179:D180,B179:B180,B183)</f>
        <v>0</v>
      </c>
      <c r="E183" s="633">
        <f>TREND(E179:E180,B179:B180,B183)</f>
        <v>5</v>
      </c>
      <c r="F183" s="374">
        <f>TREND(F179:F180,B179:B180,B183)</f>
        <v>5</v>
      </c>
      <c r="G183" s="966">
        <f t="shared" si="81"/>
        <v>0</v>
      </c>
      <c r="H183" s="967">
        <f t="shared" si="82"/>
        <v>0</v>
      </c>
      <c r="I183" s="428">
        <f t="shared" si="83"/>
        <v>0</v>
      </c>
      <c r="J183" s="431">
        <f t="shared" si="84"/>
        <v>0</v>
      </c>
      <c r="K183" s="339">
        <f t="shared" si="85"/>
        <v>0</v>
      </c>
      <c r="L183" s="436">
        <f t="shared" si="86"/>
        <v>0</v>
      </c>
      <c r="M183" s="285">
        <f t="shared" si="87"/>
        <v>0</v>
      </c>
      <c r="N183" s="323">
        <f t="shared" si="88"/>
        <v>0</v>
      </c>
      <c r="P183" s="468"/>
      <c r="Q183" s="469"/>
      <c r="R183" s="469"/>
      <c r="S183" s="469"/>
      <c r="T183" s="470"/>
      <c r="U183" s="470"/>
      <c r="V183" s="470"/>
      <c r="W183" s="472"/>
      <c r="X183" s="472"/>
      <c r="Y183" s="472"/>
      <c r="Z183" s="473"/>
      <c r="AA183" s="474"/>
    </row>
    <row r="184" spans="2:27" x14ac:dyDescent="0.25">
      <c r="B184" s="327">
        <v>4</v>
      </c>
      <c r="C184" s="347">
        <f>TREND(C179:C180,B179:B180,B184)</f>
        <v>0</v>
      </c>
      <c r="D184" s="630">
        <f>TREND(D179:D180,B179:B180,B184)</f>
        <v>0</v>
      </c>
      <c r="E184" s="633">
        <f>TREND(E179:E180,B179:B180,B184)</f>
        <v>5</v>
      </c>
      <c r="F184" s="374">
        <f>TREND(F179:F180,B179:B180,B184)</f>
        <v>5</v>
      </c>
      <c r="G184" s="966">
        <f t="shared" si="81"/>
        <v>0</v>
      </c>
      <c r="H184" s="967">
        <f t="shared" si="82"/>
        <v>0</v>
      </c>
      <c r="I184" s="428">
        <f t="shared" si="83"/>
        <v>0</v>
      </c>
      <c r="J184" s="431">
        <f t="shared" si="84"/>
        <v>0</v>
      </c>
      <c r="K184" s="339">
        <f t="shared" si="85"/>
        <v>0</v>
      </c>
      <c r="L184" s="436">
        <f t="shared" si="86"/>
        <v>0</v>
      </c>
      <c r="M184" s="285">
        <f t="shared" si="87"/>
        <v>0</v>
      </c>
      <c r="N184" s="323">
        <f t="shared" si="88"/>
        <v>0</v>
      </c>
      <c r="P184" s="468"/>
      <c r="Q184" s="469"/>
      <c r="R184" s="469"/>
      <c r="S184" s="469"/>
      <c r="T184" s="470"/>
      <c r="U184" s="470"/>
      <c r="V184" s="470"/>
      <c r="W184" s="472"/>
      <c r="X184" s="472"/>
      <c r="Y184" s="472"/>
      <c r="Z184" s="473"/>
      <c r="AA184" s="474"/>
    </row>
    <row r="185" spans="2:27" x14ac:dyDescent="0.25">
      <c r="B185" s="327">
        <v>5</v>
      </c>
      <c r="C185" s="347">
        <f>TREND(C179:C180,B179:B180,B185)</f>
        <v>0</v>
      </c>
      <c r="D185" s="630">
        <f>TREND(D179:D180,B179:B180,B185)</f>
        <v>0</v>
      </c>
      <c r="E185" s="633">
        <f>TREND(E179:E180,B179:B180,B185)</f>
        <v>5</v>
      </c>
      <c r="F185" s="374">
        <f>TREND(F179:F180,B179:B180,B185)</f>
        <v>5</v>
      </c>
      <c r="G185" s="966">
        <f t="shared" si="81"/>
        <v>0</v>
      </c>
      <c r="H185" s="967">
        <f t="shared" si="82"/>
        <v>0</v>
      </c>
      <c r="I185" s="428">
        <f t="shared" si="83"/>
        <v>0</v>
      </c>
      <c r="J185" s="431">
        <f t="shared" si="84"/>
        <v>0</v>
      </c>
      <c r="K185" s="339">
        <f t="shared" si="85"/>
        <v>0</v>
      </c>
      <c r="L185" s="436">
        <f t="shared" si="86"/>
        <v>0</v>
      </c>
      <c r="M185" s="285">
        <f t="shared" si="87"/>
        <v>0</v>
      </c>
      <c r="N185" s="323">
        <f t="shared" si="88"/>
        <v>0</v>
      </c>
      <c r="P185" s="468"/>
      <c r="Q185" s="469"/>
      <c r="R185" s="469"/>
      <c r="S185" s="469"/>
      <c r="T185" s="470"/>
      <c r="U185" s="470"/>
      <c r="V185" s="470"/>
      <c r="W185" s="472"/>
      <c r="X185" s="472"/>
      <c r="Y185" s="472"/>
      <c r="Z185" s="473"/>
      <c r="AA185" s="474"/>
    </row>
    <row r="186" spans="2:27" x14ac:dyDescent="0.25">
      <c r="B186" s="327">
        <v>6</v>
      </c>
      <c r="C186" s="347">
        <f>TREND(C179:C180,B179:B180,B186)</f>
        <v>0</v>
      </c>
      <c r="D186" s="630">
        <f>TREND(D179:D180,B179:B180,B186)</f>
        <v>0</v>
      </c>
      <c r="E186" s="633">
        <f>TREND(E179:E180,B179:B180,B186)</f>
        <v>5</v>
      </c>
      <c r="F186" s="374">
        <f>TREND(F179:F180,B179:B180,B186)</f>
        <v>5</v>
      </c>
      <c r="G186" s="966">
        <f t="shared" si="81"/>
        <v>0</v>
      </c>
      <c r="H186" s="967">
        <f t="shared" si="82"/>
        <v>0</v>
      </c>
      <c r="I186" s="428">
        <f t="shared" si="83"/>
        <v>0</v>
      </c>
      <c r="J186" s="431">
        <f t="shared" si="84"/>
        <v>0</v>
      </c>
      <c r="K186" s="339">
        <f t="shared" si="85"/>
        <v>0</v>
      </c>
      <c r="L186" s="436">
        <f t="shared" si="86"/>
        <v>0</v>
      </c>
      <c r="M186" s="285">
        <f t="shared" si="87"/>
        <v>0</v>
      </c>
      <c r="N186" s="323">
        <f t="shared" si="88"/>
        <v>0</v>
      </c>
      <c r="P186" s="468"/>
      <c r="Q186" s="469"/>
      <c r="R186" s="469"/>
      <c r="S186" s="469"/>
      <c r="T186" s="470"/>
      <c r="U186" s="470"/>
      <c r="V186" s="470"/>
      <c r="W186" s="472"/>
      <c r="X186" s="472"/>
      <c r="Y186" s="472"/>
      <c r="Z186" s="473"/>
      <c r="AA186" s="474"/>
    </row>
    <row r="187" spans="2:27" x14ac:dyDescent="0.25">
      <c r="B187" s="327">
        <v>7</v>
      </c>
      <c r="C187" s="347">
        <f>TREND(C179:C180,B179:B180,B187)</f>
        <v>0</v>
      </c>
      <c r="D187" s="630">
        <f>TREND(D179:D180,B179:B180,B187)</f>
        <v>0</v>
      </c>
      <c r="E187" s="633">
        <f>TREND(E179:E180,B179:B180,B187)</f>
        <v>5</v>
      </c>
      <c r="F187" s="374">
        <f>TREND(F179:F180,B179:B180,B187)</f>
        <v>5</v>
      </c>
      <c r="G187" s="966">
        <f t="shared" si="81"/>
        <v>0</v>
      </c>
      <c r="H187" s="967">
        <f t="shared" si="82"/>
        <v>0</v>
      </c>
      <c r="I187" s="428">
        <f t="shared" si="83"/>
        <v>0</v>
      </c>
      <c r="J187" s="431">
        <f t="shared" si="84"/>
        <v>0</v>
      </c>
      <c r="K187" s="339">
        <f t="shared" si="85"/>
        <v>0</v>
      </c>
      <c r="L187" s="436">
        <f t="shared" si="86"/>
        <v>0</v>
      </c>
      <c r="M187" s="285">
        <f t="shared" si="87"/>
        <v>0</v>
      </c>
      <c r="N187" s="323">
        <f t="shared" si="88"/>
        <v>0</v>
      </c>
      <c r="P187" s="468"/>
      <c r="Q187" s="469"/>
      <c r="R187" s="469"/>
      <c r="S187" s="469"/>
      <c r="T187" s="470"/>
      <c r="U187" s="470"/>
      <c r="V187" s="470"/>
      <c r="W187" s="472"/>
      <c r="X187" s="472"/>
      <c r="Y187" s="472"/>
      <c r="Z187" s="473"/>
      <c r="AA187" s="474"/>
    </row>
    <row r="188" spans="2:27" x14ac:dyDescent="0.25">
      <c r="B188" s="327">
        <v>8</v>
      </c>
      <c r="C188" s="347">
        <f>TREND(C179:C180,B179:B180,B188)</f>
        <v>0</v>
      </c>
      <c r="D188" s="630">
        <f>TREND(D179:D180,B179:B180,B188)</f>
        <v>0</v>
      </c>
      <c r="E188" s="633">
        <f>TREND(E179:E180,B179:B180,B188)</f>
        <v>5</v>
      </c>
      <c r="F188" s="374">
        <f>TREND(F179:F180,B179:B180,B188)</f>
        <v>5</v>
      </c>
      <c r="G188" s="966">
        <f t="shared" si="81"/>
        <v>0</v>
      </c>
      <c r="H188" s="967">
        <f t="shared" si="82"/>
        <v>0</v>
      </c>
      <c r="I188" s="428">
        <f t="shared" si="83"/>
        <v>0</v>
      </c>
      <c r="J188" s="431">
        <f t="shared" si="84"/>
        <v>0</v>
      </c>
      <c r="K188" s="339">
        <f t="shared" si="85"/>
        <v>0</v>
      </c>
      <c r="L188" s="436">
        <f t="shared" si="86"/>
        <v>0</v>
      </c>
      <c r="M188" s="285">
        <f t="shared" si="87"/>
        <v>0</v>
      </c>
      <c r="N188" s="323">
        <f t="shared" si="88"/>
        <v>0</v>
      </c>
      <c r="P188" s="468"/>
      <c r="Q188" s="469"/>
      <c r="R188" s="469"/>
      <c r="S188" s="469"/>
      <c r="T188" s="470"/>
      <c r="U188" s="470"/>
      <c r="V188" s="470"/>
      <c r="W188" s="472"/>
      <c r="X188" s="472"/>
      <c r="Y188" s="472"/>
      <c r="Z188" s="473"/>
      <c r="AA188" s="474"/>
    </row>
    <row r="189" spans="2:27" x14ac:dyDescent="0.25">
      <c r="B189" s="327">
        <v>9</v>
      </c>
      <c r="C189" s="347">
        <f>TREND(C179:C180,B179:B180,B189)</f>
        <v>0</v>
      </c>
      <c r="D189" s="630">
        <f>TREND(D179:D180,B179:B180,B189)</f>
        <v>0</v>
      </c>
      <c r="E189" s="633">
        <f>TREND(E179:E180,B179:B180,B189)</f>
        <v>5</v>
      </c>
      <c r="F189" s="374">
        <f>TREND(F179:F180,B179:B180,B189)</f>
        <v>5</v>
      </c>
      <c r="G189" s="966">
        <f t="shared" si="81"/>
        <v>0</v>
      </c>
      <c r="H189" s="967">
        <f t="shared" si="82"/>
        <v>0</v>
      </c>
      <c r="I189" s="428">
        <f t="shared" si="83"/>
        <v>0</v>
      </c>
      <c r="J189" s="431">
        <f t="shared" si="84"/>
        <v>0</v>
      </c>
      <c r="K189" s="339">
        <f t="shared" si="85"/>
        <v>0</v>
      </c>
      <c r="L189" s="436">
        <f t="shared" si="86"/>
        <v>0</v>
      </c>
      <c r="M189" s="285">
        <f t="shared" si="87"/>
        <v>0</v>
      </c>
      <c r="N189" s="323">
        <f t="shared" si="88"/>
        <v>0</v>
      </c>
      <c r="P189" s="468"/>
      <c r="Q189" s="469"/>
      <c r="R189" s="469"/>
      <c r="S189" s="469"/>
      <c r="T189" s="470"/>
      <c r="U189" s="470"/>
      <c r="V189" s="470"/>
      <c r="W189" s="472"/>
      <c r="X189" s="472"/>
      <c r="Y189" s="472"/>
      <c r="Z189" s="473"/>
      <c r="AA189" s="474"/>
    </row>
    <row r="190" spans="2:27" x14ac:dyDescent="0.25">
      <c r="B190" s="327">
        <v>10</v>
      </c>
      <c r="C190" s="347">
        <f>TREND(C179:C180,B179:B180,B190)</f>
        <v>0</v>
      </c>
      <c r="D190" s="630">
        <f>TREND(D179:D180,B179:B180,B190)</f>
        <v>0</v>
      </c>
      <c r="E190" s="633">
        <f>TREND(E179:E180,B179:B180,B190)</f>
        <v>5</v>
      </c>
      <c r="F190" s="374">
        <f>TREND(F179:F180,B179:B180,B190)</f>
        <v>5</v>
      </c>
      <c r="G190" s="966">
        <f t="shared" si="81"/>
        <v>0</v>
      </c>
      <c r="H190" s="967">
        <f t="shared" si="82"/>
        <v>0</v>
      </c>
      <c r="I190" s="428">
        <f t="shared" si="83"/>
        <v>0</v>
      </c>
      <c r="J190" s="431">
        <f t="shared" si="84"/>
        <v>0</v>
      </c>
      <c r="K190" s="339">
        <f t="shared" si="85"/>
        <v>0</v>
      </c>
      <c r="L190" s="436">
        <f t="shared" si="86"/>
        <v>0</v>
      </c>
      <c r="M190" s="285">
        <f t="shared" si="87"/>
        <v>0</v>
      </c>
      <c r="N190" s="323">
        <f t="shared" si="88"/>
        <v>0</v>
      </c>
      <c r="P190" s="468"/>
      <c r="Q190" s="469"/>
      <c r="R190" s="469"/>
      <c r="S190" s="469"/>
      <c r="T190" s="470"/>
      <c r="U190" s="470"/>
      <c r="V190" s="470"/>
      <c r="W190" s="472"/>
      <c r="X190" s="472"/>
      <c r="Y190" s="472"/>
      <c r="Z190" s="473"/>
      <c r="AA190" s="474"/>
    </row>
    <row r="191" spans="2:27" x14ac:dyDescent="0.25">
      <c r="B191" s="327">
        <v>11</v>
      </c>
      <c r="C191" s="347">
        <f>TREND(C179:C180,B179:B180,B191)</f>
        <v>0</v>
      </c>
      <c r="D191" s="630">
        <f>TREND(D179:D180,B179:B180,B191)</f>
        <v>0</v>
      </c>
      <c r="E191" s="633">
        <f>TREND(E179:E180,B179:B180,B191)</f>
        <v>5</v>
      </c>
      <c r="F191" s="374">
        <f>TREND(F179:F180,B179:B180,B191)</f>
        <v>5</v>
      </c>
      <c r="G191" s="966">
        <f t="shared" si="81"/>
        <v>0</v>
      </c>
      <c r="H191" s="967">
        <f t="shared" si="82"/>
        <v>0</v>
      </c>
      <c r="I191" s="428">
        <f t="shared" si="83"/>
        <v>0</v>
      </c>
      <c r="J191" s="431">
        <f t="shared" si="84"/>
        <v>0</v>
      </c>
      <c r="K191" s="339">
        <f t="shared" si="85"/>
        <v>0</v>
      </c>
      <c r="L191" s="436">
        <f t="shared" si="86"/>
        <v>0</v>
      </c>
      <c r="M191" s="285">
        <f t="shared" si="87"/>
        <v>0</v>
      </c>
      <c r="N191" s="323">
        <f t="shared" si="88"/>
        <v>0</v>
      </c>
      <c r="P191" s="468"/>
      <c r="Q191" s="469"/>
      <c r="R191" s="469"/>
      <c r="S191" s="469"/>
      <c r="T191" s="470"/>
      <c r="U191" s="470"/>
      <c r="V191" s="470"/>
      <c r="W191" s="472"/>
      <c r="X191" s="472"/>
      <c r="Y191" s="472"/>
      <c r="Z191" s="473"/>
      <c r="AA191" s="474"/>
    </row>
    <row r="192" spans="2:27" x14ac:dyDescent="0.25">
      <c r="B192" s="327">
        <v>12</v>
      </c>
      <c r="C192" s="347">
        <f>TREND(C179:C180,B179:B180,B192)</f>
        <v>0</v>
      </c>
      <c r="D192" s="630">
        <f>TREND(D179:D180,B179:B180,B192)</f>
        <v>0</v>
      </c>
      <c r="E192" s="633">
        <f>TREND(E179:E180,B179:B180,B192)</f>
        <v>5</v>
      </c>
      <c r="F192" s="374">
        <f>TREND(F179:F180,B179:B180,B192)</f>
        <v>5</v>
      </c>
      <c r="G192" s="966">
        <f t="shared" si="81"/>
        <v>0</v>
      </c>
      <c r="H192" s="967">
        <f t="shared" si="82"/>
        <v>0</v>
      </c>
      <c r="I192" s="428">
        <f t="shared" si="83"/>
        <v>0</v>
      </c>
      <c r="J192" s="431">
        <f t="shared" si="84"/>
        <v>0</v>
      </c>
      <c r="K192" s="339">
        <f t="shared" si="85"/>
        <v>0</v>
      </c>
      <c r="L192" s="436">
        <f t="shared" si="86"/>
        <v>0</v>
      </c>
      <c r="M192" s="285">
        <f t="shared" si="87"/>
        <v>0</v>
      </c>
      <c r="N192" s="323">
        <f t="shared" si="88"/>
        <v>0</v>
      </c>
      <c r="P192" s="468"/>
      <c r="Q192" s="469"/>
      <c r="R192" s="469"/>
      <c r="S192" s="469"/>
      <c r="T192" s="470"/>
      <c r="U192" s="470"/>
      <c r="V192" s="470"/>
      <c r="W192" s="472"/>
      <c r="X192" s="472"/>
      <c r="Y192" s="472"/>
      <c r="Z192" s="473"/>
      <c r="AA192" s="474"/>
    </row>
    <row r="193" spans="2:27" x14ac:dyDescent="0.25">
      <c r="B193" s="327">
        <v>13</v>
      </c>
      <c r="C193" s="347">
        <f>TREND(C179:C180,B179:B180,B193)</f>
        <v>0</v>
      </c>
      <c r="D193" s="630">
        <f>TREND(D179:D180,B179:B180,B193)</f>
        <v>0</v>
      </c>
      <c r="E193" s="633">
        <f>TREND(E179:E180,B179:B180,B193)</f>
        <v>5</v>
      </c>
      <c r="F193" s="374">
        <f>TREND(F179:F180,B179:B180,B193)</f>
        <v>5</v>
      </c>
      <c r="G193" s="966">
        <f t="shared" si="81"/>
        <v>0</v>
      </c>
      <c r="H193" s="967">
        <f t="shared" si="82"/>
        <v>0</v>
      </c>
      <c r="I193" s="428">
        <f t="shared" si="83"/>
        <v>0</v>
      </c>
      <c r="J193" s="431">
        <f t="shared" si="84"/>
        <v>0</v>
      </c>
      <c r="K193" s="339">
        <f t="shared" si="85"/>
        <v>0</v>
      </c>
      <c r="L193" s="436">
        <f t="shared" si="86"/>
        <v>0</v>
      </c>
      <c r="M193" s="285">
        <f t="shared" si="87"/>
        <v>0</v>
      </c>
      <c r="N193" s="323">
        <f t="shared" si="88"/>
        <v>0</v>
      </c>
      <c r="P193" s="468"/>
      <c r="Q193" s="469"/>
      <c r="R193" s="469"/>
      <c r="S193" s="469"/>
      <c r="T193" s="470"/>
      <c r="U193" s="470"/>
      <c r="V193" s="470"/>
      <c r="W193" s="472"/>
      <c r="X193" s="472"/>
      <c r="Y193" s="472"/>
      <c r="Z193" s="473"/>
      <c r="AA193" s="474"/>
    </row>
    <row r="194" spans="2:27" x14ac:dyDescent="0.25">
      <c r="B194" s="327">
        <v>14</v>
      </c>
      <c r="C194" s="347">
        <f>TREND(C179:C180,B179:B180,B194)</f>
        <v>0</v>
      </c>
      <c r="D194" s="630">
        <f>TREND(D179:D180,B179:B180,B194)</f>
        <v>0</v>
      </c>
      <c r="E194" s="633">
        <f>TREND(E179:E180,B179:B180,B194)</f>
        <v>5</v>
      </c>
      <c r="F194" s="374">
        <f>TREND(F179:F180,B179:B180,B194)</f>
        <v>5</v>
      </c>
      <c r="G194" s="966">
        <f t="shared" si="81"/>
        <v>0</v>
      </c>
      <c r="H194" s="967">
        <f t="shared" si="82"/>
        <v>0</v>
      </c>
      <c r="I194" s="428">
        <f t="shared" si="83"/>
        <v>0</v>
      </c>
      <c r="J194" s="431">
        <f t="shared" si="84"/>
        <v>0</v>
      </c>
      <c r="K194" s="339">
        <f t="shared" si="85"/>
        <v>0</v>
      </c>
      <c r="L194" s="436">
        <f t="shared" si="86"/>
        <v>0</v>
      </c>
      <c r="M194" s="285">
        <f t="shared" si="87"/>
        <v>0</v>
      </c>
      <c r="N194" s="323">
        <f t="shared" si="88"/>
        <v>0</v>
      </c>
      <c r="P194" s="468"/>
      <c r="Q194" s="469"/>
      <c r="R194" s="469"/>
      <c r="S194" s="469"/>
      <c r="T194" s="470"/>
      <c r="U194" s="470"/>
      <c r="V194" s="470"/>
      <c r="W194" s="472"/>
      <c r="X194" s="472"/>
      <c r="Y194" s="472"/>
      <c r="Z194" s="473"/>
      <c r="AA194" s="474"/>
    </row>
    <row r="195" spans="2:27" x14ac:dyDescent="0.25">
      <c r="B195" s="327">
        <v>15</v>
      </c>
      <c r="C195" s="347">
        <f>TREND(C179:C180,B179:B180,B195)</f>
        <v>0</v>
      </c>
      <c r="D195" s="630">
        <f>TREND(D179:D180,B179:B180,B195)</f>
        <v>0</v>
      </c>
      <c r="E195" s="633">
        <f>TREND(E179:E180,B179:B180,B195)</f>
        <v>5</v>
      </c>
      <c r="F195" s="374">
        <f>TREND(F179:F180,B179:B180,B195)</f>
        <v>5</v>
      </c>
      <c r="G195" s="966">
        <f t="shared" si="81"/>
        <v>0</v>
      </c>
      <c r="H195" s="967">
        <f t="shared" si="82"/>
        <v>0</v>
      </c>
      <c r="I195" s="428">
        <f t="shared" si="83"/>
        <v>0</v>
      </c>
      <c r="J195" s="431">
        <f t="shared" si="84"/>
        <v>0</v>
      </c>
      <c r="K195" s="339">
        <f t="shared" si="85"/>
        <v>0</v>
      </c>
      <c r="L195" s="436">
        <f t="shared" si="86"/>
        <v>0</v>
      </c>
      <c r="M195" s="285">
        <f t="shared" si="87"/>
        <v>0</v>
      </c>
      <c r="N195" s="323">
        <f t="shared" si="88"/>
        <v>0</v>
      </c>
      <c r="P195" s="468"/>
      <c r="Q195" s="469"/>
      <c r="R195" s="469"/>
      <c r="S195" s="469"/>
      <c r="T195" s="470"/>
      <c r="U195" s="470"/>
      <c r="V195" s="470"/>
      <c r="W195" s="472"/>
      <c r="X195" s="472"/>
      <c r="Y195" s="472"/>
      <c r="Z195" s="473"/>
      <c r="AA195" s="474"/>
    </row>
    <row r="196" spans="2:27" x14ac:dyDescent="0.25">
      <c r="B196" s="327">
        <v>16</v>
      </c>
      <c r="C196" s="347">
        <f>TREND(C179:C180,B179:B180,B196)</f>
        <v>0</v>
      </c>
      <c r="D196" s="630">
        <f>TREND(D179:D180,B179:B180,B196)</f>
        <v>0</v>
      </c>
      <c r="E196" s="633">
        <f>TREND(E179:E180,B179:B180,B196)</f>
        <v>5</v>
      </c>
      <c r="F196" s="374">
        <f>TREND(F179:F180,B179:B180,B196)</f>
        <v>5</v>
      </c>
      <c r="G196" s="966">
        <f t="shared" si="81"/>
        <v>0</v>
      </c>
      <c r="H196" s="967">
        <f t="shared" si="82"/>
        <v>0</v>
      </c>
      <c r="I196" s="428">
        <f t="shared" si="83"/>
        <v>0</v>
      </c>
      <c r="J196" s="431">
        <f t="shared" si="84"/>
        <v>0</v>
      </c>
      <c r="K196" s="339">
        <f t="shared" si="85"/>
        <v>0</v>
      </c>
      <c r="L196" s="436">
        <f t="shared" si="86"/>
        <v>0</v>
      </c>
      <c r="M196" s="285">
        <f t="shared" si="87"/>
        <v>0</v>
      </c>
      <c r="N196" s="323">
        <f t="shared" si="88"/>
        <v>0</v>
      </c>
      <c r="P196" s="468"/>
      <c r="Q196" s="469"/>
      <c r="R196" s="469"/>
      <c r="S196" s="469"/>
      <c r="T196" s="470"/>
      <c r="U196" s="470"/>
      <c r="V196" s="470"/>
      <c r="W196" s="472"/>
      <c r="X196" s="472"/>
      <c r="Y196" s="472"/>
      <c r="Z196" s="473"/>
      <c r="AA196" s="474"/>
    </row>
    <row r="197" spans="2:27" x14ac:dyDescent="0.25">
      <c r="B197" s="327">
        <v>17</v>
      </c>
      <c r="C197" s="347">
        <f>TREND(C179:C180,B179:B180,B197)</f>
        <v>0</v>
      </c>
      <c r="D197" s="630">
        <f>TREND(D179:D180,B179:B180,B197)</f>
        <v>0</v>
      </c>
      <c r="E197" s="633">
        <f>TREND(E179:E180,B179:B180,B197)</f>
        <v>5</v>
      </c>
      <c r="F197" s="374">
        <f>TREND(F179:F180,B179:B180,B197)</f>
        <v>5</v>
      </c>
      <c r="G197" s="966">
        <f t="shared" si="81"/>
        <v>0</v>
      </c>
      <c r="H197" s="967">
        <f t="shared" si="82"/>
        <v>0</v>
      </c>
      <c r="I197" s="428">
        <f t="shared" si="83"/>
        <v>0</v>
      </c>
      <c r="J197" s="431">
        <f t="shared" si="84"/>
        <v>0</v>
      </c>
      <c r="K197" s="339">
        <f t="shared" si="85"/>
        <v>0</v>
      </c>
      <c r="L197" s="436">
        <f t="shared" si="86"/>
        <v>0</v>
      </c>
      <c r="M197" s="285">
        <f t="shared" si="87"/>
        <v>0</v>
      </c>
      <c r="N197" s="323">
        <f t="shared" si="88"/>
        <v>0</v>
      </c>
      <c r="P197" s="468"/>
      <c r="Q197" s="469"/>
      <c r="R197" s="469"/>
      <c r="S197" s="469"/>
      <c r="T197" s="470"/>
      <c r="U197" s="470"/>
      <c r="V197" s="470"/>
      <c r="W197" s="472"/>
      <c r="X197" s="472"/>
      <c r="Y197" s="472"/>
      <c r="Z197" s="473"/>
      <c r="AA197" s="474"/>
    </row>
    <row r="198" spans="2:27" x14ac:dyDescent="0.25">
      <c r="B198" s="327">
        <v>18</v>
      </c>
      <c r="C198" s="347">
        <f>TREND(C179:C180,B179:B180,B198)</f>
        <v>0</v>
      </c>
      <c r="D198" s="630">
        <f>TREND(D179:D180,B179:B180,B198)</f>
        <v>0</v>
      </c>
      <c r="E198" s="633">
        <f>TREND(E179:E180,B179:B180,B198)</f>
        <v>5</v>
      </c>
      <c r="F198" s="374">
        <f>TREND(F179:F180,B179:B180,B198)</f>
        <v>5</v>
      </c>
      <c r="G198" s="966">
        <f t="shared" si="81"/>
        <v>0</v>
      </c>
      <c r="H198" s="967">
        <f t="shared" si="82"/>
        <v>0</v>
      </c>
      <c r="I198" s="428">
        <f t="shared" si="83"/>
        <v>0</v>
      </c>
      <c r="J198" s="431">
        <f t="shared" si="84"/>
        <v>0</v>
      </c>
      <c r="K198" s="339">
        <f t="shared" si="85"/>
        <v>0</v>
      </c>
      <c r="L198" s="436">
        <f t="shared" si="86"/>
        <v>0</v>
      </c>
      <c r="M198" s="285">
        <f t="shared" si="87"/>
        <v>0</v>
      </c>
      <c r="N198" s="323">
        <f t="shared" si="88"/>
        <v>0</v>
      </c>
      <c r="P198" s="468"/>
      <c r="Q198" s="469"/>
      <c r="R198" s="469"/>
      <c r="S198" s="469"/>
      <c r="T198" s="470"/>
      <c r="U198" s="470"/>
      <c r="V198" s="470"/>
      <c r="W198" s="472"/>
      <c r="X198" s="472"/>
      <c r="Y198" s="472"/>
      <c r="Z198" s="473"/>
      <c r="AA198" s="474"/>
    </row>
    <row r="199" spans="2:27" x14ac:dyDescent="0.25">
      <c r="B199" s="359">
        <v>19</v>
      </c>
      <c r="C199" s="360">
        <f>TREND(C179:C180,B179:B180,B199)</f>
        <v>0</v>
      </c>
      <c r="D199" s="631">
        <f>TREND(D179:D180,B179:B180,B199)</f>
        <v>0</v>
      </c>
      <c r="E199" s="634">
        <f>TREND(E179:E180,B179:B180,B199)</f>
        <v>5</v>
      </c>
      <c r="F199" s="377">
        <f>TREND(F179:F180,B179:B180,B199)</f>
        <v>5</v>
      </c>
      <c r="G199" s="966">
        <f t="shared" si="81"/>
        <v>0</v>
      </c>
      <c r="H199" s="967">
        <f t="shared" si="82"/>
        <v>0</v>
      </c>
      <c r="I199" s="428">
        <f t="shared" si="83"/>
        <v>0</v>
      </c>
      <c r="J199" s="430">
        <f t="shared" si="84"/>
        <v>0</v>
      </c>
      <c r="K199" s="340">
        <f t="shared" si="85"/>
        <v>0</v>
      </c>
      <c r="L199" s="435">
        <f t="shared" si="86"/>
        <v>0</v>
      </c>
      <c r="M199" s="285">
        <f t="shared" si="87"/>
        <v>0</v>
      </c>
      <c r="N199" s="323">
        <f t="shared" si="88"/>
        <v>0</v>
      </c>
      <c r="P199" s="468"/>
      <c r="Q199" s="469"/>
      <c r="R199" s="469"/>
      <c r="S199" s="469"/>
      <c r="T199" s="470"/>
      <c r="U199" s="470"/>
      <c r="V199" s="470"/>
      <c r="W199" s="472"/>
      <c r="X199" s="472"/>
      <c r="Y199" s="472"/>
      <c r="Z199" s="473"/>
      <c r="AA199" s="474"/>
    </row>
    <row r="200" spans="2:27" x14ac:dyDescent="0.25">
      <c r="B200" s="357"/>
      <c r="C200" s="355"/>
      <c r="D200" s="355"/>
      <c r="E200" s="355"/>
      <c r="F200" s="355"/>
      <c r="G200" s="356"/>
      <c r="H200" s="356"/>
      <c r="I200" s="356"/>
      <c r="J200" s="356"/>
      <c r="K200" s="356"/>
      <c r="L200" s="356"/>
      <c r="M200" s="356"/>
      <c r="N200" s="358"/>
      <c r="P200" s="468"/>
      <c r="Q200" s="469"/>
      <c r="R200" s="469"/>
      <c r="S200" s="469"/>
      <c r="T200" s="469"/>
      <c r="U200" s="469"/>
      <c r="V200" s="469"/>
      <c r="W200" s="472"/>
      <c r="X200" s="472"/>
      <c r="Y200" s="472"/>
      <c r="Z200" s="472"/>
      <c r="AA200" s="475"/>
    </row>
    <row r="201" spans="2:27" ht="13" x14ac:dyDescent="0.25">
      <c r="B201" s="329" t="s">
        <v>172</v>
      </c>
      <c r="C201" s="330"/>
      <c r="D201" s="331"/>
      <c r="E201" s="331"/>
      <c r="F201" s="331"/>
      <c r="G201" s="331"/>
      <c r="H201" s="331"/>
      <c r="I201" s="331"/>
      <c r="J201" s="331"/>
      <c r="K201" s="331"/>
      <c r="L201" s="332"/>
      <c r="M201" s="341"/>
      <c r="N201" s="342">
        <f>SUM(N179:N199)</f>
        <v>0</v>
      </c>
      <c r="P201" s="465"/>
      <c r="Q201" s="476"/>
      <c r="R201" s="271"/>
      <c r="S201" s="271"/>
      <c r="T201" s="271"/>
      <c r="U201" s="271"/>
      <c r="V201" s="271"/>
      <c r="W201" s="271"/>
      <c r="X201" s="271"/>
      <c r="Y201" s="473"/>
      <c r="Z201" s="271"/>
      <c r="AA201" s="477"/>
    </row>
    <row r="202" spans="2:27" x14ac:dyDescent="0.25">
      <c r="P202" s="448"/>
      <c r="Q202" s="448"/>
      <c r="R202" s="449"/>
      <c r="S202" s="449"/>
      <c r="T202" s="449"/>
      <c r="U202" s="449"/>
      <c r="V202" s="449"/>
      <c r="W202" s="450"/>
      <c r="X202" s="450"/>
      <c r="Y202" s="450"/>
      <c r="Z202" s="450"/>
      <c r="AA202" s="450"/>
    </row>
    <row r="203" spans="2:27" x14ac:dyDescent="0.25">
      <c r="P203" s="448"/>
      <c r="Q203" s="448"/>
      <c r="R203" s="449"/>
      <c r="S203" s="449"/>
      <c r="T203" s="449"/>
      <c r="U203" s="449"/>
      <c r="V203" s="449"/>
      <c r="W203" s="450"/>
      <c r="X203" s="450"/>
      <c r="Y203" s="450"/>
      <c r="Z203" s="450"/>
      <c r="AA203" s="450"/>
    </row>
    <row r="204" spans="2:27" ht="13" x14ac:dyDescent="0.25">
      <c r="B204" s="350" t="s">
        <v>254</v>
      </c>
      <c r="C204" s="88"/>
      <c r="D204" s="88"/>
      <c r="E204" s="88"/>
      <c r="F204" s="88"/>
      <c r="G204" s="309"/>
      <c r="H204" s="309"/>
      <c r="I204" s="88"/>
      <c r="J204" s="309"/>
      <c r="K204" s="309"/>
      <c r="L204" s="88"/>
      <c r="M204" s="88"/>
      <c r="N204" s="88"/>
      <c r="P204" s="448"/>
      <c r="Q204" s="448"/>
      <c r="R204" s="449"/>
      <c r="S204" s="449"/>
      <c r="T204" s="449"/>
      <c r="U204" s="449"/>
      <c r="V204" s="449"/>
      <c r="W204" s="450"/>
      <c r="X204" s="450"/>
      <c r="Y204" s="450"/>
      <c r="Z204" s="450"/>
      <c r="AA204" s="450"/>
    </row>
    <row r="205" spans="2:27" x14ac:dyDescent="0.25">
      <c r="B205" s="88"/>
      <c r="C205" s="88"/>
      <c r="D205" s="274"/>
      <c r="E205" s="274"/>
      <c r="F205" s="274"/>
      <c r="G205" s="88"/>
      <c r="H205" s="88"/>
      <c r="I205" s="88"/>
      <c r="J205" s="88"/>
      <c r="K205" s="88"/>
      <c r="L205" s="88"/>
      <c r="M205" s="88"/>
      <c r="N205" s="351"/>
      <c r="P205" s="448"/>
      <c r="Q205" s="448"/>
      <c r="R205" s="449"/>
      <c r="S205" s="449"/>
      <c r="T205" s="449"/>
      <c r="U205" s="449"/>
      <c r="V205" s="449"/>
      <c r="W205" s="450"/>
      <c r="X205" s="450"/>
      <c r="Y205" s="450"/>
      <c r="Z205" s="450"/>
      <c r="AA205" s="450"/>
    </row>
    <row r="206" spans="2:27" ht="15.5" x14ac:dyDescent="0.25">
      <c r="B206" s="317"/>
      <c r="C206" s="320" t="s">
        <v>230</v>
      </c>
      <c r="D206" s="361"/>
      <c r="E206" s="320" t="s">
        <v>231</v>
      </c>
      <c r="F206" s="333"/>
      <c r="G206" s="335" t="s">
        <v>234</v>
      </c>
      <c r="H206" s="361"/>
      <c r="I206" s="335" t="s">
        <v>232</v>
      </c>
      <c r="J206" s="321"/>
      <c r="K206" s="437" t="s">
        <v>233</v>
      </c>
      <c r="L206" s="438"/>
      <c r="M206" s="322"/>
      <c r="N206" s="343"/>
      <c r="P206" s="448"/>
      <c r="Q206" s="448"/>
      <c r="R206" s="449"/>
      <c r="S206" s="449"/>
      <c r="T206" s="449"/>
      <c r="U206" s="449"/>
      <c r="V206" s="449"/>
      <c r="W206" s="450"/>
      <c r="X206" s="450"/>
      <c r="Y206" s="450"/>
      <c r="Z206" s="450"/>
      <c r="AA206" s="450"/>
    </row>
    <row r="207" spans="2:27" ht="14" x14ac:dyDescent="0.25">
      <c r="B207" s="318"/>
      <c r="C207" s="287" t="s">
        <v>237</v>
      </c>
      <c r="D207" s="362"/>
      <c r="E207" s="287" t="s">
        <v>238</v>
      </c>
      <c r="F207" s="334"/>
      <c r="G207" s="336" t="s">
        <v>240</v>
      </c>
      <c r="H207" s="362"/>
      <c r="I207" s="336" t="s">
        <v>239</v>
      </c>
      <c r="J207" s="288"/>
      <c r="K207" s="439" t="s">
        <v>552</v>
      </c>
      <c r="L207" s="440"/>
      <c r="M207" s="284"/>
      <c r="N207" s="344"/>
      <c r="P207" s="448"/>
      <c r="Q207" s="448"/>
      <c r="R207" s="449"/>
      <c r="S207" s="449"/>
      <c r="T207" s="449"/>
      <c r="U207" s="449"/>
      <c r="V207" s="449"/>
      <c r="W207" s="450"/>
      <c r="X207" s="450"/>
      <c r="Y207" s="450"/>
      <c r="Z207" s="450"/>
      <c r="AA207" s="450"/>
    </row>
    <row r="208" spans="2:27" ht="14" x14ac:dyDescent="0.25">
      <c r="B208" s="169" t="s">
        <v>135</v>
      </c>
      <c r="C208" s="316"/>
      <c r="D208" s="283"/>
      <c r="E208" s="316"/>
      <c r="F208" s="283"/>
      <c r="G208" s="316"/>
      <c r="H208" s="283"/>
      <c r="I208" s="316"/>
      <c r="J208" s="283"/>
      <c r="K208" s="432" t="s">
        <v>151</v>
      </c>
      <c r="L208" s="283" t="s">
        <v>152</v>
      </c>
      <c r="M208" s="286" t="s">
        <v>242</v>
      </c>
      <c r="N208" s="345" t="s">
        <v>139</v>
      </c>
      <c r="P208" s="448"/>
      <c r="Q208" s="448"/>
      <c r="R208" s="449"/>
      <c r="S208" s="449"/>
      <c r="T208" s="449"/>
      <c r="U208" s="449"/>
      <c r="V208" s="449"/>
      <c r="W208" s="450"/>
      <c r="X208" s="450"/>
      <c r="Y208" s="450"/>
      <c r="Z208" s="450"/>
      <c r="AA208" s="450"/>
    </row>
    <row r="209" spans="2:27" ht="14" x14ac:dyDescent="0.25">
      <c r="B209" s="319"/>
      <c r="C209" s="324" t="s">
        <v>0</v>
      </c>
      <c r="D209" s="325" t="s">
        <v>1</v>
      </c>
      <c r="E209" s="324" t="s">
        <v>0</v>
      </c>
      <c r="F209" s="325" t="s">
        <v>1</v>
      </c>
      <c r="G209" s="324" t="s">
        <v>0</v>
      </c>
      <c r="H209" s="325" t="s">
        <v>1</v>
      </c>
      <c r="I209" s="324" t="s">
        <v>0</v>
      </c>
      <c r="J209" s="325" t="s">
        <v>1</v>
      </c>
      <c r="K209" s="441" t="s">
        <v>244</v>
      </c>
      <c r="L209" s="325" t="s">
        <v>245</v>
      </c>
      <c r="M209" s="326" t="s">
        <v>148</v>
      </c>
      <c r="N209" s="346" t="s">
        <v>149</v>
      </c>
      <c r="P209" s="448"/>
      <c r="Q209" s="448"/>
      <c r="R209" s="449"/>
      <c r="S209" s="449"/>
      <c r="T209" s="449"/>
      <c r="U209" s="449"/>
      <c r="V209" s="449"/>
      <c r="W209" s="450"/>
      <c r="X209" s="450"/>
      <c r="Y209" s="450"/>
      <c r="Z209" s="450"/>
      <c r="AA209" s="450"/>
    </row>
    <row r="210" spans="2:27" x14ac:dyDescent="0.25">
      <c r="B210" s="327">
        <v>1</v>
      </c>
      <c r="C210" s="348">
        <f>NNV1NB*AnnualFactor</f>
        <v>0</v>
      </c>
      <c r="D210" s="349">
        <f>NNV1B*AnnualFactor</f>
        <v>0</v>
      </c>
      <c r="E210" s="363">
        <f>ROUND(NNS1NB,1)</f>
        <v>55</v>
      </c>
      <c r="F210" s="364">
        <f>ROUND(NNS1B,1)</f>
        <v>55</v>
      </c>
      <c r="G210" s="966">
        <f>C210*AVONonNB</f>
        <v>0</v>
      </c>
      <c r="H210" s="967">
        <f>D210*AVONonB</f>
        <v>0</v>
      </c>
      <c r="I210" s="428">
        <f>IF(HwyRail,GateTime1/60/2,ImpactedNB/E210)</f>
        <v>0</v>
      </c>
      <c r="J210" s="429">
        <f>IF(HwyRail,0,ImpactedB/F210)</f>
        <v>0</v>
      </c>
      <c r="K210" s="433">
        <f>IF(OR(TruckLane,Bypass,HOV2to3,HOTConv,OnRamp,RM,AM,IM,TI),I210*G210-J210*H210,(I210-J210)*MIN(G210,H210))</f>
        <v>0</v>
      </c>
      <c r="L210" s="434">
        <f>IF(AND(H210&gt;G210,NOT(OR(TruckLane,Bypass,HOV2to3,HOTConv,OnRamp,RM,AM,IM,TI)),Induced="Y"),(I210-J210)*(H210-G210)*0.5,IF(OR(HOV2to3,HOTConv),(I210-J210)*NNT1Ind*IF(Induced="Y",-0.5,-1),0))</f>
        <v>0</v>
      </c>
      <c r="M210" s="285">
        <f>SUM($K210:$L210)*ValTimeAuto*IF(IM,ValTimeIMFactor,1)*(1+TTUprater)^($B210+Construct-1)</f>
        <v>0</v>
      </c>
      <c r="N210" s="323">
        <f>$M210/(1+DiscRate)^($B210+Construct-1)</f>
        <v>0</v>
      </c>
      <c r="P210" s="448"/>
      <c r="Q210" s="448"/>
      <c r="R210" s="449"/>
      <c r="S210" s="449"/>
      <c r="T210" s="449"/>
      <c r="U210" s="449"/>
      <c r="V210" s="449"/>
      <c r="W210" s="450"/>
      <c r="X210" s="450"/>
      <c r="Y210" s="450"/>
      <c r="Z210" s="450"/>
      <c r="AA210" s="450"/>
    </row>
    <row r="211" spans="2:27" x14ac:dyDescent="0.25">
      <c r="B211" s="328">
        <v>20</v>
      </c>
      <c r="C211" s="353">
        <f>NNV20NB*AnnualFactor</f>
        <v>0</v>
      </c>
      <c r="D211" s="354">
        <f>NNV20B*AnnualFactor</f>
        <v>0</v>
      </c>
      <c r="E211" s="365">
        <f>ROUND(NNS20NB,1)</f>
        <v>55</v>
      </c>
      <c r="F211" s="366">
        <f>ROUND(NNS20B,1)</f>
        <v>55</v>
      </c>
      <c r="G211" s="966">
        <f>C211*AVONonNB</f>
        <v>0</v>
      </c>
      <c r="H211" s="967">
        <f>D211*AVONonB</f>
        <v>0</v>
      </c>
      <c r="I211" s="428">
        <f>IF(HwyRail,GateTime20/60/2,ImpactedNB/E211)</f>
        <v>0</v>
      </c>
      <c r="J211" s="430">
        <f>IF(HwyRail,0,ImpactedB/F211)</f>
        <v>0</v>
      </c>
      <c r="K211" s="340">
        <f>IF(OR(TruckLane,Bypass,HOV2to3,HOTConv,OnRamp,RM,AM,IM,TI),I211*G211-J211*H211,(I211-J211)*MIN(G211,H211))</f>
        <v>0</v>
      </c>
      <c r="L211" s="435">
        <f>IF(AND(H211&gt;G211,NOT(OR(TruckLane,Bypass,HOV2to3,HOTConv,OnRamp,RM,AM,IM,TI)),Induced="Y"),(I211-J211)*(H211-G211)*0.5,IF(OR(HOV2to3,HOTConv),(I211-J211)*NNT20Ind*IF(Induced="Y",-0.5,-1),0))</f>
        <v>0</v>
      </c>
      <c r="M211" s="285">
        <f>SUM($K211:$L211)*ValTimeAuto*IF(IM,ValTimeIMFactor,1)*(1+TTUprater)^($B211+Construct-1)</f>
        <v>0</v>
      </c>
      <c r="N211" s="323">
        <f>$M211/(1+DiscRate)^($B211+Construct-1)</f>
        <v>0</v>
      </c>
      <c r="P211" s="448"/>
      <c r="Q211" s="448"/>
      <c r="R211" s="449"/>
      <c r="S211" s="449"/>
      <c r="T211" s="449"/>
      <c r="U211" s="449"/>
      <c r="V211" s="449"/>
      <c r="W211" s="450"/>
      <c r="X211" s="450"/>
      <c r="Y211" s="450"/>
      <c r="Z211" s="450"/>
      <c r="AA211" s="450"/>
    </row>
    <row r="212" spans="2:27" x14ac:dyDescent="0.25">
      <c r="B212" s="357"/>
      <c r="C212" s="355"/>
      <c r="D212" s="355"/>
      <c r="E212" s="367"/>
      <c r="F212" s="367"/>
      <c r="G212" s="356"/>
      <c r="H212" s="356"/>
      <c r="I212" s="356"/>
      <c r="J212" s="356"/>
      <c r="K212" s="356"/>
      <c r="L212" s="356"/>
      <c r="M212" s="356"/>
      <c r="N212" s="358"/>
    </row>
    <row r="213" spans="2:27" x14ac:dyDescent="0.25">
      <c r="B213" s="352">
        <v>2</v>
      </c>
      <c r="C213" s="368">
        <f>TREND(C210:C211,B210:B211,B213)</f>
        <v>0</v>
      </c>
      <c r="D213" s="629">
        <f>TREND(D210:D211,B210:B211,B213)</f>
        <v>0</v>
      </c>
      <c r="E213" s="632">
        <f>TREND(E210:E211,B210:B211,B213)</f>
        <v>55</v>
      </c>
      <c r="F213" s="371">
        <f>TREND(F210:F211,B210:B211,B213)</f>
        <v>55</v>
      </c>
      <c r="G213" s="966">
        <f t="shared" ref="G213:G230" si="89">C213*AVONonNB</f>
        <v>0</v>
      </c>
      <c r="H213" s="967">
        <f t="shared" ref="H213:H230" si="90">D213*AVONonB</f>
        <v>0</v>
      </c>
      <c r="I213" s="428">
        <f>IF(HwyRail,TREND(I210:I211,B210:B211,B213),ImpactedNB/E213)</f>
        <v>0</v>
      </c>
      <c r="J213" s="429">
        <f t="shared" ref="J213:J230" si="91">IF(HwyRail,0,ImpactedB/F213)</f>
        <v>0</v>
      </c>
      <c r="K213" s="433">
        <f t="shared" ref="K213:K230" si="92">IF(OR(TruckLane,Bypass,HOV2to3,HOTConv,OnRamp,RM,AM,IM,TI),I213*G213-J213*H213,(I213-J213)*MIN(G213,H213))</f>
        <v>0</v>
      </c>
      <c r="L213" s="434">
        <f>IF(AND(H213&gt;G213,NOT(OR(TruckLane,Bypass,HOV2to3,HOTConv,OnRamp,RM,AM,IM,TI)),Induced="Y"),(I213-J213)*(H213-G213)*0.5,IF(OR(HOV2to3,HOTConv),TREND(L210:L211,B210:B211,B213),0))</f>
        <v>0</v>
      </c>
      <c r="M213" s="285">
        <f t="shared" ref="M213:M230" si="93">SUM($K213:$L213)*ValTimeAuto*IF(IM,ValTimeIMFactor,1)*(1+TTUprater)^($B213+Construct-1)</f>
        <v>0</v>
      </c>
      <c r="N213" s="323">
        <f t="shared" ref="N213:N230" si="94">$M213/(1+DiscRate)^($B213+Construct-1)</f>
        <v>0</v>
      </c>
    </row>
    <row r="214" spans="2:27" x14ac:dyDescent="0.25">
      <c r="B214" s="327">
        <v>3</v>
      </c>
      <c r="C214" s="347">
        <f>TREND(C210:C211,B210:B211,B214)</f>
        <v>0</v>
      </c>
      <c r="D214" s="630">
        <f>TREND(D210:D211,B210:B211,B214)</f>
        <v>0</v>
      </c>
      <c r="E214" s="633">
        <f>TREND(E210:E211,B210:B211,B214)</f>
        <v>55</v>
      </c>
      <c r="F214" s="374">
        <f>TREND(F210:F211,B210:B211,B214)</f>
        <v>55</v>
      </c>
      <c r="G214" s="966">
        <f t="shared" si="89"/>
        <v>0</v>
      </c>
      <c r="H214" s="967">
        <f t="shared" si="90"/>
        <v>0</v>
      </c>
      <c r="I214" s="428">
        <f>IF(HwyRail,TREND(I210:I211,B210:B211,B214),ImpactedNB/E214)</f>
        <v>0</v>
      </c>
      <c r="J214" s="431">
        <f t="shared" si="91"/>
        <v>0</v>
      </c>
      <c r="K214" s="339">
        <f t="shared" si="92"/>
        <v>0</v>
      </c>
      <c r="L214" s="436">
        <f>IF(AND(H214&gt;G214,NOT(OR(TruckLane,Bypass,HOV2to3,HOTConv,OnRamp,RM,AM,IM,TI)),Induced="Y"),(I214-J214)*(H214-G214)*0.5,IF(OR(HOV2to3,HOTConv),TREND(L210:L211,B210:B211,B214),0))</f>
        <v>0</v>
      </c>
      <c r="M214" s="285">
        <f t="shared" si="93"/>
        <v>0</v>
      </c>
      <c r="N214" s="323">
        <f t="shared" si="94"/>
        <v>0</v>
      </c>
    </row>
    <row r="215" spans="2:27" x14ac:dyDescent="0.25">
      <c r="B215" s="327">
        <v>4</v>
      </c>
      <c r="C215" s="347">
        <f>TREND(C210:C211,B210:B211,B215)</f>
        <v>0</v>
      </c>
      <c r="D215" s="630">
        <f>TREND(D210:D211,B210:B211,B215)</f>
        <v>0</v>
      </c>
      <c r="E215" s="633">
        <f>TREND(E210:E211,B210:B211,B215)</f>
        <v>55</v>
      </c>
      <c r="F215" s="374">
        <f>TREND(F210:F211,B210:B211,B215)</f>
        <v>55</v>
      </c>
      <c r="G215" s="966">
        <f t="shared" si="89"/>
        <v>0</v>
      </c>
      <c r="H215" s="967">
        <f t="shared" si="90"/>
        <v>0</v>
      </c>
      <c r="I215" s="428">
        <f>IF(HwyRail,TREND(I210:I211,B210:B211,B215),ImpactedNB/E215)</f>
        <v>0</v>
      </c>
      <c r="J215" s="431">
        <f t="shared" si="91"/>
        <v>0</v>
      </c>
      <c r="K215" s="339">
        <f t="shared" si="92"/>
        <v>0</v>
      </c>
      <c r="L215" s="436">
        <f>IF(AND(H215&gt;G215,NOT(OR(TruckLane,Bypass,HOV2to3,HOTConv,OnRamp,RM,AM,IM,TI)),Induced="Y"),(I215-J215)*(H215-G215)*0.5,IF(OR(HOV2to3,HOTConv),TREND(L210:L211,B210:B211,B215),0))</f>
        <v>0</v>
      </c>
      <c r="M215" s="285">
        <f t="shared" si="93"/>
        <v>0</v>
      </c>
      <c r="N215" s="323">
        <f t="shared" si="94"/>
        <v>0</v>
      </c>
    </row>
    <row r="216" spans="2:27" x14ac:dyDescent="0.25">
      <c r="B216" s="327">
        <v>5</v>
      </c>
      <c r="C216" s="347">
        <f>TREND(C210:C211,B210:B211,B216)</f>
        <v>0</v>
      </c>
      <c r="D216" s="630">
        <f>TREND(D210:D211,B210:B211,B216)</f>
        <v>0</v>
      </c>
      <c r="E216" s="633">
        <f>TREND(E210:E211,B210:B211,B216)</f>
        <v>55</v>
      </c>
      <c r="F216" s="374">
        <f>TREND(F210:F211,B210:B211,B216)</f>
        <v>55</v>
      </c>
      <c r="G216" s="966">
        <f t="shared" si="89"/>
        <v>0</v>
      </c>
      <c r="H216" s="967">
        <f t="shared" si="90"/>
        <v>0</v>
      </c>
      <c r="I216" s="428">
        <f>IF(HwyRail,TREND(I210:I211,B210:B211,B216),ImpactedNB/E216)</f>
        <v>0</v>
      </c>
      <c r="J216" s="431">
        <f t="shared" si="91"/>
        <v>0</v>
      </c>
      <c r="K216" s="339">
        <f t="shared" si="92"/>
        <v>0</v>
      </c>
      <c r="L216" s="436">
        <f>IF(AND(H216&gt;G216,NOT(OR(TruckLane,Bypass,HOV2to3,HOTConv,OnRamp,RM,AM,IM,TI)),Induced="Y"),(I216-J216)*(H216-G216)*0.5,IF(OR(HOV2to3,HOTConv),TREND(L210:L211,B210:B211,B216),0))</f>
        <v>0</v>
      </c>
      <c r="M216" s="285">
        <f t="shared" si="93"/>
        <v>0</v>
      </c>
      <c r="N216" s="323">
        <f t="shared" si="94"/>
        <v>0</v>
      </c>
    </row>
    <row r="217" spans="2:27" x14ac:dyDescent="0.25">
      <c r="B217" s="327">
        <v>6</v>
      </c>
      <c r="C217" s="347">
        <f>TREND(C210:C211,B210:B211,B217)</f>
        <v>0</v>
      </c>
      <c r="D217" s="630">
        <f>TREND(D210:D211,B210:B211,B217)</f>
        <v>0</v>
      </c>
      <c r="E217" s="633">
        <f>TREND(E210:E211,B210:B211,B217)</f>
        <v>55</v>
      </c>
      <c r="F217" s="374">
        <f>TREND(F210:F211,B210:B211,B217)</f>
        <v>55</v>
      </c>
      <c r="G217" s="966">
        <f t="shared" si="89"/>
        <v>0</v>
      </c>
      <c r="H217" s="967">
        <f t="shared" si="90"/>
        <v>0</v>
      </c>
      <c r="I217" s="428">
        <f>IF(HwyRail,TREND(I210:I211,B210:B211,B217),ImpactedNB/E217)</f>
        <v>0</v>
      </c>
      <c r="J217" s="431">
        <f t="shared" si="91"/>
        <v>0</v>
      </c>
      <c r="K217" s="339">
        <f t="shared" si="92"/>
        <v>0</v>
      </c>
      <c r="L217" s="436">
        <f>IF(AND(H217&gt;G217,NOT(OR(TruckLane,Bypass,HOV2to3,HOTConv,OnRamp,RM,AM,IM,TI)),Induced="Y"),(I217-J217)*(H217-G217)*0.5,IF(OR(HOV2to3,HOTConv),TREND(L210:L211,B210:B211,B217),0))</f>
        <v>0</v>
      </c>
      <c r="M217" s="285">
        <f t="shared" si="93"/>
        <v>0</v>
      </c>
      <c r="N217" s="323">
        <f t="shared" si="94"/>
        <v>0</v>
      </c>
    </row>
    <row r="218" spans="2:27" x14ac:dyDescent="0.25">
      <c r="B218" s="327">
        <v>7</v>
      </c>
      <c r="C218" s="347">
        <f>TREND(C210:C211,B210:B211,B218)</f>
        <v>0</v>
      </c>
      <c r="D218" s="630">
        <f>TREND(D210:D211,B210:B211,B218)</f>
        <v>0</v>
      </c>
      <c r="E218" s="633">
        <f>TREND(E210:E211,B210:B211,B218)</f>
        <v>55</v>
      </c>
      <c r="F218" s="374">
        <f>TREND(F210:F211,B210:B211,B218)</f>
        <v>55</v>
      </c>
      <c r="G218" s="966">
        <f t="shared" si="89"/>
        <v>0</v>
      </c>
      <c r="H218" s="967">
        <f t="shared" si="90"/>
        <v>0</v>
      </c>
      <c r="I218" s="428">
        <f>IF(HwyRail,TREND(I210:I211,B210:B211,B218),ImpactedNB/E218)</f>
        <v>0</v>
      </c>
      <c r="J218" s="431">
        <f t="shared" si="91"/>
        <v>0</v>
      </c>
      <c r="K218" s="339">
        <f t="shared" si="92"/>
        <v>0</v>
      </c>
      <c r="L218" s="436">
        <f>IF(AND(H218&gt;G218,NOT(OR(TruckLane,Bypass,HOV2to3,HOTConv,OnRamp,RM,AM,IM,TI)),Induced="Y"),(I218-J218)*(H218-G218)*0.5,IF(OR(HOV2to3,HOTConv),TREND(L210:L211,B210:B211,B218),0))</f>
        <v>0</v>
      </c>
      <c r="M218" s="285">
        <f t="shared" si="93"/>
        <v>0</v>
      </c>
      <c r="N218" s="323">
        <f t="shared" si="94"/>
        <v>0</v>
      </c>
    </row>
    <row r="219" spans="2:27" x14ac:dyDescent="0.25">
      <c r="B219" s="327">
        <v>8</v>
      </c>
      <c r="C219" s="347">
        <f>TREND(C210:C211,B210:B211,B219)</f>
        <v>0</v>
      </c>
      <c r="D219" s="630">
        <f>TREND(D210:D211,B210:B211,B219)</f>
        <v>0</v>
      </c>
      <c r="E219" s="633">
        <f>TREND(E210:E211,B210:B211,B219)</f>
        <v>55</v>
      </c>
      <c r="F219" s="374">
        <f>TREND(F210:F211,B210:B211,B219)</f>
        <v>55</v>
      </c>
      <c r="G219" s="966">
        <f t="shared" si="89"/>
        <v>0</v>
      </c>
      <c r="H219" s="967">
        <f t="shared" si="90"/>
        <v>0</v>
      </c>
      <c r="I219" s="428">
        <f>IF(HwyRail,TREND(I210:I211,B210:B211,B219),ImpactedNB/E219)</f>
        <v>0</v>
      </c>
      <c r="J219" s="431">
        <f t="shared" si="91"/>
        <v>0</v>
      </c>
      <c r="K219" s="339">
        <f t="shared" si="92"/>
        <v>0</v>
      </c>
      <c r="L219" s="436">
        <f>IF(AND(H219&gt;G219,NOT(OR(TruckLane,Bypass,HOV2to3,HOTConv,OnRamp,RM,AM,IM,TI)),Induced="Y"),(I219-J219)*(H219-G219)*0.5,IF(OR(HOV2to3,HOTConv),TREND(L210:L211,B210:B211,B219),0))</f>
        <v>0</v>
      </c>
      <c r="M219" s="285">
        <f t="shared" si="93"/>
        <v>0</v>
      </c>
      <c r="N219" s="323">
        <f t="shared" si="94"/>
        <v>0</v>
      </c>
    </row>
    <row r="220" spans="2:27" x14ac:dyDescent="0.25">
      <c r="B220" s="327">
        <v>9</v>
      </c>
      <c r="C220" s="347">
        <f>TREND(C210:C211,B210:B211,B220)</f>
        <v>0</v>
      </c>
      <c r="D220" s="630">
        <f>TREND(D210:D211,B210:B211,B220)</f>
        <v>0</v>
      </c>
      <c r="E220" s="633">
        <f>TREND(E210:E211,B210:B211,B220)</f>
        <v>55</v>
      </c>
      <c r="F220" s="374">
        <f>TREND(F210:F211,B210:B211,B220)</f>
        <v>55</v>
      </c>
      <c r="G220" s="966">
        <f t="shared" si="89"/>
        <v>0</v>
      </c>
      <c r="H220" s="967">
        <f t="shared" si="90"/>
        <v>0</v>
      </c>
      <c r="I220" s="428">
        <f>IF(HwyRail,TREND(I210:I211,B210:B211,B220),ImpactedNB/E220)</f>
        <v>0</v>
      </c>
      <c r="J220" s="431">
        <f t="shared" si="91"/>
        <v>0</v>
      </c>
      <c r="K220" s="339">
        <f t="shared" si="92"/>
        <v>0</v>
      </c>
      <c r="L220" s="436">
        <f>IF(AND(H220&gt;G220,NOT(OR(TruckLane,Bypass,HOV2to3,HOTConv,OnRamp,RM,AM,IM,TI)),Induced="Y"),(I220-J220)*(H220-G220)*0.5,IF(OR(HOV2to3,HOTConv),TREND(L210:L211,B210:B211,B220),0))</f>
        <v>0</v>
      </c>
      <c r="M220" s="285">
        <f t="shared" si="93"/>
        <v>0</v>
      </c>
      <c r="N220" s="323">
        <f t="shared" si="94"/>
        <v>0</v>
      </c>
    </row>
    <row r="221" spans="2:27" x14ac:dyDescent="0.25">
      <c r="B221" s="327">
        <v>10</v>
      </c>
      <c r="C221" s="347">
        <f>TREND(C210:C211,B210:B211,B221)</f>
        <v>0</v>
      </c>
      <c r="D221" s="630">
        <f>TREND(D210:D211,B210:B211,B221)</f>
        <v>0</v>
      </c>
      <c r="E221" s="633">
        <f>TREND(E210:E211,B210:B211,B221)</f>
        <v>55</v>
      </c>
      <c r="F221" s="374">
        <f>TREND(F210:F211,B210:B211,B221)</f>
        <v>55</v>
      </c>
      <c r="G221" s="966">
        <f t="shared" si="89"/>
        <v>0</v>
      </c>
      <c r="H221" s="967">
        <f t="shared" si="90"/>
        <v>0</v>
      </c>
      <c r="I221" s="428">
        <f>IF(HwyRail,TREND(I210:I211,B210:B211,B221),ImpactedNB/E221)</f>
        <v>0</v>
      </c>
      <c r="J221" s="431">
        <f t="shared" si="91"/>
        <v>0</v>
      </c>
      <c r="K221" s="339">
        <f t="shared" si="92"/>
        <v>0</v>
      </c>
      <c r="L221" s="436">
        <f>IF(AND(H221&gt;G221,NOT(OR(TruckLane,Bypass,HOV2to3,HOTConv,OnRamp,RM,AM,IM,TI)),Induced="Y"),(I221-J221)*(H221-G221)*0.5,IF(OR(HOV2to3,HOTConv),TREND(L210:L211,B210:B211,B221),0))</f>
        <v>0</v>
      </c>
      <c r="M221" s="285">
        <f t="shared" si="93"/>
        <v>0</v>
      </c>
      <c r="N221" s="323">
        <f t="shared" si="94"/>
        <v>0</v>
      </c>
    </row>
    <row r="222" spans="2:27" x14ac:dyDescent="0.25">
      <c r="B222" s="327">
        <v>11</v>
      </c>
      <c r="C222" s="347">
        <f>TREND(C210:C211,B210:B211,B222)</f>
        <v>0</v>
      </c>
      <c r="D222" s="630">
        <f>TREND(D210:D211,B210:B211,B222)</f>
        <v>0</v>
      </c>
      <c r="E222" s="633">
        <f>TREND(E210:E211,B210:B211,B222)</f>
        <v>55</v>
      </c>
      <c r="F222" s="374">
        <f>TREND(F210:F211,B210:B211,B222)</f>
        <v>55</v>
      </c>
      <c r="G222" s="966">
        <f t="shared" si="89"/>
        <v>0</v>
      </c>
      <c r="H222" s="967">
        <f t="shared" si="90"/>
        <v>0</v>
      </c>
      <c r="I222" s="428">
        <f>IF(HwyRail,TREND(I210:I211,B210:B211,B222),ImpactedNB/E222)</f>
        <v>0</v>
      </c>
      <c r="J222" s="431">
        <f t="shared" si="91"/>
        <v>0</v>
      </c>
      <c r="K222" s="339">
        <f t="shared" si="92"/>
        <v>0</v>
      </c>
      <c r="L222" s="436">
        <f>IF(AND(H222&gt;G222,NOT(OR(TruckLane,Bypass,HOV2to3,HOTConv,OnRamp,RM,AM,IM,TI)),Induced="Y"),(I222-J222)*(H222-G222)*0.5,IF(OR(HOV2to3,HOTConv),TREND(L210:L211,B210:B211,B222),0))</f>
        <v>0</v>
      </c>
      <c r="M222" s="285">
        <f t="shared" si="93"/>
        <v>0</v>
      </c>
      <c r="N222" s="323">
        <f t="shared" si="94"/>
        <v>0</v>
      </c>
    </row>
    <row r="223" spans="2:27" x14ac:dyDescent="0.25">
      <c r="B223" s="327">
        <v>12</v>
      </c>
      <c r="C223" s="347">
        <f>TREND(C210:C211,B210:B211,B223)</f>
        <v>0</v>
      </c>
      <c r="D223" s="630">
        <f>TREND(D210:D211,B210:B211,B223)</f>
        <v>0</v>
      </c>
      <c r="E223" s="633">
        <f>TREND(E210:E211,B210:B211,B223)</f>
        <v>55</v>
      </c>
      <c r="F223" s="374">
        <f>TREND(F210:F211,B210:B211,B223)</f>
        <v>55</v>
      </c>
      <c r="G223" s="966">
        <f t="shared" si="89"/>
        <v>0</v>
      </c>
      <c r="H223" s="967">
        <f t="shared" si="90"/>
        <v>0</v>
      </c>
      <c r="I223" s="428">
        <f>IF(HwyRail,TREND(I210:I211,B210:B211,B223),ImpactedNB/E223)</f>
        <v>0</v>
      </c>
      <c r="J223" s="431">
        <f t="shared" si="91"/>
        <v>0</v>
      </c>
      <c r="K223" s="339">
        <f t="shared" si="92"/>
        <v>0</v>
      </c>
      <c r="L223" s="436">
        <f>IF(AND(H223&gt;G223,NOT(OR(TruckLane,Bypass,HOV2to3,HOTConv,OnRamp,RM,AM,IM,TI)),Induced="Y"),(I223-J223)*(H223-G223)*0.5,IF(OR(HOV2to3,HOTConv),TREND(L210:L211,B210:B211,B223),0))</f>
        <v>0</v>
      </c>
      <c r="M223" s="285">
        <f t="shared" si="93"/>
        <v>0</v>
      </c>
      <c r="N223" s="323">
        <f t="shared" si="94"/>
        <v>0</v>
      </c>
    </row>
    <row r="224" spans="2:27" x14ac:dyDescent="0.25">
      <c r="B224" s="327">
        <v>13</v>
      </c>
      <c r="C224" s="347">
        <f>TREND(C210:C211,B210:B211,B224)</f>
        <v>0</v>
      </c>
      <c r="D224" s="630">
        <f>TREND(D210:D211,B210:B211,B224)</f>
        <v>0</v>
      </c>
      <c r="E224" s="633">
        <f>TREND(E210:E211,B210:B211,B224)</f>
        <v>55</v>
      </c>
      <c r="F224" s="374">
        <f>TREND(F210:F211,B210:B211,B224)</f>
        <v>55</v>
      </c>
      <c r="G224" s="966">
        <f t="shared" si="89"/>
        <v>0</v>
      </c>
      <c r="H224" s="967">
        <f t="shared" si="90"/>
        <v>0</v>
      </c>
      <c r="I224" s="428">
        <f>IF(HwyRail,TREND(I210:I211,B210:B211,B224),ImpactedNB/E224)</f>
        <v>0</v>
      </c>
      <c r="J224" s="431">
        <f t="shared" si="91"/>
        <v>0</v>
      </c>
      <c r="K224" s="339">
        <f t="shared" si="92"/>
        <v>0</v>
      </c>
      <c r="L224" s="436">
        <f>IF(AND(H224&gt;G224,NOT(OR(TruckLane,Bypass,HOV2to3,HOTConv,OnRamp,RM,AM,IM,TI)),Induced="Y"),(I224-J224)*(H224-G224)*0.5,IF(OR(HOV2to3,HOTConv),TREND(L210:L211,B210:B211,B224),0))</f>
        <v>0</v>
      </c>
      <c r="M224" s="285">
        <f t="shared" si="93"/>
        <v>0</v>
      </c>
      <c r="N224" s="323">
        <f t="shared" si="94"/>
        <v>0</v>
      </c>
    </row>
    <row r="225" spans="2:14" x14ac:dyDescent="0.25">
      <c r="B225" s="327">
        <v>14</v>
      </c>
      <c r="C225" s="347">
        <f>TREND(C210:C211,B210:B211,B225)</f>
        <v>0</v>
      </c>
      <c r="D225" s="630">
        <f>TREND(D210:D211,B210:B211,B225)</f>
        <v>0</v>
      </c>
      <c r="E225" s="633">
        <f>TREND(E210:E211,B210:B211,B225)</f>
        <v>55</v>
      </c>
      <c r="F225" s="374">
        <f>TREND(F210:F211,B210:B211,B225)</f>
        <v>55</v>
      </c>
      <c r="G225" s="966">
        <f t="shared" si="89"/>
        <v>0</v>
      </c>
      <c r="H225" s="967">
        <f t="shared" si="90"/>
        <v>0</v>
      </c>
      <c r="I225" s="428">
        <f>IF(HwyRail,TREND(I210:I211,B210:B211,B225),ImpactedNB/E225)</f>
        <v>0</v>
      </c>
      <c r="J225" s="431">
        <f t="shared" si="91"/>
        <v>0</v>
      </c>
      <c r="K225" s="339">
        <f t="shared" si="92"/>
        <v>0</v>
      </c>
      <c r="L225" s="436">
        <f>IF(AND(H225&gt;G225,NOT(OR(TruckLane,Bypass,HOV2to3,HOTConv,OnRamp,RM,AM,IM,TI)),Induced="Y"),(I225-J225)*(H225-G225)*0.5,IF(OR(HOV2to3,HOTConv),TREND(L210:L211,B210:B211,B225),0))</f>
        <v>0</v>
      </c>
      <c r="M225" s="285">
        <f t="shared" si="93"/>
        <v>0</v>
      </c>
      <c r="N225" s="323">
        <f t="shared" si="94"/>
        <v>0</v>
      </c>
    </row>
    <row r="226" spans="2:14" x14ac:dyDescent="0.25">
      <c r="B226" s="327">
        <v>15</v>
      </c>
      <c r="C226" s="347">
        <f>TREND(C210:C211,B210:B211,B226)</f>
        <v>0</v>
      </c>
      <c r="D226" s="630">
        <f>TREND(D210:D211,B210:B211,B226)</f>
        <v>0</v>
      </c>
      <c r="E226" s="633">
        <f>TREND(E210:E211,B210:B211,B226)</f>
        <v>55</v>
      </c>
      <c r="F226" s="374">
        <f>TREND(F210:F211,B210:B211,B226)</f>
        <v>55</v>
      </c>
      <c r="G226" s="966">
        <f t="shared" si="89"/>
        <v>0</v>
      </c>
      <c r="H226" s="967">
        <f t="shared" si="90"/>
        <v>0</v>
      </c>
      <c r="I226" s="428">
        <f>IF(HwyRail,TREND(I210:I211,B210:B211,B226),ImpactedNB/E226)</f>
        <v>0</v>
      </c>
      <c r="J226" s="431">
        <f t="shared" si="91"/>
        <v>0</v>
      </c>
      <c r="K226" s="339">
        <f t="shared" si="92"/>
        <v>0</v>
      </c>
      <c r="L226" s="436">
        <f>IF(AND(H226&gt;G226,NOT(OR(TruckLane,Bypass,HOV2to3,HOTConv,OnRamp,RM,AM,IM,TI)),Induced="Y"),(I226-J226)*(H226-G226)*0.5,IF(OR(HOV2to3,HOTConv),TREND(L210:L211,B210:B211,B226),0))</f>
        <v>0</v>
      </c>
      <c r="M226" s="285">
        <f t="shared" si="93"/>
        <v>0</v>
      </c>
      <c r="N226" s="323">
        <f t="shared" si="94"/>
        <v>0</v>
      </c>
    </row>
    <row r="227" spans="2:14" x14ac:dyDescent="0.25">
      <c r="B227" s="327">
        <v>16</v>
      </c>
      <c r="C227" s="347">
        <f>TREND(C210:C211,B210:B211,B227)</f>
        <v>0</v>
      </c>
      <c r="D227" s="630">
        <f>TREND(D210:D211,B210:B211,B227)</f>
        <v>0</v>
      </c>
      <c r="E227" s="633">
        <f>TREND(E210:E211,B210:B211,B227)</f>
        <v>55</v>
      </c>
      <c r="F227" s="374">
        <f>TREND(F210:F211,B210:B211,B227)</f>
        <v>55</v>
      </c>
      <c r="G227" s="966">
        <f t="shared" si="89"/>
        <v>0</v>
      </c>
      <c r="H227" s="967">
        <f t="shared" si="90"/>
        <v>0</v>
      </c>
      <c r="I227" s="428">
        <f>IF(HwyRail,TREND(I210:I211,B210:B211,B227),ImpactedNB/E227)</f>
        <v>0</v>
      </c>
      <c r="J227" s="431">
        <f t="shared" si="91"/>
        <v>0</v>
      </c>
      <c r="K227" s="339">
        <f t="shared" si="92"/>
        <v>0</v>
      </c>
      <c r="L227" s="436">
        <f>IF(AND(H227&gt;G227,NOT(OR(TruckLane,Bypass,HOV2to3,HOTConv,OnRamp,RM,AM,IM,TI)),Induced="Y"),(I227-J227)*(H227-G227)*0.5,IF(OR(HOV2to3,HOTConv),TREND(L210:L211,B210:B211,B227),0))</f>
        <v>0</v>
      </c>
      <c r="M227" s="285">
        <f t="shared" si="93"/>
        <v>0</v>
      </c>
      <c r="N227" s="323">
        <f t="shared" si="94"/>
        <v>0</v>
      </c>
    </row>
    <row r="228" spans="2:14" x14ac:dyDescent="0.25">
      <c r="B228" s="327">
        <v>17</v>
      </c>
      <c r="C228" s="347">
        <f>TREND(C210:C211,B210:B211,B228)</f>
        <v>0</v>
      </c>
      <c r="D228" s="630">
        <f>TREND(D210:D211,B210:B211,B228)</f>
        <v>0</v>
      </c>
      <c r="E228" s="633">
        <f>TREND(E210:E211,B210:B211,B228)</f>
        <v>55</v>
      </c>
      <c r="F228" s="374">
        <f>TREND(F210:F211,B210:B211,B228)</f>
        <v>55</v>
      </c>
      <c r="G228" s="966">
        <f t="shared" si="89"/>
        <v>0</v>
      </c>
      <c r="H228" s="967">
        <f t="shared" si="90"/>
        <v>0</v>
      </c>
      <c r="I228" s="428">
        <f>IF(HwyRail,TREND(I210:I211,B210:B211,B228),ImpactedNB/E228)</f>
        <v>0</v>
      </c>
      <c r="J228" s="431">
        <f t="shared" si="91"/>
        <v>0</v>
      </c>
      <c r="K228" s="339">
        <f t="shared" si="92"/>
        <v>0</v>
      </c>
      <c r="L228" s="436">
        <f>IF(AND(H228&gt;G228,NOT(OR(TruckLane,Bypass,HOV2to3,HOTConv,OnRamp,RM,AM,IM,TI)),Induced="Y"),(I228-J228)*(H228-G228)*0.5,IF(OR(HOV2to3,HOTConv),TREND(L210:L211,B210:B211,B228),0))</f>
        <v>0</v>
      </c>
      <c r="M228" s="285">
        <f t="shared" si="93"/>
        <v>0</v>
      </c>
      <c r="N228" s="323">
        <f t="shared" si="94"/>
        <v>0</v>
      </c>
    </row>
    <row r="229" spans="2:14" x14ac:dyDescent="0.25">
      <c r="B229" s="327">
        <v>18</v>
      </c>
      <c r="C229" s="347">
        <f>TREND(C210:C211,B210:B211,B229)</f>
        <v>0</v>
      </c>
      <c r="D229" s="630">
        <f>TREND(D210:D211,B210:B211,B229)</f>
        <v>0</v>
      </c>
      <c r="E229" s="633">
        <f>TREND(E210:E211,B210:B211,B229)</f>
        <v>55</v>
      </c>
      <c r="F229" s="374">
        <f>TREND(F210:F211,B210:B211,B229)</f>
        <v>55</v>
      </c>
      <c r="G229" s="966">
        <f t="shared" si="89"/>
        <v>0</v>
      </c>
      <c r="H229" s="967">
        <f t="shared" si="90"/>
        <v>0</v>
      </c>
      <c r="I229" s="428">
        <f>IF(HwyRail,TREND(I210:I211,B210:B211,B229),ImpactedNB/E229)</f>
        <v>0</v>
      </c>
      <c r="J229" s="431">
        <f t="shared" si="91"/>
        <v>0</v>
      </c>
      <c r="K229" s="339">
        <f t="shared" si="92"/>
        <v>0</v>
      </c>
      <c r="L229" s="436">
        <f>IF(AND(H229&gt;G229,NOT(OR(TruckLane,Bypass,HOV2to3,HOTConv,OnRamp,RM,AM,IM,TI)),Induced="Y"),(I229-J229)*(H229-G229)*0.5,IF(OR(HOV2to3,HOTConv),TREND(L210:L211,B210:B211,B229),0))</f>
        <v>0</v>
      </c>
      <c r="M229" s="285">
        <f t="shared" si="93"/>
        <v>0</v>
      </c>
      <c r="N229" s="323">
        <f t="shared" si="94"/>
        <v>0</v>
      </c>
    </row>
    <row r="230" spans="2:14" x14ac:dyDescent="0.25">
      <c r="B230" s="359">
        <v>19</v>
      </c>
      <c r="C230" s="360">
        <f>TREND(C210:C211,B210:B211,B230)</f>
        <v>0</v>
      </c>
      <c r="D230" s="631">
        <f>TREND(D210:D211,B210:B211,B230)</f>
        <v>0</v>
      </c>
      <c r="E230" s="634">
        <f>TREND(E210:E211,B210:B211,B230)</f>
        <v>55</v>
      </c>
      <c r="F230" s="377">
        <f>TREND(F210:F211,B210:B211,B230)</f>
        <v>55</v>
      </c>
      <c r="G230" s="966">
        <f t="shared" si="89"/>
        <v>0</v>
      </c>
      <c r="H230" s="967">
        <f t="shared" si="90"/>
        <v>0</v>
      </c>
      <c r="I230" s="428">
        <f>IF(HwyRail,TREND(I210:I211,B210:B211,B230),ImpactedNB/E230)</f>
        <v>0</v>
      </c>
      <c r="J230" s="430">
        <f t="shared" si="91"/>
        <v>0</v>
      </c>
      <c r="K230" s="340">
        <f t="shared" si="92"/>
        <v>0</v>
      </c>
      <c r="L230" s="435">
        <f>IF(AND(H230&gt;G230,NOT(OR(TruckLane,Bypass,HOV2to3,HOTConv,OnRamp,RM,AM,IM,TI)),Induced="Y"),(I230-J230)*(H230-G230)*0.5,IF(OR(HOV2to3,HOTConv),TREND(L210:L211,B210:B211,B230),0))</f>
        <v>0</v>
      </c>
      <c r="M230" s="285">
        <f t="shared" si="93"/>
        <v>0</v>
      </c>
      <c r="N230" s="323">
        <f t="shared" si="94"/>
        <v>0</v>
      </c>
    </row>
    <row r="231" spans="2:14" x14ac:dyDescent="0.25">
      <c r="B231" s="357"/>
      <c r="C231" s="355"/>
      <c r="D231" s="355"/>
      <c r="E231" s="355"/>
      <c r="F231" s="355"/>
      <c r="G231" s="356"/>
      <c r="H231" s="356"/>
      <c r="I231" s="356"/>
      <c r="J231" s="356"/>
      <c r="K231" s="356"/>
      <c r="L231" s="356"/>
      <c r="M231" s="356"/>
      <c r="N231" s="358"/>
    </row>
    <row r="232" spans="2:14" ht="13" x14ac:dyDescent="0.25">
      <c r="B232" s="329" t="s">
        <v>172</v>
      </c>
      <c r="C232" s="330"/>
      <c r="D232" s="331"/>
      <c r="E232" s="331"/>
      <c r="F232" s="331"/>
      <c r="G232" s="331"/>
      <c r="H232" s="331"/>
      <c r="I232" s="331"/>
      <c r="J232" s="331"/>
      <c r="K232" s="331"/>
      <c r="L232" s="332"/>
      <c r="M232" s="341"/>
      <c r="N232" s="342">
        <f>SUM(N210:N230)</f>
        <v>0</v>
      </c>
    </row>
    <row r="235" spans="2:14" ht="13" x14ac:dyDescent="0.25">
      <c r="B235" s="350" t="s">
        <v>506</v>
      </c>
      <c r="C235" s="88"/>
      <c r="D235" s="88"/>
      <c r="E235" s="88"/>
      <c r="F235" s="88"/>
      <c r="G235" s="309"/>
      <c r="H235" s="309"/>
      <c r="I235" s="88"/>
      <c r="J235" s="309"/>
      <c r="K235" s="309"/>
      <c r="L235" s="88"/>
      <c r="M235" s="88"/>
      <c r="N235" s="88"/>
    </row>
    <row r="236" spans="2:14" x14ac:dyDescent="0.25">
      <c r="B236" s="88"/>
      <c r="C236" s="88"/>
      <c r="D236" s="274"/>
      <c r="E236" s="274"/>
      <c r="F236" s="274"/>
      <c r="G236" s="88"/>
      <c r="H236" s="88"/>
      <c r="I236" s="88"/>
      <c r="J236" s="88"/>
      <c r="K236" s="88"/>
      <c r="L236" s="88"/>
      <c r="M236" s="88"/>
      <c r="N236" s="351"/>
    </row>
    <row r="237" spans="2:14" ht="15.5" x14ac:dyDescent="0.25">
      <c r="B237" s="317"/>
      <c r="C237" s="320" t="s">
        <v>230</v>
      </c>
      <c r="D237" s="361"/>
      <c r="E237" s="320" t="s">
        <v>231</v>
      </c>
      <c r="F237" s="333"/>
      <c r="G237" s="335" t="s">
        <v>234</v>
      </c>
      <c r="H237" s="361"/>
      <c r="I237" s="335" t="s">
        <v>232</v>
      </c>
      <c r="J237" s="321"/>
      <c r="K237" s="437" t="s">
        <v>233</v>
      </c>
      <c r="L237" s="438"/>
      <c r="M237" s="322"/>
      <c r="N237" s="343"/>
    </row>
    <row r="238" spans="2:14" ht="14" x14ac:dyDescent="0.25">
      <c r="B238" s="318"/>
      <c r="C238" s="287" t="s">
        <v>237</v>
      </c>
      <c r="D238" s="362"/>
      <c r="E238" s="287" t="s">
        <v>238</v>
      </c>
      <c r="F238" s="334"/>
      <c r="G238" s="336" t="s">
        <v>240</v>
      </c>
      <c r="H238" s="362"/>
      <c r="I238" s="336" t="s">
        <v>239</v>
      </c>
      <c r="J238" s="288"/>
      <c r="K238" s="439" t="s">
        <v>552</v>
      </c>
      <c r="L238" s="440"/>
      <c r="M238" s="284"/>
      <c r="N238" s="344"/>
    </row>
    <row r="239" spans="2:14" ht="14" x14ac:dyDescent="0.25">
      <c r="B239" s="169" t="s">
        <v>135</v>
      </c>
      <c r="C239" s="316"/>
      <c r="D239" s="283"/>
      <c r="E239" s="316"/>
      <c r="F239" s="283"/>
      <c r="G239" s="316"/>
      <c r="H239" s="283"/>
      <c r="I239" s="316"/>
      <c r="J239" s="283"/>
      <c r="K239" s="432" t="s">
        <v>151</v>
      </c>
      <c r="L239" s="283" t="s">
        <v>152</v>
      </c>
      <c r="M239" s="286" t="s">
        <v>242</v>
      </c>
      <c r="N239" s="345" t="s">
        <v>139</v>
      </c>
    </row>
    <row r="240" spans="2:14" ht="14" x14ac:dyDescent="0.25">
      <c r="B240" s="319"/>
      <c r="C240" s="324" t="s">
        <v>0</v>
      </c>
      <c r="D240" s="325" t="s">
        <v>1</v>
      </c>
      <c r="E240" s="324" t="s">
        <v>0</v>
      </c>
      <c r="F240" s="325" t="s">
        <v>1</v>
      </c>
      <c r="G240" s="324" t="s">
        <v>0</v>
      </c>
      <c r="H240" s="325" t="s">
        <v>1</v>
      </c>
      <c r="I240" s="324" t="s">
        <v>0</v>
      </c>
      <c r="J240" s="325" t="s">
        <v>1</v>
      </c>
      <c r="K240" s="441" t="s">
        <v>244</v>
      </c>
      <c r="L240" s="325" t="s">
        <v>245</v>
      </c>
      <c r="M240" s="326" t="s">
        <v>148</v>
      </c>
      <c r="N240" s="346" t="s">
        <v>149</v>
      </c>
    </row>
    <row r="241" spans="2:14" x14ac:dyDescent="0.25">
      <c r="B241" s="327">
        <v>1</v>
      </c>
      <c r="C241" s="348">
        <f>NWV1NB*AnnualFactor</f>
        <v>0</v>
      </c>
      <c r="D241" s="349">
        <f>NWV1B*AnnualFactor</f>
        <v>0</v>
      </c>
      <c r="E241" s="363">
        <f>ROUND(NWS1NB,1)</f>
        <v>55</v>
      </c>
      <c r="F241" s="364">
        <f>ROUND(NWS1B,1)</f>
        <v>55</v>
      </c>
      <c r="G241" s="966">
        <f>C241*IF(OR(HOVConn,HOVDrop),AVOHovNB,AVONonNB)</f>
        <v>0</v>
      </c>
      <c r="H241" s="967">
        <f>D241*IF(OR(HOVConn,HOVDrop),AVOHovB,AVONonB)</f>
        <v>0</v>
      </c>
      <c r="I241" s="428">
        <f>ImpactedNB/E241</f>
        <v>0</v>
      </c>
      <c r="J241" s="429">
        <f>ImpactedB/F241</f>
        <v>0</v>
      </c>
      <c r="K241" s="433">
        <f>IF(OR(TruckLane,Bypass,HOV2to3,HOTConv,OnRamp,RM,AM,IM,TI),I241*G241-J241*H241,(I241-J241)*MIN(G241,H241))</f>
        <v>0</v>
      </c>
      <c r="L241" s="434">
        <f>IF(AND(H241&gt;G241,NOT(OR(TruckLane,Bypass,HOV2to3,HOTConv,OnRamp,RM,AM,IM,TI)),Induced="Y"),(I241-J241)*(H241-G241)*0.5,0)</f>
        <v>0</v>
      </c>
      <c r="M241" s="285">
        <f>SUM($K241:$L241)*ValTimeAuto*IF(IM,ValTimeIMFactor,1)*(1+TTUprater)^($B241+Construct-1)</f>
        <v>0</v>
      </c>
      <c r="N241" s="323">
        <f>$M241/(1+DiscRate)^($B241+Construct-1)</f>
        <v>0</v>
      </c>
    </row>
    <row r="242" spans="2:14" x14ac:dyDescent="0.25">
      <c r="B242" s="328">
        <v>20</v>
      </c>
      <c r="C242" s="353">
        <f>NWV20NB*AnnualFactor</f>
        <v>0</v>
      </c>
      <c r="D242" s="354">
        <f>NWV20B*AnnualFactor</f>
        <v>0</v>
      </c>
      <c r="E242" s="365">
        <f>ROUND(NWS20NB,1)</f>
        <v>55</v>
      </c>
      <c r="F242" s="366">
        <f>ROUND(NWS20B,1)</f>
        <v>55</v>
      </c>
      <c r="G242" s="966">
        <f>C242*IF(OR(HOVConn,HOVDrop),AVOHovNB,AVONonNB)</f>
        <v>0</v>
      </c>
      <c r="H242" s="967">
        <f>D242*IF(OR(HOVConn,HOVDrop),AVOHovB,AVONonB)</f>
        <v>0</v>
      </c>
      <c r="I242" s="428">
        <f>ImpactedNB/E242</f>
        <v>0</v>
      </c>
      <c r="J242" s="430">
        <f>ImpactedB/F242</f>
        <v>0</v>
      </c>
      <c r="K242" s="340">
        <f>IF(OR(TruckLane,Bypass,HOV2to3,HOTConv,OnRamp,RM,AM,IM,TI),I242*G242-J242*H242,(I242-J242)*MIN(G242,H242))</f>
        <v>0</v>
      </c>
      <c r="L242" s="435">
        <f>IF(AND(H242&gt;G242,NOT(OR(TruckLane,Bypass,HOV2to3,HOTConv,OnRamp,RM,AM,IM,TI)),Induced="Y"),(I242-J242)*(H242-G242)*0.5,0)</f>
        <v>0</v>
      </c>
      <c r="M242" s="285">
        <f>SUM($K242:$L242)*ValTimeAuto*IF(IM,ValTimeIMFactor,1)*(1+TTUprater)^($B242+Construct-1)</f>
        <v>0</v>
      </c>
      <c r="N242" s="323">
        <f>$M242/(1+DiscRate)^($B242+Construct-1)</f>
        <v>0</v>
      </c>
    </row>
    <row r="243" spans="2:14" x14ac:dyDescent="0.25">
      <c r="B243" s="357"/>
      <c r="C243" s="355"/>
      <c r="D243" s="355"/>
      <c r="E243" s="367"/>
      <c r="F243" s="367"/>
      <c r="G243" s="356"/>
      <c r="H243" s="356"/>
      <c r="I243" s="356"/>
      <c r="J243" s="356"/>
      <c r="K243" s="356"/>
      <c r="L243" s="356"/>
      <c r="M243" s="356"/>
      <c r="N243" s="358"/>
    </row>
    <row r="244" spans="2:14" x14ac:dyDescent="0.25">
      <c r="B244" s="352">
        <v>2</v>
      </c>
      <c r="C244" s="368">
        <f>TREND(C241:C242,B241:B242,B244)</f>
        <v>0</v>
      </c>
      <c r="D244" s="629">
        <f>TREND(D241:D242,B241:B242,B244)</f>
        <v>0</v>
      </c>
      <c r="E244" s="632">
        <f>TREND(E241:E242,B241:B242,B244)</f>
        <v>55</v>
      </c>
      <c r="F244" s="371">
        <f>TREND(F241:F242,B241:B242,B244)</f>
        <v>55</v>
      </c>
      <c r="G244" s="966">
        <f t="shared" ref="G244:G261" si="95">C244*IF(OR(HOVConn,HOVDrop),AVOHovNB,AVONonNB)</f>
        <v>0</v>
      </c>
      <c r="H244" s="967">
        <f t="shared" ref="H244:H261" si="96">D244*IF(OR(HOVConn,HOVDrop),AVOHovB,AVONonB)</f>
        <v>0</v>
      </c>
      <c r="I244" s="428">
        <f t="shared" ref="I244:I261" si="97">ImpactedNB/E244</f>
        <v>0</v>
      </c>
      <c r="J244" s="429">
        <f t="shared" ref="J244:J261" si="98">ImpactedB/F244</f>
        <v>0</v>
      </c>
      <c r="K244" s="433">
        <f t="shared" ref="K244:K261" si="99">IF(OR(TruckLane,Bypass,HOV2to3,HOTConv,OnRamp,RM,AM,IM,TI),I244*G244-J244*H244,(I244-J244)*MIN(G244,H244))</f>
        <v>0</v>
      </c>
      <c r="L244" s="434">
        <f t="shared" ref="L244:L261" si="100">IF(AND(H244&gt;G244,NOT(OR(TruckLane,Bypass,HOV2to3,HOTConv,OnRamp,RM,AM,IM,TI)),Induced="Y"),(I244-J244)*(H244-G244)*0.5,0)</f>
        <v>0</v>
      </c>
      <c r="M244" s="285">
        <f t="shared" ref="M244:M261" si="101">SUM($K244:$L244)*ValTimeAuto*IF(IM,ValTimeIMFactor,1)*(1+TTUprater)^($B244+Construct-1)</f>
        <v>0</v>
      </c>
      <c r="N244" s="323">
        <f t="shared" ref="N244:N261" si="102">$M244/(1+DiscRate)^($B244+Construct-1)</f>
        <v>0</v>
      </c>
    </row>
    <row r="245" spans="2:14" x14ac:dyDescent="0.25">
      <c r="B245" s="327">
        <v>3</v>
      </c>
      <c r="C245" s="347">
        <f>TREND(C241:C242,B241:B242,B245)</f>
        <v>0</v>
      </c>
      <c r="D245" s="630">
        <f>TREND(D241:D242,B241:B242,B245)</f>
        <v>0</v>
      </c>
      <c r="E245" s="633">
        <f>TREND(E241:E242,B241:B242,B245)</f>
        <v>55</v>
      </c>
      <c r="F245" s="374">
        <f>TREND(F241:F242,B241:B242,B245)</f>
        <v>55</v>
      </c>
      <c r="G245" s="966">
        <f t="shared" si="95"/>
        <v>0</v>
      </c>
      <c r="H245" s="967">
        <f t="shared" si="96"/>
        <v>0</v>
      </c>
      <c r="I245" s="428">
        <f t="shared" si="97"/>
        <v>0</v>
      </c>
      <c r="J245" s="431">
        <f t="shared" si="98"/>
        <v>0</v>
      </c>
      <c r="K245" s="339">
        <f t="shared" si="99"/>
        <v>0</v>
      </c>
      <c r="L245" s="436">
        <f t="shared" si="100"/>
        <v>0</v>
      </c>
      <c r="M245" s="285">
        <f t="shared" si="101"/>
        <v>0</v>
      </c>
      <c r="N245" s="323">
        <f t="shared" si="102"/>
        <v>0</v>
      </c>
    </row>
    <row r="246" spans="2:14" x14ac:dyDescent="0.25">
      <c r="B246" s="327">
        <v>4</v>
      </c>
      <c r="C246" s="347">
        <f>TREND(C241:C242,B241:B242,B246)</f>
        <v>0</v>
      </c>
      <c r="D246" s="630">
        <f>TREND(D241:D242,B241:B242,B246)</f>
        <v>0</v>
      </c>
      <c r="E246" s="633">
        <f>TREND(E241:E242,B241:B242,B246)</f>
        <v>55</v>
      </c>
      <c r="F246" s="374">
        <f>TREND(F241:F242,B241:B242,B246)</f>
        <v>55</v>
      </c>
      <c r="G246" s="966">
        <f t="shared" si="95"/>
        <v>0</v>
      </c>
      <c r="H246" s="967">
        <f t="shared" si="96"/>
        <v>0</v>
      </c>
      <c r="I246" s="428">
        <f t="shared" si="97"/>
        <v>0</v>
      </c>
      <c r="J246" s="431">
        <f t="shared" si="98"/>
        <v>0</v>
      </c>
      <c r="K246" s="339">
        <f t="shared" si="99"/>
        <v>0</v>
      </c>
      <c r="L246" s="436">
        <f t="shared" si="100"/>
        <v>0</v>
      </c>
      <c r="M246" s="285">
        <f t="shared" si="101"/>
        <v>0</v>
      </c>
      <c r="N246" s="323">
        <f t="shared" si="102"/>
        <v>0</v>
      </c>
    </row>
    <row r="247" spans="2:14" x14ac:dyDescent="0.25">
      <c r="B247" s="327">
        <v>5</v>
      </c>
      <c r="C247" s="347">
        <f>TREND(C241:C242,B241:B242,B247)</f>
        <v>0</v>
      </c>
      <c r="D247" s="630">
        <f>TREND(D241:D242,B241:B242,B247)</f>
        <v>0</v>
      </c>
      <c r="E247" s="633">
        <f>TREND(E241:E242,B241:B242,B247)</f>
        <v>55</v>
      </c>
      <c r="F247" s="374">
        <f>TREND(F241:F242,B241:B242,B247)</f>
        <v>55</v>
      </c>
      <c r="G247" s="966">
        <f t="shared" si="95"/>
        <v>0</v>
      </c>
      <c r="H247" s="967">
        <f t="shared" si="96"/>
        <v>0</v>
      </c>
      <c r="I247" s="428">
        <f t="shared" si="97"/>
        <v>0</v>
      </c>
      <c r="J247" s="431">
        <f t="shared" si="98"/>
        <v>0</v>
      </c>
      <c r="K247" s="339">
        <f t="shared" si="99"/>
        <v>0</v>
      </c>
      <c r="L247" s="436">
        <f t="shared" si="100"/>
        <v>0</v>
      </c>
      <c r="M247" s="285">
        <f t="shared" si="101"/>
        <v>0</v>
      </c>
      <c r="N247" s="323">
        <f t="shared" si="102"/>
        <v>0</v>
      </c>
    </row>
    <row r="248" spans="2:14" x14ac:dyDescent="0.25">
      <c r="B248" s="327">
        <v>6</v>
      </c>
      <c r="C248" s="347">
        <f>TREND(C241:C242,B241:B242,B248)</f>
        <v>0</v>
      </c>
      <c r="D248" s="630">
        <f>TREND(D241:D242,B241:B242,B248)</f>
        <v>0</v>
      </c>
      <c r="E248" s="633">
        <f>TREND(E241:E242,B241:B242,B248)</f>
        <v>55</v>
      </c>
      <c r="F248" s="374">
        <f>TREND(F241:F242,B241:B242,B248)</f>
        <v>55</v>
      </c>
      <c r="G248" s="966">
        <f t="shared" si="95"/>
        <v>0</v>
      </c>
      <c r="H248" s="967">
        <f t="shared" si="96"/>
        <v>0</v>
      </c>
      <c r="I248" s="428">
        <f t="shared" si="97"/>
        <v>0</v>
      </c>
      <c r="J248" s="431">
        <f t="shared" si="98"/>
        <v>0</v>
      </c>
      <c r="K248" s="339">
        <f t="shared" si="99"/>
        <v>0</v>
      </c>
      <c r="L248" s="436">
        <f t="shared" si="100"/>
        <v>0</v>
      </c>
      <c r="M248" s="285">
        <f t="shared" si="101"/>
        <v>0</v>
      </c>
      <c r="N248" s="323">
        <f t="shared" si="102"/>
        <v>0</v>
      </c>
    </row>
    <row r="249" spans="2:14" x14ac:dyDescent="0.25">
      <c r="B249" s="327">
        <v>7</v>
      </c>
      <c r="C249" s="347">
        <f>TREND(C241:C242,B241:B242,B249)</f>
        <v>0</v>
      </c>
      <c r="D249" s="630">
        <f>TREND(D241:D242,B241:B242,B249)</f>
        <v>0</v>
      </c>
      <c r="E249" s="633">
        <f>TREND(E241:E242,B241:B242,B249)</f>
        <v>55</v>
      </c>
      <c r="F249" s="374">
        <f>TREND(F241:F242,B241:B242,B249)</f>
        <v>55</v>
      </c>
      <c r="G249" s="966">
        <f t="shared" si="95"/>
        <v>0</v>
      </c>
      <c r="H249" s="967">
        <f t="shared" si="96"/>
        <v>0</v>
      </c>
      <c r="I249" s="428">
        <f t="shared" si="97"/>
        <v>0</v>
      </c>
      <c r="J249" s="431">
        <f t="shared" si="98"/>
        <v>0</v>
      </c>
      <c r="K249" s="339">
        <f t="shared" si="99"/>
        <v>0</v>
      </c>
      <c r="L249" s="436">
        <f t="shared" si="100"/>
        <v>0</v>
      </c>
      <c r="M249" s="285">
        <f t="shared" si="101"/>
        <v>0</v>
      </c>
      <c r="N249" s="323">
        <f t="shared" si="102"/>
        <v>0</v>
      </c>
    </row>
    <row r="250" spans="2:14" x14ac:dyDescent="0.25">
      <c r="B250" s="327">
        <v>8</v>
      </c>
      <c r="C250" s="347">
        <f>TREND(C241:C242,B241:B242,B250)</f>
        <v>0</v>
      </c>
      <c r="D250" s="630">
        <f>TREND(D241:D242,B241:B242,B250)</f>
        <v>0</v>
      </c>
      <c r="E250" s="633">
        <f>TREND(E241:E242,B241:B242,B250)</f>
        <v>55</v>
      </c>
      <c r="F250" s="374">
        <f>TREND(F241:F242,B241:B242,B250)</f>
        <v>55</v>
      </c>
      <c r="G250" s="966">
        <f t="shared" si="95"/>
        <v>0</v>
      </c>
      <c r="H250" s="967">
        <f t="shared" si="96"/>
        <v>0</v>
      </c>
      <c r="I250" s="428">
        <f t="shared" si="97"/>
        <v>0</v>
      </c>
      <c r="J250" s="431">
        <f t="shared" si="98"/>
        <v>0</v>
      </c>
      <c r="K250" s="339">
        <f t="shared" si="99"/>
        <v>0</v>
      </c>
      <c r="L250" s="436">
        <f t="shared" si="100"/>
        <v>0</v>
      </c>
      <c r="M250" s="285">
        <f t="shared" si="101"/>
        <v>0</v>
      </c>
      <c r="N250" s="323">
        <f t="shared" si="102"/>
        <v>0</v>
      </c>
    </row>
    <row r="251" spans="2:14" x14ac:dyDescent="0.25">
      <c r="B251" s="327">
        <v>9</v>
      </c>
      <c r="C251" s="347">
        <f>TREND(C241:C242,B241:B242,B251)</f>
        <v>0</v>
      </c>
      <c r="D251" s="630">
        <f>TREND(D241:D242,B241:B242,B251)</f>
        <v>0</v>
      </c>
      <c r="E251" s="633">
        <f>TREND(E241:E242,B241:B242,B251)</f>
        <v>55</v>
      </c>
      <c r="F251" s="374">
        <f>TREND(F241:F242,B241:B242,B251)</f>
        <v>55</v>
      </c>
      <c r="G251" s="966">
        <f t="shared" si="95"/>
        <v>0</v>
      </c>
      <c r="H251" s="967">
        <f t="shared" si="96"/>
        <v>0</v>
      </c>
      <c r="I251" s="428">
        <f t="shared" si="97"/>
        <v>0</v>
      </c>
      <c r="J251" s="431">
        <f t="shared" si="98"/>
        <v>0</v>
      </c>
      <c r="K251" s="339">
        <f t="shared" si="99"/>
        <v>0</v>
      </c>
      <c r="L251" s="436">
        <f t="shared" si="100"/>
        <v>0</v>
      </c>
      <c r="M251" s="285">
        <f t="shared" si="101"/>
        <v>0</v>
      </c>
      <c r="N251" s="323">
        <f t="shared" si="102"/>
        <v>0</v>
      </c>
    </row>
    <row r="252" spans="2:14" x14ac:dyDescent="0.25">
      <c r="B252" s="327">
        <v>10</v>
      </c>
      <c r="C252" s="347">
        <f>TREND(C241:C242,B241:B242,B252)</f>
        <v>0</v>
      </c>
      <c r="D252" s="630">
        <f>TREND(D241:D242,B241:B242,B252)</f>
        <v>0</v>
      </c>
      <c r="E252" s="633">
        <f>TREND(E241:E242,B241:B242,B252)</f>
        <v>55</v>
      </c>
      <c r="F252" s="374">
        <f>TREND(F241:F242,B241:B242,B252)</f>
        <v>55</v>
      </c>
      <c r="G252" s="966">
        <f t="shared" si="95"/>
        <v>0</v>
      </c>
      <c r="H252" s="967">
        <f t="shared" si="96"/>
        <v>0</v>
      </c>
      <c r="I252" s="428">
        <f t="shared" si="97"/>
        <v>0</v>
      </c>
      <c r="J252" s="431">
        <f t="shared" si="98"/>
        <v>0</v>
      </c>
      <c r="K252" s="339">
        <f t="shared" si="99"/>
        <v>0</v>
      </c>
      <c r="L252" s="436">
        <f t="shared" si="100"/>
        <v>0</v>
      </c>
      <c r="M252" s="285">
        <f t="shared" si="101"/>
        <v>0</v>
      </c>
      <c r="N252" s="323">
        <f t="shared" si="102"/>
        <v>0</v>
      </c>
    </row>
    <row r="253" spans="2:14" x14ac:dyDescent="0.25">
      <c r="B253" s="327">
        <v>11</v>
      </c>
      <c r="C253" s="347">
        <f>TREND(C241:C242,B241:B242,B253)</f>
        <v>0</v>
      </c>
      <c r="D253" s="630">
        <f>TREND(D241:D242,B241:B242,B253)</f>
        <v>0</v>
      </c>
      <c r="E253" s="633">
        <f>TREND(E241:E242,B241:B242,B253)</f>
        <v>55</v>
      </c>
      <c r="F253" s="374">
        <f>TREND(F241:F242,B241:B242,B253)</f>
        <v>55</v>
      </c>
      <c r="G253" s="966">
        <f t="shared" si="95"/>
        <v>0</v>
      </c>
      <c r="H253" s="967">
        <f t="shared" si="96"/>
        <v>0</v>
      </c>
      <c r="I253" s="428">
        <f t="shared" si="97"/>
        <v>0</v>
      </c>
      <c r="J253" s="431">
        <f t="shared" si="98"/>
        <v>0</v>
      </c>
      <c r="K253" s="339">
        <f t="shared" si="99"/>
        <v>0</v>
      </c>
      <c r="L253" s="436">
        <f t="shared" si="100"/>
        <v>0</v>
      </c>
      <c r="M253" s="285">
        <f t="shared" si="101"/>
        <v>0</v>
      </c>
      <c r="N253" s="323">
        <f t="shared" si="102"/>
        <v>0</v>
      </c>
    </row>
    <row r="254" spans="2:14" x14ac:dyDescent="0.25">
      <c r="B254" s="327">
        <v>12</v>
      </c>
      <c r="C254" s="347">
        <f>TREND(C241:C242,B241:B242,B254)</f>
        <v>0</v>
      </c>
      <c r="D254" s="630">
        <f>TREND(D241:D242,B241:B242,B254)</f>
        <v>0</v>
      </c>
      <c r="E254" s="633">
        <f>TREND(E241:E242,B241:B242,B254)</f>
        <v>55</v>
      </c>
      <c r="F254" s="374">
        <f>TREND(F241:F242,B241:B242,B254)</f>
        <v>55</v>
      </c>
      <c r="G254" s="966">
        <f t="shared" si="95"/>
        <v>0</v>
      </c>
      <c r="H254" s="967">
        <f t="shared" si="96"/>
        <v>0</v>
      </c>
      <c r="I254" s="428">
        <f t="shared" si="97"/>
        <v>0</v>
      </c>
      <c r="J254" s="431">
        <f t="shared" si="98"/>
        <v>0</v>
      </c>
      <c r="K254" s="339">
        <f t="shared" si="99"/>
        <v>0</v>
      </c>
      <c r="L254" s="436">
        <f t="shared" si="100"/>
        <v>0</v>
      </c>
      <c r="M254" s="285">
        <f t="shared" si="101"/>
        <v>0</v>
      </c>
      <c r="N254" s="323">
        <f t="shared" si="102"/>
        <v>0</v>
      </c>
    </row>
    <row r="255" spans="2:14" x14ac:dyDescent="0.25">
      <c r="B255" s="327">
        <v>13</v>
      </c>
      <c r="C255" s="347">
        <f>TREND(C241:C242,B241:B242,B255)</f>
        <v>0</v>
      </c>
      <c r="D255" s="630">
        <f>TREND(D241:D242,B241:B242,B255)</f>
        <v>0</v>
      </c>
      <c r="E255" s="633">
        <f>TREND(E241:E242,B241:B242,B255)</f>
        <v>55</v>
      </c>
      <c r="F255" s="374">
        <f>TREND(F241:F242,B241:B242,B255)</f>
        <v>55</v>
      </c>
      <c r="G255" s="966">
        <f t="shared" si="95"/>
        <v>0</v>
      </c>
      <c r="H255" s="967">
        <f t="shared" si="96"/>
        <v>0</v>
      </c>
      <c r="I255" s="428">
        <f t="shared" si="97"/>
        <v>0</v>
      </c>
      <c r="J255" s="431">
        <f t="shared" si="98"/>
        <v>0</v>
      </c>
      <c r="K255" s="339">
        <f t="shared" si="99"/>
        <v>0</v>
      </c>
      <c r="L255" s="436">
        <f t="shared" si="100"/>
        <v>0</v>
      </c>
      <c r="M255" s="285">
        <f t="shared" si="101"/>
        <v>0</v>
      </c>
      <c r="N255" s="323">
        <f t="shared" si="102"/>
        <v>0</v>
      </c>
    </row>
    <row r="256" spans="2:14" x14ac:dyDescent="0.25">
      <c r="B256" s="327">
        <v>14</v>
      </c>
      <c r="C256" s="347">
        <f>TREND(C241:C242,B241:B242,B256)</f>
        <v>0</v>
      </c>
      <c r="D256" s="630">
        <f>TREND(D241:D242,B241:B242,B256)</f>
        <v>0</v>
      </c>
      <c r="E256" s="633">
        <f>TREND(E241:E242,B241:B242,B256)</f>
        <v>55</v>
      </c>
      <c r="F256" s="374">
        <f>TREND(F241:F242,B241:B242,B256)</f>
        <v>55</v>
      </c>
      <c r="G256" s="966">
        <f t="shared" si="95"/>
        <v>0</v>
      </c>
      <c r="H256" s="967">
        <f t="shared" si="96"/>
        <v>0</v>
      </c>
      <c r="I256" s="428">
        <f t="shared" si="97"/>
        <v>0</v>
      </c>
      <c r="J256" s="431">
        <f t="shared" si="98"/>
        <v>0</v>
      </c>
      <c r="K256" s="339">
        <f t="shared" si="99"/>
        <v>0</v>
      </c>
      <c r="L256" s="436">
        <f t="shared" si="100"/>
        <v>0</v>
      </c>
      <c r="M256" s="285">
        <f t="shared" si="101"/>
        <v>0</v>
      </c>
      <c r="N256" s="323">
        <f t="shared" si="102"/>
        <v>0</v>
      </c>
    </row>
    <row r="257" spans="2:14" x14ac:dyDescent="0.25">
      <c r="B257" s="327">
        <v>15</v>
      </c>
      <c r="C257" s="347">
        <f>TREND(C241:C242,B241:B242,B257)</f>
        <v>0</v>
      </c>
      <c r="D257" s="630">
        <f>TREND(D241:D242,B241:B242,B257)</f>
        <v>0</v>
      </c>
      <c r="E257" s="633">
        <f>TREND(E241:E242,B241:B242,B257)</f>
        <v>55</v>
      </c>
      <c r="F257" s="374">
        <f>TREND(F241:F242,B241:B242,B257)</f>
        <v>55</v>
      </c>
      <c r="G257" s="966">
        <f t="shared" si="95"/>
        <v>0</v>
      </c>
      <c r="H257" s="967">
        <f t="shared" si="96"/>
        <v>0</v>
      </c>
      <c r="I257" s="428">
        <f t="shared" si="97"/>
        <v>0</v>
      </c>
      <c r="J257" s="431">
        <f t="shared" si="98"/>
        <v>0</v>
      </c>
      <c r="K257" s="339">
        <f t="shared" si="99"/>
        <v>0</v>
      </c>
      <c r="L257" s="436">
        <f t="shared" si="100"/>
        <v>0</v>
      </c>
      <c r="M257" s="285">
        <f t="shared" si="101"/>
        <v>0</v>
      </c>
      <c r="N257" s="323">
        <f t="shared" si="102"/>
        <v>0</v>
      </c>
    </row>
    <row r="258" spans="2:14" x14ac:dyDescent="0.25">
      <c r="B258" s="327">
        <v>16</v>
      </c>
      <c r="C258" s="347">
        <f>TREND(C241:C242,B241:B242,B258)</f>
        <v>0</v>
      </c>
      <c r="D258" s="630">
        <f>TREND(D241:D242,B241:B242,B258)</f>
        <v>0</v>
      </c>
      <c r="E258" s="633">
        <f>TREND(E241:E242,B241:B242,B258)</f>
        <v>55</v>
      </c>
      <c r="F258" s="374">
        <f>TREND(F241:F242,B241:B242,B258)</f>
        <v>55</v>
      </c>
      <c r="G258" s="966">
        <f t="shared" si="95"/>
        <v>0</v>
      </c>
      <c r="H258" s="967">
        <f t="shared" si="96"/>
        <v>0</v>
      </c>
      <c r="I258" s="428">
        <f t="shared" si="97"/>
        <v>0</v>
      </c>
      <c r="J258" s="431">
        <f t="shared" si="98"/>
        <v>0</v>
      </c>
      <c r="K258" s="339">
        <f t="shared" si="99"/>
        <v>0</v>
      </c>
      <c r="L258" s="436">
        <f t="shared" si="100"/>
        <v>0</v>
      </c>
      <c r="M258" s="285">
        <f t="shared" si="101"/>
        <v>0</v>
      </c>
      <c r="N258" s="323">
        <f t="shared" si="102"/>
        <v>0</v>
      </c>
    </row>
    <row r="259" spans="2:14" x14ac:dyDescent="0.25">
      <c r="B259" s="327">
        <v>17</v>
      </c>
      <c r="C259" s="347">
        <f>TREND(C241:C242,B241:B242,B259)</f>
        <v>0</v>
      </c>
      <c r="D259" s="630">
        <f>TREND(D241:D242,B241:B242,B259)</f>
        <v>0</v>
      </c>
      <c r="E259" s="633">
        <f>TREND(E241:E242,B241:B242,B259)</f>
        <v>55</v>
      </c>
      <c r="F259" s="374">
        <f>TREND(F241:F242,B241:B242,B259)</f>
        <v>55</v>
      </c>
      <c r="G259" s="966">
        <f t="shared" si="95"/>
        <v>0</v>
      </c>
      <c r="H259" s="967">
        <f t="shared" si="96"/>
        <v>0</v>
      </c>
      <c r="I259" s="428">
        <f t="shared" si="97"/>
        <v>0</v>
      </c>
      <c r="J259" s="431">
        <f t="shared" si="98"/>
        <v>0</v>
      </c>
      <c r="K259" s="339">
        <f t="shared" si="99"/>
        <v>0</v>
      </c>
      <c r="L259" s="436">
        <f t="shared" si="100"/>
        <v>0</v>
      </c>
      <c r="M259" s="285">
        <f t="shared" si="101"/>
        <v>0</v>
      </c>
      <c r="N259" s="323">
        <f t="shared" si="102"/>
        <v>0</v>
      </c>
    </row>
    <row r="260" spans="2:14" x14ac:dyDescent="0.25">
      <c r="B260" s="327">
        <v>18</v>
      </c>
      <c r="C260" s="347">
        <f>TREND(C241:C242,B241:B242,B260)</f>
        <v>0</v>
      </c>
      <c r="D260" s="630">
        <f>TREND(D241:D242,B241:B242,B260)</f>
        <v>0</v>
      </c>
      <c r="E260" s="633">
        <f>TREND(E241:E242,B241:B242,B260)</f>
        <v>55</v>
      </c>
      <c r="F260" s="374">
        <f>TREND(F241:F242,B241:B242,B260)</f>
        <v>55</v>
      </c>
      <c r="G260" s="966">
        <f t="shared" si="95"/>
        <v>0</v>
      </c>
      <c r="H260" s="967">
        <f t="shared" si="96"/>
        <v>0</v>
      </c>
      <c r="I260" s="428">
        <f t="shared" si="97"/>
        <v>0</v>
      </c>
      <c r="J260" s="431">
        <f t="shared" si="98"/>
        <v>0</v>
      </c>
      <c r="K260" s="339">
        <f t="shared" si="99"/>
        <v>0</v>
      </c>
      <c r="L260" s="436">
        <f t="shared" si="100"/>
        <v>0</v>
      </c>
      <c r="M260" s="285">
        <f t="shared" si="101"/>
        <v>0</v>
      </c>
      <c r="N260" s="323">
        <f t="shared" si="102"/>
        <v>0</v>
      </c>
    </row>
    <row r="261" spans="2:14" x14ac:dyDescent="0.25">
      <c r="B261" s="359">
        <v>19</v>
      </c>
      <c r="C261" s="360">
        <f>TREND(C241:C242,B241:B242,B261)</f>
        <v>0</v>
      </c>
      <c r="D261" s="631">
        <f>TREND(D241:D242,B241:B242,B261)</f>
        <v>0</v>
      </c>
      <c r="E261" s="634">
        <f>TREND(E241:E242,B241:B242,B261)</f>
        <v>55</v>
      </c>
      <c r="F261" s="377">
        <f>TREND(F241:F242,B241:B242,B261)</f>
        <v>55</v>
      </c>
      <c r="G261" s="966">
        <f t="shared" si="95"/>
        <v>0</v>
      </c>
      <c r="H261" s="967">
        <f t="shared" si="96"/>
        <v>0</v>
      </c>
      <c r="I261" s="428">
        <f t="shared" si="97"/>
        <v>0</v>
      </c>
      <c r="J261" s="430">
        <f t="shared" si="98"/>
        <v>0</v>
      </c>
      <c r="K261" s="340">
        <f t="shared" si="99"/>
        <v>0</v>
      </c>
      <c r="L261" s="435">
        <f t="shared" si="100"/>
        <v>0</v>
      </c>
      <c r="M261" s="285">
        <f t="shared" si="101"/>
        <v>0</v>
      </c>
      <c r="N261" s="323">
        <f t="shared" si="102"/>
        <v>0</v>
      </c>
    </row>
    <row r="262" spans="2:14" x14ac:dyDescent="0.25">
      <c r="B262" s="357"/>
      <c r="C262" s="355"/>
      <c r="D262" s="355"/>
      <c r="E262" s="355"/>
      <c r="F262" s="355"/>
      <c r="G262" s="356"/>
      <c r="H262" s="356"/>
      <c r="I262" s="356"/>
      <c r="J262" s="356"/>
      <c r="K262" s="356"/>
      <c r="L262" s="356"/>
      <c r="M262" s="356"/>
      <c r="N262" s="358"/>
    </row>
    <row r="263" spans="2:14" ht="13" x14ac:dyDescent="0.25">
      <c r="B263" s="329" t="s">
        <v>172</v>
      </c>
      <c r="C263" s="330"/>
      <c r="D263" s="331"/>
      <c r="E263" s="331"/>
      <c r="F263" s="331"/>
      <c r="G263" s="331"/>
      <c r="H263" s="331"/>
      <c r="I263" s="331"/>
      <c r="J263" s="331"/>
      <c r="K263" s="331"/>
      <c r="L263" s="332"/>
      <c r="M263" s="341"/>
      <c r="N263" s="342">
        <f>SUM(N241:N261)</f>
        <v>0</v>
      </c>
    </row>
    <row r="266" spans="2:14" ht="13" x14ac:dyDescent="0.25">
      <c r="B266" s="350" t="s">
        <v>255</v>
      </c>
      <c r="C266" s="88"/>
      <c r="D266" s="88"/>
      <c r="E266" s="88"/>
      <c r="F266" s="88"/>
      <c r="G266" s="309"/>
      <c r="H266" s="309"/>
      <c r="I266" s="88"/>
      <c r="J266" s="309"/>
      <c r="K266" s="309"/>
      <c r="L266" s="88"/>
      <c r="M266" s="88"/>
      <c r="N266" s="88"/>
    </row>
    <row r="267" spans="2:14" x14ac:dyDescent="0.25">
      <c r="B267" s="88"/>
      <c r="C267" s="88"/>
      <c r="D267" s="274"/>
      <c r="E267" s="274"/>
      <c r="F267" s="274"/>
      <c r="G267" s="88"/>
      <c r="H267" s="88"/>
      <c r="I267" s="88"/>
      <c r="J267" s="88"/>
      <c r="K267" s="88"/>
      <c r="L267" s="88"/>
      <c r="M267" s="88"/>
      <c r="N267" s="351"/>
    </row>
    <row r="268" spans="2:14" ht="15.5" x14ac:dyDescent="0.25">
      <c r="B268" s="317"/>
      <c r="C268" s="320" t="s">
        <v>230</v>
      </c>
      <c r="D268" s="361"/>
      <c r="E268" s="320" t="s">
        <v>231</v>
      </c>
      <c r="F268" s="333"/>
      <c r="G268" s="335" t="s">
        <v>234</v>
      </c>
      <c r="H268" s="361"/>
      <c r="I268" s="335" t="s">
        <v>232</v>
      </c>
      <c r="J268" s="321"/>
      <c r="K268" s="437" t="s">
        <v>233</v>
      </c>
      <c r="L268" s="438"/>
      <c r="M268" s="322"/>
      <c r="N268" s="343"/>
    </row>
    <row r="269" spans="2:14" ht="14" x14ac:dyDescent="0.25">
      <c r="B269" s="318"/>
      <c r="C269" s="287" t="s">
        <v>237</v>
      </c>
      <c r="D269" s="362"/>
      <c r="E269" s="287" t="s">
        <v>238</v>
      </c>
      <c r="F269" s="334"/>
      <c r="G269" s="336" t="s">
        <v>240</v>
      </c>
      <c r="H269" s="362"/>
      <c r="I269" s="336" t="s">
        <v>239</v>
      </c>
      <c r="J269" s="288"/>
      <c r="K269" s="439" t="s">
        <v>552</v>
      </c>
      <c r="L269" s="440"/>
      <c r="M269" s="284"/>
      <c r="N269" s="344"/>
    </row>
    <row r="270" spans="2:14" ht="14" x14ac:dyDescent="0.25">
      <c r="B270" s="169" t="s">
        <v>135</v>
      </c>
      <c r="C270" s="316"/>
      <c r="D270" s="283"/>
      <c r="E270" s="316"/>
      <c r="F270" s="283"/>
      <c r="G270" s="316"/>
      <c r="H270" s="283"/>
      <c r="I270" s="316"/>
      <c r="J270" s="283"/>
      <c r="K270" s="432" t="s">
        <v>151</v>
      </c>
      <c r="L270" s="283" t="s">
        <v>152</v>
      </c>
      <c r="M270" s="286" t="s">
        <v>242</v>
      </c>
      <c r="N270" s="345" t="s">
        <v>139</v>
      </c>
    </row>
    <row r="271" spans="2:14" ht="14" x14ac:dyDescent="0.25">
      <c r="B271" s="319"/>
      <c r="C271" s="324" t="s">
        <v>0</v>
      </c>
      <c r="D271" s="325" t="s">
        <v>1</v>
      </c>
      <c r="E271" s="324" t="s">
        <v>0</v>
      </c>
      <c r="F271" s="325" t="s">
        <v>1</v>
      </c>
      <c r="G271" s="324" t="s">
        <v>0</v>
      </c>
      <c r="H271" s="325" t="s">
        <v>1</v>
      </c>
      <c r="I271" s="324" t="s">
        <v>0</v>
      </c>
      <c r="J271" s="325" t="s">
        <v>1</v>
      </c>
      <c r="K271" s="441" t="s">
        <v>244</v>
      </c>
      <c r="L271" s="325" t="s">
        <v>245</v>
      </c>
      <c r="M271" s="326" t="s">
        <v>148</v>
      </c>
      <c r="N271" s="346" t="s">
        <v>149</v>
      </c>
    </row>
    <row r="272" spans="2:14" x14ac:dyDescent="0.25">
      <c r="B272" s="327">
        <v>1</v>
      </c>
      <c r="C272" s="348">
        <f>NTV1NB*AnnualFactor</f>
        <v>0</v>
      </c>
      <c r="D272" s="349">
        <f>NTV1B*AnnualFactor</f>
        <v>0</v>
      </c>
      <c r="E272" s="363">
        <f>ROUND(NTS1NB,1)</f>
        <v>55</v>
      </c>
      <c r="F272" s="364">
        <f>ROUND(NTS1B,1)</f>
        <v>55</v>
      </c>
      <c r="G272" s="966">
        <f>C272</f>
        <v>0</v>
      </c>
      <c r="H272" s="967">
        <f>D272</f>
        <v>0</v>
      </c>
      <c r="I272" s="428">
        <f>IF(HwyRail,GateTime1/60/2,ImpactedNB/E272)</f>
        <v>0</v>
      </c>
      <c r="J272" s="429">
        <f>IF(HwyRail,0,ImpactedB/F272)</f>
        <v>0</v>
      </c>
      <c r="K272" s="433">
        <f>IF(OR(TruckLane,Bypass,HOV2to3,HOTConv,OnRamp,RM,AM,IM,TI),I272*G272-J272*H272,(I272-J272)*MIN(G272,H272))</f>
        <v>0</v>
      </c>
      <c r="L272" s="434">
        <f>IF(AND(H272&gt;G272,NOT(OR(TruckLane,Bypass,HOV2to3,HOTConv,OnRamp,RM,AM,IM,TI)),Induced="Y"),(I272-J272)*(H272-G272)*0.5,IF(OR(HOV2to3,HOTConv),(I272-J272)*NTT1Ind*IF(Induced="Y",-0.5,-1),0))</f>
        <v>0</v>
      </c>
      <c r="M272" s="285">
        <f>SUM($K272:$L272)*ValTimeTruck*IF(IM,ValTimeIMFactor,1)*(1+TTUprater)^($B272+Construct-1)</f>
        <v>0</v>
      </c>
      <c r="N272" s="323">
        <f>$M272/(1+DiscRate)^($B272+Construct-1)</f>
        <v>0</v>
      </c>
    </row>
    <row r="273" spans="2:14" x14ac:dyDescent="0.25">
      <c r="B273" s="328">
        <v>20</v>
      </c>
      <c r="C273" s="353">
        <f>NTV20NB*AnnualFactor</f>
        <v>0</v>
      </c>
      <c r="D273" s="354">
        <f>NTV20B*AnnualFactor</f>
        <v>0</v>
      </c>
      <c r="E273" s="365">
        <f>ROUND(NTS20NB,1)</f>
        <v>55</v>
      </c>
      <c r="F273" s="366">
        <f>ROUND(NTS20B,1)</f>
        <v>55</v>
      </c>
      <c r="G273" s="966">
        <f>C273</f>
        <v>0</v>
      </c>
      <c r="H273" s="967">
        <f>D273</f>
        <v>0</v>
      </c>
      <c r="I273" s="428">
        <f>IF(HwyRail,GateTime20/60/2,ImpactedNB/E273)</f>
        <v>0</v>
      </c>
      <c r="J273" s="430">
        <f>IF(HwyRail,0,ImpactedB/F273)</f>
        <v>0</v>
      </c>
      <c r="K273" s="340">
        <f>IF(OR(TruckLane,Bypass,HOV2to3,HOTConv,OnRamp,RM,AM,IM,TI),I273*G273-J273*H273,(I273-J273)*MIN(G273,H273))</f>
        <v>0</v>
      </c>
      <c r="L273" s="435">
        <f>IF(AND(H273&gt;G273,NOT(OR(TruckLane,Bypass,HOV2to3,HOTConv,OnRamp,RM,AM,IM,TI)),Induced="Y"),(I273-J273)*(H273-G273)*0.5,IF(OR(HOV2to3,HOTConv),(I273-J273)*NTT20Ind*IF(Induced="Y",-0.5,-1),0))</f>
        <v>0</v>
      </c>
      <c r="M273" s="285">
        <f>SUM($K273:$L273)*ValTimeTruck*IF(IM,ValTimeIMFactor,1)*(1+TTUprater)^($B273+Construct-1)</f>
        <v>0</v>
      </c>
      <c r="N273" s="323">
        <f>$M273/(1+DiscRate)^($B273+Construct-1)</f>
        <v>0</v>
      </c>
    </row>
    <row r="274" spans="2:14" x14ac:dyDescent="0.25">
      <c r="B274" s="357"/>
      <c r="C274" s="355"/>
      <c r="D274" s="355"/>
      <c r="E274" s="367"/>
      <c r="F274" s="367"/>
      <c r="G274" s="356"/>
      <c r="H274" s="356"/>
      <c r="I274" s="356"/>
      <c r="J274" s="356"/>
      <c r="K274" s="356"/>
      <c r="L274" s="356"/>
      <c r="M274" s="356"/>
      <c r="N274" s="358"/>
    </row>
    <row r="275" spans="2:14" x14ac:dyDescent="0.25">
      <c r="B275" s="352">
        <v>2</v>
      </c>
      <c r="C275" s="368">
        <f>TREND(C272:C273,B272:B273,B275)</f>
        <v>0</v>
      </c>
      <c r="D275" s="629">
        <f>TREND(D272:D273,B272:B273,B275)</f>
        <v>0</v>
      </c>
      <c r="E275" s="632">
        <f>TREND(E272:E273,B272:B273,B275)</f>
        <v>55</v>
      </c>
      <c r="F275" s="371">
        <f>TREND(F272:F273,B272:B273,B275)</f>
        <v>55</v>
      </c>
      <c r="G275" s="966">
        <f>C275</f>
        <v>0</v>
      </c>
      <c r="H275" s="967">
        <f>D275</f>
        <v>0</v>
      </c>
      <c r="I275" s="428">
        <f>IF(HwyRail,TREND(I272:I273,B272:B273,B275),ImpactedNB/E275)</f>
        <v>0</v>
      </c>
      <c r="J275" s="429">
        <f t="shared" ref="J275:J292" si="103">IF(HwyRail,0,ImpactedB/F275)</f>
        <v>0</v>
      </c>
      <c r="K275" s="433">
        <f t="shared" ref="K275:K292" si="104">IF(OR(TruckLane,Bypass,HOV2to3,HOTConv,OnRamp,RM,AM,IM,TI),I275*G275-J275*H275,(I275-J275)*MIN(G275,H275))</f>
        <v>0</v>
      </c>
      <c r="L275" s="434">
        <f>IF(AND(H275&gt;G275,NOT(OR(TruckLane,Bypass,HOV2to3,HOTConv,OnRamp,RM,AM,IM,TI)),Induced="Y"),(I275-J275)*(H275-G275)*0.5,IF(OR(HOV2to3,HOTConv),TREND(L272:L273,B272:B273,B275),0))</f>
        <v>0</v>
      </c>
      <c r="M275" s="285">
        <f t="shared" ref="M275:M292" si="105">SUM($K275:$L275)*ValTimeTruck*IF(IM,ValTimeIMFactor,1)*(1+TTUprater)^($B275+Construct-1)</f>
        <v>0</v>
      </c>
      <c r="N275" s="323">
        <f t="shared" ref="N275:N292" si="106">$M275/(1+DiscRate)^($B275+Construct-1)</f>
        <v>0</v>
      </c>
    </row>
    <row r="276" spans="2:14" x14ac:dyDescent="0.25">
      <c r="B276" s="327">
        <v>3</v>
      </c>
      <c r="C276" s="347">
        <f>TREND(C272:C273,B272:B273,B276)</f>
        <v>0</v>
      </c>
      <c r="D276" s="630">
        <f>TREND(D272:D273,B272:B273,B276)</f>
        <v>0</v>
      </c>
      <c r="E276" s="633">
        <f>TREND(E272:E273,B272:B273,B276)</f>
        <v>55</v>
      </c>
      <c r="F276" s="374">
        <f>TREND(F272:F273,B272:B273,B276)</f>
        <v>55</v>
      </c>
      <c r="G276" s="966">
        <f t="shared" ref="G276:G292" si="107">C276</f>
        <v>0</v>
      </c>
      <c r="H276" s="967">
        <f t="shared" ref="H276:H292" si="108">D276</f>
        <v>0</v>
      </c>
      <c r="I276" s="428">
        <f>IF(HwyRail,TREND(I272:I273,B272:B273,B276),ImpactedNB/E276)</f>
        <v>0</v>
      </c>
      <c r="J276" s="431">
        <f t="shared" si="103"/>
        <v>0</v>
      </c>
      <c r="K276" s="339">
        <f t="shared" si="104"/>
        <v>0</v>
      </c>
      <c r="L276" s="436">
        <f>IF(AND(H276&gt;G276,NOT(OR(TruckLane,Bypass,HOV2to3,HOTConv,OnRamp,RM,AM,IM,TI)),Induced="Y"),(I276-J276)*(H276-G276)*0.5,IF(OR(HOV2to3,HOTConv),TREND(L272:L273,B272:B273,B276),0))</f>
        <v>0</v>
      </c>
      <c r="M276" s="285">
        <f t="shared" si="105"/>
        <v>0</v>
      </c>
      <c r="N276" s="323">
        <f t="shared" si="106"/>
        <v>0</v>
      </c>
    </row>
    <row r="277" spans="2:14" x14ac:dyDescent="0.25">
      <c r="B277" s="327">
        <v>4</v>
      </c>
      <c r="C277" s="347">
        <f>TREND(C272:C273,B272:B273,B277)</f>
        <v>0</v>
      </c>
      <c r="D277" s="630">
        <f>TREND(D272:D273,B272:B273,B277)</f>
        <v>0</v>
      </c>
      <c r="E277" s="633">
        <f>TREND(E272:E273,B272:B273,B277)</f>
        <v>55</v>
      </c>
      <c r="F277" s="374">
        <f>TREND(F272:F273,B272:B273,B277)</f>
        <v>55</v>
      </c>
      <c r="G277" s="966">
        <f t="shared" si="107"/>
        <v>0</v>
      </c>
      <c r="H277" s="967">
        <f t="shared" si="108"/>
        <v>0</v>
      </c>
      <c r="I277" s="428">
        <f>IF(HwyRail,TREND(I272:I273,B272:B273,B277),ImpactedNB/E277)</f>
        <v>0</v>
      </c>
      <c r="J277" s="431">
        <f t="shared" si="103"/>
        <v>0</v>
      </c>
      <c r="K277" s="339">
        <f t="shared" si="104"/>
        <v>0</v>
      </c>
      <c r="L277" s="436">
        <f>IF(AND(H277&gt;G277,NOT(OR(TruckLane,Bypass,HOV2to3,HOTConv,OnRamp,RM,AM,IM,TI)),Induced="Y"),(I277-J277)*(H277-G277)*0.5,IF(OR(HOV2to3,HOTConv),TREND(L272:L273,B272:B273,B277),0))</f>
        <v>0</v>
      </c>
      <c r="M277" s="285">
        <f t="shared" si="105"/>
        <v>0</v>
      </c>
      <c r="N277" s="323">
        <f t="shared" si="106"/>
        <v>0</v>
      </c>
    </row>
    <row r="278" spans="2:14" x14ac:dyDescent="0.25">
      <c r="B278" s="327">
        <v>5</v>
      </c>
      <c r="C278" s="347">
        <f>TREND(C272:C273,B272:B273,B278)</f>
        <v>0</v>
      </c>
      <c r="D278" s="630">
        <f>TREND(D272:D273,B272:B273,B278)</f>
        <v>0</v>
      </c>
      <c r="E278" s="633">
        <f>TREND(E272:E273,B272:B273,B278)</f>
        <v>55</v>
      </c>
      <c r="F278" s="374">
        <f>TREND(F272:F273,B272:B273,B278)</f>
        <v>55</v>
      </c>
      <c r="G278" s="966">
        <f t="shared" si="107"/>
        <v>0</v>
      </c>
      <c r="H278" s="967">
        <f t="shared" si="108"/>
        <v>0</v>
      </c>
      <c r="I278" s="428">
        <f>IF(HwyRail,TREND(I272:I273,B272:B273,B278),ImpactedNB/E278)</f>
        <v>0</v>
      </c>
      <c r="J278" s="431">
        <f t="shared" si="103"/>
        <v>0</v>
      </c>
      <c r="K278" s="339">
        <f t="shared" si="104"/>
        <v>0</v>
      </c>
      <c r="L278" s="436">
        <f>IF(AND(H278&gt;G278,NOT(OR(TruckLane,Bypass,HOV2to3,HOTConv,OnRamp,RM,AM,IM,TI)),Induced="Y"),(I278-J278)*(H278-G278)*0.5,IF(OR(HOV2to3,HOTConv),TREND(L272:L273,B272:B273,B278),0))</f>
        <v>0</v>
      </c>
      <c r="M278" s="285">
        <f t="shared" si="105"/>
        <v>0</v>
      </c>
      <c r="N278" s="323">
        <f t="shared" si="106"/>
        <v>0</v>
      </c>
    </row>
    <row r="279" spans="2:14" x14ac:dyDescent="0.25">
      <c r="B279" s="327">
        <v>6</v>
      </c>
      <c r="C279" s="347">
        <f>TREND(C272:C273,B272:B273,B279)</f>
        <v>0</v>
      </c>
      <c r="D279" s="630">
        <f>TREND(D272:D273,B272:B273,B279)</f>
        <v>0</v>
      </c>
      <c r="E279" s="633">
        <f>TREND(E272:E273,B272:B273,B279)</f>
        <v>55</v>
      </c>
      <c r="F279" s="374">
        <f>TREND(F272:F273,B272:B273,B279)</f>
        <v>55</v>
      </c>
      <c r="G279" s="966">
        <f t="shared" si="107"/>
        <v>0</v>
      </c>
      <c r="H279" s="967">
        <f t="shared" si="108"/>
        <v>0</v>
      </c>
      <c r="I279" s="428">
        <f>IF(HwyRail,TREND(I272:I273,B272:B273,B279),ImpactedNB/E279)</f>
        <v>0</v>
      </c>
      <c r="J279" s="431">
        <f t="shared" si="103"/>
        <v>0</v>
      </c>
      <c r="K279" s="339">
        <f t="shared" si="104"/>
        <v>0</v>
      </c>
      <c r="L279" s="436">
        <f>IF(AND(H279&gt;G279,NOT(OR(TruckLane,Bypass,HOV2to3,HOTConv,OnRamp,RM,AM,IM,TI)),Induced="Y"),(I279-J279)*(H279-G279)*0.5,IF(OR(HOV2to3,HOTConv),TREND(L272:L273,B272:B273,B279),0))</f>
        <v>0</v>
      </c>
      <c r="M279" s="285">
        <f t="shared" si="105"/>
        <v>0</v>
      </c>
      <c r="N279" s="323">
        <f t="shared" si="106"/>
        <v>0</v>
      </c>
    </row>
    <row r="280" spans="2:14" x14ac:dyDescent="0.25">
      <c r="B280" s="327">
        <v>7</v>
      </c>
      <c r="C280" s="347">
        <f>TREND(C272:C273,B272:B273,B280)</f>
        <v>0</v>
      </c>
      <c r="D280" s="630">
        <f>TREND(D272:D273,B272:B273,B280)</f>
        <v>0</v>
      </c>
      <c r="E280" s="633">
        <f>TREND(E272:E273,B272:B273,B280)</f>
        <v>55</v>
      </c>
      <c r="F280" s="374">
        <f>TREND(F272:F273,B272:B273,B280)</f>
        <v>55</v>
      </c>
      <c r="G280" s="966">
        <f t="shared" si="107"/>
        <v>0</v>
      </c>
      <c r="H280" s="967">
        <f t="shared" si="108"/>
        <v>0</v>
      </c>
      <c r="I280" s="428">
        <f>IF(HwyRail,TREND(I272:I273,B272:B273,B280),ImpactedNB/E280)</f>
        <v>0</v>
      </c>
      <c r="J280" s="431">
        <f t="shared" si="103"/>
        <v>0</v>
      </c>
      <c r="K280" s="339">
        <f t="shared" si="104"/>
        <v>0</v>
      </c>
      <c r="L280" s="436">
        <f>IF(AND(H280&gt;G280,NOT(OR(TruckLane,Bypass,HOV2to3,HOTConv,OnRamp,RM,AM,IM,TI)),Induced="Y"),(I280-J280)*(H280-G280)*0.5,IF(OR(HOV2to3,HOTConv),TREND(L272:L273,B272:B273,B280),0))</f>
        <v>0</v>
      </c>
      <c r="M280" s="285">
        <f t="shared" si="105"/>
        <v>0</v>
      </c>
      <c r="N280" s="323">
        <f t="shared" si="106"/>
        <v>0</v>
      </c>
    </row>
    <row r="281" spans="2:14" x14ac:dyDescent="0.25">
      <c r="B281" s="327">
        <v>8</v>
      </c>
      <c r="C281" s="347">
        <f>TREND(C272:C273,B272:B273,B281)</f>
        <v>0</v>
      </c>
      <c r="D281" s="630">
        <f>TREND(D272:D273,B272:B273,B281)</f>
        <v>0</v>
      </c>
      <c r="E281" s="633">
        <f>TREND(E272:E273,B272:B273,B281)</f>
        <v>55</v>
      </c>
      <c r="F281" s="374">
        <f>TREND(F272:F273,B272:B273,B281)</f>
        <v>55</v>
      </c>
      <c r="G281" s="966">
        <f t="shared" si="107"/>
        <v>0</v>
      </c>
      <c r="H281" s="967">
        <f t="shared" si="108"/>
        <v>0</v>
      </c>
      <c r="I281" s="428">
        <f>IF(HwyRail,TREND(I272:I273,B272:B273,B281),ImpactedNB/E281)</f>
        <v>0</v>
      </c>
      <c r="J281" s="431">
        <f t="shared" si="103"/>
        <v>0</v>
      </c>
      <c r="K281" s="339">
        <f t="shared" si="104"/>
        <v>0</v>
      </c>
      <c r="L281" s="436">
        <f>IF(AND(H281&gt;G281,NOT(OR(TruckLane,Bypass,HOV2to3,HOTConv,OnRamp,RM,AM,IM,TI)),Induced="Y"),(I281-J281)*(H281-G281)*0.5,IF(OR(HOV2to3,HOTConv),TREND(L272:L273,B272:B273,B281),0))</f>
        <v>0</v>
      </c>
      <c r="M281" s="285">
        <f t="shared" si="105"/>
        <v>0</v>
      </c>
      <c r="N281" s="323">
        <f t="shared" si="106"/>
        <v>0</v>
      </c>
    </row>
    <row r="282" spans="2:14" x14ac:dyDescent="0.25">
      <c r="B282" s="327">
        <v>9</v>
      </c>
      <c r="C282" s="347">
        <f>TREND(C272:C273,B272:B273,B282)</f>
        <v>0</v>
      </c>
      <c r="D282" s="630">
        <f>TREND(D272:D273,B272:B273,B282)</f>
        <v>0</v>
      </c>
      <c r="E282" s="633">
        <f>TREND(E272:E273,B272:B273,B282)</f>
        <v>55</v>
      </c>
      <c r="F282" s="374">
        <f>TREND(F272:F273,B272:B273,B282)</f>
        <v>55</v>
      </c>
      <c r="G282" s="966">
        <f t="shared" si="107"/>
        <v>0</v>
      </c>
      <c r="H282" s="967">
        <f t="shared" si="108"/>
        <v>0</v>
      </c>
      <c r="I282" s="428">
        <f>IF(HwyRail,TREND(I272:I273,B272:B273,B282),ImpactedNB/E282)</f>
        <v>0</v>
      </c>
      <c r="J282" s="431">
        <f t="shared" si="103"/>
        <v>0</v>
      </c>
      <c r="K282" s="339">
        <f t="shared" si="104"/>
        <v>0</v>
      </c>
      <c r="L282" s="436">
        <f>IF(AND(H282&gt;G282,NOT(OR(TruckLane,Bypass,HOV2to3,HOTConv,OnRamp,RM,AM,IM,TI)),Induced="Y"),(I282-J282)*(H282-G282)*0.5,IF(OR(HOV2to3,HOTConv),TREND(L272:L273,B272:B273,B282),0))</f>
        <v>0</v>
      </c>
      <c r="M282" s="285">
        <f t="shared" si="105"/>
        <v>0</v>
      </c>
      <c r="N282" s="323">
        <f t="shared" si="106"/>
        <v>0</v>
      </c>
    </row>
    <row r="283" spans="2:14" x14ac:dyDescent="0.25">
      <c r="B283" s="327">
        <v>10</v>
      </c>
      <c r="C283" s="347">
        <f>TREND(C272:C273,B272:B273,B283)</f>
        <v>0</v>
      </c>
      <c r="D283" s="630">
        <f>TREND(D272:D273,B272:B273,B283)</f>
        <v>0</v>
      </c>
      <c r="E283" s="633">
        <f>TREND(E272:E273,B272:B273,B283)</f>
        <v>55</v>
      </c>
      <c r="F283" s="374">
        <f>TREND(F272:F273,B272:B273,B283)</f>
        <v>55</v>
      </c>
      <c r="G283" s="966">
        <f t="shared" si="107"/>
        <v>0</v>
      </c>
      <c r="H283" s="967">
        <f t="shared" si="108"/>
        <v>0</v>
      </c>
      <c r="I283" s="428">
        <f>IF(HwyRail,TREND(I272:I273,B272:B273,B283),ImpactedNB/E283)</f>
        <v>0</v>
      </c>
      <c r="J283" s="431">
        <f t="shared" si="103"/>
        <v>0</v>
      </c>
      <c r="K283" s="339">
        <f t="shared" si="104"/>
        <v>0</v>
      </c>
      <c r="L283" s="436">
        <f>IF(AND(H283&gt;G283,NOT(OR(TruckLane,Bypass,HOV2to3,HOTConv,OnRamp,RM,AM,IM,TI)),Induced="Y"),(I283-J283)*(H283-G283)*0.5,IF(OR(HOV2to3,HOTConv),TREND(L272:L273,B272:B273,B283),0))</f>
        <v>0</v>
      </c>
      <c r="M283" s="285">
        <f t="shared" si="105"/>
        <v>0</v>
      </c>
      <c r="N283" s="323">
        <f t="shared" si="106"/>
        <v>0</v>
      </c>
    </row>
    <row r="284" spans="2:14" x14ac:dyDescent="0.25">
      <c r="B284" s="327">
        <v>11</v>
      </c>
      <c r="C284" s="347">
        <f>TREND(C272:C273,B272:B273,B284)</f>
        <v>0</v>
      </c>
      <c r="D284" s="630">
        <f>TREND(D272:D273,B272:B273,B284)</f>
        <v>0</v>
      </c>
      <c r="E284" s="633">
        <f>TREND(E272:E273,B272:B273,B284)</f>
        <v>55</v>
      </c>
      <c r="F284" s="374">
        <f>TREND(F272:F273,B272:B273,B284)</f>
        <v>55</v>
      </c>
      <c r="G284" s="966">
        <f t="shared" si="107"/>
        <v>0</v>
      </c>
      <c r="H284" s="967">
        <f t="shared" si="108"/>
        <v>0</v>
      </c>
      <c r="I284" s="428">
        <f>IF(HwyRail,TREND(I272:I273,B272:B273,B284),ImpactedNB/E284)</f>
        <v>0</v>
      </c>
      <c r="J284" s="431">
        <f t="shared" si="103"/>
        <v>0</v>
      </c>
      <c r="K284" s="339">
        <f t="shared" si="104"/>
        <v>0</v>
      </c>
      <c r="L284" s="436">
        <f>IF(AND(H284&gt;G284,NOT(OR(TruckLane,Bypass,HOV2to3,HOTConv,OnRamp,RM,AM,IM,TI)),Induced="Y"),(I284-J284)*(H284-G284)*0.5,IF(OR(HOV2to3,HOTConv),TREND(L272:L273,B272:B273,B284),0))</f>
        <v>0</v>
      </c>
      <c r="M284" s="285">
        <f t="shared" si="105"/>
        <v>0</v>
      </c>
      <c r="N284" s="323">
        <f t="shared" si="106"/>
        <v>0</v>
      </c>
    </row>
    <row r="285" spans="2:14" x14ac:dyDescent="0.25">
      <c r="B285" s="327">
        <v>12</v>
      </c>
      <c r="C285" s="347">
        <f>TREND(C272:C273,B272:B273,B285)</f>
        <v>0</v>
      </c>
      <c r="D285" s="630">
        <f>TREND(D272:D273,B272:B273,B285)</f>
        <v>0</v>
      </c>
      <c r="E285" s="633">
        <f>TREND(E272:E273,B272:B273,B285)</f>
        <v>55</v>
      </c>
      <c r="F285" s="374">
        <f>TREND(F272:F273,B272:B273,B285)</f>
        <v>55</v>
      </c>
      <c r="G285" s="966">
        <f t="shared" si="107"/>
        <v>0</v>
      </c>
      <c r="H285" s="967">
        <f t="shared" si="108"/>
        <v>0</v>
      </c>
      <c r="I285" s="428">
        <f>IF(HwyRail,TREND(I272:I273,B272:B273,B285),ImpactedNB/E285)</f>
        <v>0</v>
      </c>
      <c r="J285" s="431">
        <f t="shared" si="103"/>
        <v>0</v>
      </c>
      <c r="K285" s="339">
        <f t="shared" si="104"/>
        <v>0</v>
      </c>
      <c r="L285" s="436">
        <f>IF(AND(H285&gt;G285,NOT(OR(TruckLane,Bypass,HOV2to3,HOTConv,OnRamp,RM,AM,IM,TI)),Induced="Y"),(I285-J285)*(H285-G285)*0.5,IF(OR(HOV2to3,HOTConv),TREND(L272:L273,B272:B273,B285),0))</f>
        <v>0</v>
      </c>
      <c r="M285" s="285">
        <f t="shared" si="105"/>
        <v>0</v>
      </c>
      <c r="N285" s="323">
        <f t="shared" si="106"/>
        <v>0</v>
      </c>
    </row>
    <row r="286" spans="2:14" x14ac:dyDescent="0.25">
      <c r="B286" s="327">
        <v>13</v>
      </c>
      <c r="C286" s="347">
        <f>TREND(C272:C273,B272:B273,B286)</f>
        <v>0</v>
      </c>
      <c r="D286" s="630">
        <f>TREND(D272:D273,B272:B273,B286)</f>
        <v>0</v>
      </c>
      <c r="E286" s="633">
        <f>TREND(E272:E273,B272:B273,B286)</f>
        <v>55</v>
      </c>
      <c r="F286" s="374">
        <f>TREND(F272:F273,B272:B273,B286)</f>
        <v>55</v>
      </c>
      <c r="G286" s="966">
        <f t="shared" si="107"/>
        <v>0</v>
      </c>
      <c r="H286" s="967">
        <f t="shared" si="108"/>
        <v>0</v>
      </c>
      <c r="I286" s="428">
        <f>IF(HwyRail,TREND(I272:I273,B272:B273,B286),ImpactedNB/E286)</f>
        <v>0</v>
      </c>
      <c r="J286" s="431">
        <f t="shared" si="103"/>
        <v>0</v>
      </c>
      <c r="K286" s="339">
        <f t="shared" si="104"/>
        <v>0</v>
      </c>
      <c r="L286" s="436">
        <f>IF(AND(H286&gt;G286,NOT(OR(TruckLane,Bypass,HOV2to3,HOTConv,OnRamp,RM,AM,IM,TI)),Induced="Y"),(I286-J286)*(H286-G286)*0.5,IF(OR(HOV2to3,HOTConv),TREND(L272:L273,B272:B273,B286),0))</f>
        <v>0</v>
      </c>
      <c r="M286" s="285">
        <f t="shared" si="105"/>
        <v>0</v>
      </c>
      <c r="N286" s="323">
        <f t="shared" si="106"/>
        <v>0</v>
      </c>
    </row>
    <row r="287" spans="2:14" x14ac:dyDescent="0.25">
      <c r="B287" s="327">
        <v>14</v>
      </c>
      <c r="C287" s="347">
        <f>TREND(C272:C273,B272:B273,B287)</f>
        <v>0</v>
      </c>
      <c r="D287" s="630">
        <f>TREND(D272:D273,B272:B273,B287)</f>
        <v>0</v>
      </c>
      <c r="E287" s="633">
        <f>TREND(E272:E273,B272:B273,B287)</f>
        <v>55</v>
      </c>
      <c r="F287" s="374">
        <f>TREND(F272:F273,B272:B273,B287)</f>
        <v>55</v>
      </c>
      <c r="G287" s="966">
        <f t="shared" si="107"/>
        <v>0</v>
      </c>
      <c r="H287" s="967">
        <f t="shared" si="108"/>
        <v>0</v>
      </c>
      <c r="I287" s="428">
        <f>IF(HwyRail,TREND(I272:I273,B272:B273,B287),ImpactedNB/E287)</f>
        <v>0</v>
      </c>
      <c r="J287" s="431">
        <f t="shared" si="103"/>
        <v>0</v>
      </c>
      <c r="K287" s="339">
        <f t="shared" si="104"/>
        <v>0</v>
      </c>
      <c r="L287" s="436">
        <f>IF(AND(H287&gt;G287,NOT(OR(TruckLane,Bypass,HOV2to3,HOTConv,OnRamp,RM,AM,IM,TI)),Induced="Y"),(I287-J287)*(H287-G287)*0.5,IF(OR(HOV2to3,HOTConv),TREND(L272:L273,B272:B273,B287),0))</f>
        <v>0</v>
      </c>
      <c r="M287" s="285">
        <f t="shared" si="105"/>
        <v>0</v>
      </c>
      <c r="N287" s="323">
        <f t="shared" si="106"/>
        <v>0</v>
      </c>
    </row>
    <row r="288" spans="2:14" x14ac:dyDescent="0.25">
      <c r="B288" s="327">
        <v>15</v>
      </c>
      <c r="C288" s="347">
        <f>TREND(C272:C273,B272:B273,B288)</f>
        <v>0</v>
      </c>
      <c r="D288" s="630">
        <f>TREND(D272:D273,B272:B273,B288)</f>
        <v>0</v>
      </c>
      <c r="E288" s="633">
        <f>TREND(E272:E273,B272:B273,B288)</f>
        <v>55</v>
      </c>
      <c r="F288" s="374">
        <f>TREND(F272:F273,B272:B273,B288)</f>
        <v>55</v>
      </c>
      <c r="G288" s="966">
        <f t="shared" si="107"/>
        <v>0</v>
      </c>
      <c r="H288" s="967">
        <f t="shared" si="108"/>
        <v>0</v>
      </c>
      <c r="I288" s="428">
        <f>IF(HwyRail,TREND(I272:I273,B272:B273,B288),ImpactedNB/E288)</f>
        <v>0</v>
      </c>
      <c r="J288" s="431">
        <f t="shared" si="103"/>
        <v>0</v>
      </c>
      <c r="K288" s="339">
        <f t="shared" si="104"/>
        <v>0</v>
      </c>
      <c r="L288" s="436">
        <f>IF(AND(H288&gt;G288,NOT(OR(TruckLane,Bypass,HOV2to3,HOTConv,OnRamp,RM,AM,IM,TI)),Induced="Y"),(I288-J288)*(H288-G288)*0.5,IF(OR(HOV2to3,HOTConv),TREND(L272:L273,B272:B273,B288),0))</f>
        <v>0</v>
      </c>
      <c r="M288" s="285">
        <f t="shared" si="105"/>
        <v>0</v>
      </c>
      <c r="N288" s="323">
        <f t="shared" si="106"/>
        <v>0</v>
      </c>
    </row>
    <row r="289" spans="2:14" x14ac:dyDescent="0.25">
      <c r="B289" s="327">
        <v>16</v>
      </c>
      <c r="C289" s="347">
        <f>TREND(C272:C273,B272:B273,B289)</f>
        <v>0</v>
      </c>
      <c r="D289" s="630">
        <f>TREND(D272:D273,B272:B273,B289)</f>
        <v>0</v>
      </c>
      <c r="E289" s="633">
        <f>TREND(E272:E273,B272:B273,B289)</f>
        <v>55</v>
      </c>
      <c r="F289" s="374">
        <f>TREND(F272:F273,B272:B273,B289)</f>
        <v>55</v>
      </c>
      <c r="G289" s="966">
        <f t="shared" si="107"/>
        <v>0</v>
      </c>
      <c r="H289" s="967">
        <f t="shared" si="108"/>
        <v>0</v>
      </c>
      <c r="I289" s="428">
        <f>IF(HwyRail,TREND(I272:I273,B272:B273,B289),ImpactedNB/E289)</f>
        <v>0</v>
      </c>
      <c r="J289" s="431">
        <f t="shared" si="103"/>
        <v>0</v>
      </c>
      <c r="K289" s="339">
        <f t="shared" si="104"/>
        <v>0</v>
      </c>
      <c r="L289" s="436">
        <f>IF(AND(H289&gt;G289,NOT(OR(TruckLane,Bypass,HOV2to3,HOTConv,OnRamp,RM,AM,IM,TI)),Induced="Y"),(I289-J289)*(H289-G289)*0.5,IF(OR(HOV2to3,HOTConv),TREND(L272:L273,B272:B273,B289),0))</f>
        <v>0</v>
      </c>
      <c r="M289" s="285">
        <f t="shared" si="105"/>
        <v>0</v>
      </c>
      <c r="N289" s="323">
        <f t="shared" si="106"/>
        <v>0</v>
      </c>
    </row>
    <row r="290" spans="2:14" x14ac:dyDescent="0.25">
      <c r="B290" s="327">
        <v>17</v>
      </c>
      <c r="C290" s="347">
        <f>TREND(C272:C273,B272:B273,B290)</f>
        <v>0</v>
      </c>
      <c r="D290" s="630">
        <f>TREND(D272:D273,B272:B273,B290)</f>
        <v>0</v>
      </c>
      <c r="E290" s="633">
        <f>TREND(E272:E273,B272:B273,B290)</f>
        <v>55</v>
      </c>
      <c r="F290" s="374">
        <f>TREND(F272:F273,B272:B273,B290)</f>
        <v>55</v>
      </c>
      <c r="G290" s="966">
        <f t="shared" si="107"/>
        <v>0</v>
      </c>
      <c r="H290" s="967">
        <f t="shared" si="108"/>
        <v>0</v>
      </c>
      <c r="I290" s="428">
        <f>IF(HwyRail,TREND(I272:I273,B272:B273,B290),ImpactedNB/E290)</f>
        <v>0</v>
      </c>
      <c r="J290" s="431">
        <f t="shared" si="103"/>
        <v>0</v>
      </c>
      <c r="K290" s="339">
        <f t="shared" si="104"/>
        <v>0</v>
      </c>
      <c r="L290" s="436">
        <f>IF(AND(H290&gt;G290,NOT(OR(TruckLane,Bypass,HOV2to3,HOTConv,OnRamp,RM,AM,IM,TI)),Induced="Y"),(I290-J290)*(H290-G290)*0.5,IF(OR(HOV2to3,HOTConv),TREND(L272:L273,B272:B273,B290),0))</f>
        <v>0</v>
      </c>
      <c r="M290" s="285">
        <f t="shared" si="105"/>
        <v>0</v>
      </c>
      <c r="N290" s="323">
        <f t="shared" si="106"/>
        <v>0</v>
      </c>
    </row>
    <row r="291" spans="2:14" x14ac:dyDescent="0.25">
      <c r="B291" s="327">
        <v>18</v>
      </c>
      <c r="C291" s="347">
        <f>TREND(C272:C273,B272:B273,B291)</f>
        <v>0</v>
      </c>
      <c r="D291" s="630">
        <f>TREND(D272:D273,B272:B273,B291)</f>
        <v>0</v>
      </c>
      <c r="E291" s="633">
        <f>TREND(E272:E273,B272:B273,B291)</f>
        <v>55</v>
      </c>
      <c r="F291" s="374">
        <f>TREND(F272:F273,B272:B273,B291)</f>
        <v>55</v>
      </c>
      <c r="G291" s="966">
        <f t="shared" si="107"/>
        <v>0</v>
      </c>
      <c r="H291" s="967">
        <f t="shared" si="108"/>
        <v>0</v>
      </c>
      <c r="I291" s="428">
        <f>IF(HwyRail,TREND(I272:I273,B272:B273,B291),ImpactedNB/E291)</f>
        <v>0</v>
      </c>
      <c r="J291" s="431">
        <f t="shared" si="103"/>
        <v>0</v>
      </c>
      <c r="K291" s="339">
        <f t="shared" si="104"/>
        <v>0</v>
      </c>
      <c r="L291" s="436">
        <f>IF(AND(H291&gt;G291,NOT(OR(TruckLane,Bypass,HOV2to3,HOTConv,OnRamp,RM,AM,IM,TI)),Induced="Y"),(I291-J291)*(H291-G291)*0.5,IF(OR(HOV2to3,HOTConv),TREND(L272:L273,B272:B273,B291),0))</f>
        <v>0</v>
      </c>
      <c r="M291" s="285">
        <f t="shared" si="105"/>
        <v>0</v>
      </c>
      <c r="N291" s="323">
        <f t="shared" si="106"/>
        <v>0</v>
      </c>
    </row>
    <row r="292" spans="2:14" x14ac:dyDescent="0.25">
      <c r="B292" s="359">
        <v>19</v>
      </c>
      <c r="C292" s="360">
        <f>TREND(C272:C273,B272:B273,B292)</f>
        <v>0</v>
      </c>
      <c r="D292" s="631">
        <f>TREND(D272:D273,B272:B273,B292)</f>
        <v>0</v>
      </c>
      <c r="E292" s="634">
        <f>TREND(E272:E273,B272:B273,B292)</f>
        <v>55</v>
      </c>
      <c r="F292" s="377">
        <f>TREND(F272:F273,B272:B273,B292)</f>
        <v>55</v>
      </c>
      <c r="G292" s="966">
        <f t="shared" si="107"/>
        <v>0</v>
      </c>
      <c r="H292" s="967">
        <f t="shared" si="108"/>
        <v>0</v>
      </c>
      <c r="I292" s="428">
        <f>IF(HwyRail,TREND(I272:I273,B272:B273,B292),ImpactedNB/E292)</f>
        <v>0</v>
      </c>
      <c r="J292" s="430">
        <f t="shared" si="103"/>
        <v>0</v>
      </c>
      <c r="K292" s="340">
        <f t="shared" si="104"/>
        <v>0</v>
      </c>
      <c r="L292" s="435">
        <f>IF(AND(H292&gt;G292,NOT(OR(TruckLane,Bypass,HOV2to3,HOTConv,OnRamp,RM,AM,IM,TI)),Induced="Y"),(I292-J292)*(H292-G292)*0.5,IF(OR(HOV2to3,HOTConv),TREND(L272:L273,B272:B273,B292),0))</f>
        <v>0</v>
      </c>
      <c r="M292" s="285">
        <f t="shared" si="105"/>
        <v>0</v>
      </c>
      <c r="N292" s="323">
        <f t="shared" si="106"/>
        <v>0</v>
      </c>
    </row>
    <row r="293" spans="2:14" x14ac:dyDescent="0.25">
      <c r="B293" s="357"/>
      <c r="C293" s="355"/>
      <c r="D293" s="355"/>
      <c r="E293" s="355"/>
      <c r="F293" s="355"/>
      <c r="G293" s="356"/>
      <c r="H293" s="356"/>
      <c r="I293" s="356"/>
      <c r="J293" s="356"/>
      <c r="K293" s="356"/>
      <c r="L293" s="356"/>
      <c r="M293" s="356"/>
      <c r="N293" s="358"/>
    </row>
    <row r="294" spans="2:14" ht="13" x14ac:dyDescent="0.25">
      <c r="B294" s="329" t="s">
        <v>172</v>
      </c>
      <c r="C294" s="330"/>
      <c r="D294" s="331"/>
      <c r="E294" s="331"/>
      <c r="F294" s="331"/>
      <c r="G294" s="331"/>
      <c r="H294" s="331"/>
      <c r="I294" s="331"/>
      <c r="J294" s="331"/>
      <c r="K294" s="331"/>
      <c r="L294" s="332"/>
      <c r="M294" s="341"/>
      <c r="N294" s="342">
        <f>SUM(N272:N292)</f>
        <v>0</v>
      </c>
    </row>
    <row r="298" spans="2:14" x14ac:dyDescent="0.25">
      <c r="K298" s="195" t="s">
        <v>176</v>
      </c>
      <c r="L298" s="193"/>
      <c r="M298" s="194"/>
      <c r="N298" s="196"/>
    </row>
    <row r="299" spans="2:14" x14ac:dyDescent="0.25">
      <c r="K299" s="109"/>
      <c r="L299" s="695" t="s">
        <v>256</v>
      </c>
      <c r="M299" s="695"/>
      <c r="N299" s="696"/>
    </row>
  </sheetData>
  <phoneticPr fontId="0" type="noConversion"/>
  <printOptions horizontalCentered="1"/>
  <pageMargins left="0.75" right="0.75" top="0.75" bottom="0.75" header="0.5" footer="0.5"/>
  <pageSetup scale="87" fitToWidth="2" orientation="landscape" r:id="rId1"/>
  <headerFooter alignWithMargins="0">
    <oddFooter>&amp;L&amp;8Transportation Economics
Caltrans DOTP&amp;C&amp;8Cal-B/C &amp;A&amp;R&amp;8Page &amp;P
&amp;D</oddFooter>
  </headerFooter>
  <colBreaks count="1" manualBreakCount="1">
    <brk id="38" min="14" max="47"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F8DAC-EF93-444C-9E58-0DC50E4AF568}">
  <sheetPr codeName="Sheet11"/>
  <dimension ref="A1:AS241"/>
  <sheetViews>
    <sheetView showGridLines="0" topLeftCell="T1" zoomScale="80" zoomScaleNormal="80" workbookViewId="0"/>
  </sheetViews>
  <sheetFormatPr defaultColWidth="9.1796875" defaultRowHeight="12.5" x14ac:dyDescent="0.25"/>
  <cols>
    <col min="1" max="1" width="9.1796875" style="1366"/>
    <col min="2" max="2" width="7.54296875" style="1382" customWidth="1"/>
    <col min="3" max="3" width="14.54296875" style="1382" customWidth="1"/>
    <col min="4" max="6" width="14.54296875" style="1383" customWidth="1"/>
    <col min="7" max="8" width="14.54296875" style="1384" customWidth="1"/>
    <col min="9" max="9" width="14.54296875" style="1366" customWidth="1"/>
    <col min="10" max="14" width="14.54296875" style="1384" customWidth="1"/>
    <col min="15" max="15" width="14.81640625" style="1366" customWidth="1"/>
    <col min="16" max="16" width="7.81640625" style="1382" customWidth="1"/>
    <col min="17" max="17" width="14.81640625" style="1382" customWidth="1"/>
    <col min="18" max="22" width="14.54296875" style="1383" customWidth="1"/>
    <col min="23" max="27" width="14.54296875" style="1384" customWidth="1"/>
    <col min="28" max="28" width="14.81640625" style="1366" customWidth="1"/>
    <col min="29" max="29" width="7.81640625" style="1366" customWidth="1"/>
    <col min="30" max="33" width="14.453125" style="1366" customWidth="1"/>
    <col min="34" max="34" width="14.54296875" style="1366" customWidth="1"/>
    <col min="35" max="35" width="14.453125" style="1366" customWidth="1"/>
    <col min="36" max="37" width="14.54296875" style="1366" customWidth="1"/>
    <col min="38" max="38" width="14.81640625" style="1366" customWidth="1"/>
    <col min="39" max="39" width="16.1796875" style="1366" customWidth="1"/>
    <col min="40" max="40" width="2.453125" style="1366" customWidth="1"/>
    <col min="41" max="41" width="16.1796875" style="1366" customWidth="1"/>
    <col min="42" max="42" width="9.1796875" style="1366"/>
    <col min="43" max="43" width="14.54296875" style="1366" customWidth="1"/>
    <col min="44" max="16384" width="9.1796875" style="1366"/>
  </cols>
  <sheetData>
    <row r="1" spans="1:45" ht="20" x14ac:dyDescent="0.4">
      <c r="B1" s="310" t="s">
        <v>780</v>
      </c>
      <c r="M1" s="1366"/>
      <c r="N1" s="310"/>
      <c r="O1" s="1382"/>
      <c r="P1" s="1383"/>
      <c r="Q1" s="1383"/>
      <c r="U1" s="1384"/>
      <c r="V1" s="1384"/>
      <c r="Z1" s="1366"/>
      <c r="AA1" s="1366"/>
    </row>
    <row r="2" spans="1:45" x14ac:dyDescent="0.25">
      <c r="M2" s="1366"/>
      <c r="N2" s="1382"/>
      <c r="O2" s="1382"/>
      <c r="P2" s="1383"/>
      <c r="Q2" s="1383"/>
      <c r="U2" s="1384"/>
      <c r="V2" s="1384"/>
      <c r="Z2" s="1366"/>
      <c r="AA2" s="1366"/>
    </row>
    <row r="3" spans="1:45" ht="17.5" x14ac:dyDescent="0.25">
      <c r="B3" s="1385" t="s">
        <v>781</v>
      </c>
      <c r="C3" s="1366"/>
      <c r="D3" s="1386"/>
      <c r="E3" s="1386"/>
      <c r="F3" s="1386"/>
      <c r="G3" s="1387"/>
      <c r="H3" s="1386"/>
      <c r="I3" s="1387"/>
      <c r="J3" s="1387"/>
      <c r="K3" s="1386"/>
      <c r="L3" s="1386"/>
      <c r="M3" s="1366"/>
      <c r="N3" s="1385"/>
      <c r="P3" s="1386"/>
      <c r="Q3" s="1386"/>
      <c r="R3" s="1386"/>
      <c r="S3" s="1386"/>
      <c r="T3" s="1386"/>
      <c r="U3" s="1387"/>
      <c r="V3" s="1387"/>
      <c r="W3" s="1386"/>
      <c r="X3" s="1386"/>
      <c r="Y3" s="1386"/>
      <c r="Z3" s="1366"/>
      <c r="AA3" s="1366"/>
    </row>
    <row r="4" spans="1:45" ht="17.5" x14ac:dyDescent="0.25">
      <c r="B4" s="1385"/>
      <c r="C4" s="1366"/>
      <c r="D4" s="1386"/>
      <c r="E4" s="1386"/>
      <c r="F4" s="1386"/>
      <c r="G4" s="1387"/>
      <c r="H4" s="1388"/>
      <c r="I4" s="1389"/>
      <c r="J4" s="1389"/>
      <c r="K4" s="1388"/>
      <c r="L4" s="1388"/>
      <c r="M4" s="1366"/>
      <c r="N4" s="1385"/>
      <c r="P4" s="1386"/>
      <c r="Q4" s="1386"/>
      <c r="R4" s="1386"/>
      <c r="S4" s="1386"/>
      <c r="T4" s="1386"/>
      <c r="U4" s="1387"/>
      <c r="V4" s="1387"/>
      <c r="W4" s="1386"/>
      <c r="X4" s="1386"/>
      <c r="Y4" s="1386"/>
      <c r="Z4" s="1366"/>
      <c r="AA4" s="1366"/>
    </row>
    <row r="5" spans="1:45" ht="17.5" x14ac:dyDescent="0.25">
      <c r="B5" s="308" t="s">
        <v>216</v>
      </c>
      <c r="C5" s="1390"/>
      <c r="D5" s="1391"/>
      <c r="E5" s="1391"/>
      <c r="F5" s="1391"/>
      <c r="G5" s="1392"/>
      <c r="H5" s="1390"/>
      <c r="I5" s="1391"/>
      <c r="J5" s="1391"/>
      <c r="K5" s="1391"/>
      <c r="L5" s="1392"/>
      <c r="M5" s="1393"/>
      <c r="N5" s="1366"/>
      <c r="O5" s="1394"/>
      <c r="P5" s="1366"/>
      <c r="Q5" s="1386"/>
      <c r="R5" s="1386"/>
      <c r="S5" s="1386"/>
      <c r="T5" s="1386"/>
      <c r="U5" s="1386"/>
      <c r="V5" s="1387"/>
      <c r="W5" s="1387"/>
      <c r="X5" s="1386"/>
      <c r="Y5" s="1386"/>
      <c r="Z5" s="1386"/>
      <c r="AA5" s="1366"/>
    </row>
    <row r="6" spans="1:45" ht="13" x14ac:dyDescent="0.25">
      <c r="B6" s="301"/>
      <c r="C6" s="1395"/>
      <c r="D6" s="1396"/>
      <c r="E6" s="1396"/>
      <c r="F6" s="1396"/>
      <c r="G6" s="1397"/>
      <c r="H6" s="1398" t="s">
        <v>782</v>
      </c>
      <c r="I6" s="1399"/>
      <c r="J6" s="1400"/>
      <c r="K6" s="1400"/>
      <c r="L6" s="1401"/>
      <c r="M6" s="1402"/>
      <c r="N6" s="1366"/>
      <c r="O6" s="1403"/>
      <c r="P6" s="1366"/>
      <c r="Q6" s="1386"/>
      <c r="R6" s="1386"/>
      <c r="S6" s="1386"/>
      <c r="T6" s="1386"/>
      <c r="U6" s="1386"/>
      <c r="V6" s="1387"/>
      <c r="W6" s="1387"/>
      <c r="X6" s="1386"/>
      <c r="Y6" s="1386"/>
      <c r="Z6" s="1386"/>
      <c r="AA6" s="1366"/>
    </row>
    <row r="7" spans="1:45" x14ac:dyDescent="0.25">
      <c r="B7" s="1404" t="s">
        <v>783</v>
      </c>
      <c r="C7" s="1400"/>
      <c r="D7" s="1405"/>
      <c r="E7" s="1405"/>
      <c r="F7" s="1406"/>
      <c r="G7" s="1395"/>
      <c r="H7" s="1407" t="s">
        <v>784</v>
      </c>
      <c r="I7" s="1396"/>
      <c r="J7" s="1408"/>
      <c r="K7" s="1409"/>
      <c r="L7" s="1396"/>
      <c r="M7" s="1402"/>
      <c r="N7" s="1366"/>
      <c r="O7" s="1410"/>
      <c r="P7" s="1386"/>
      <c r="Q7" s="1387"/>
      <c r="R7" s="1387"/>
      <c r="S7" s="1387"/>
      <c r="T7" s="1366"/>
      <c r="U7" s="1366"/>
      <c r="V7" s="1386"/>
      <c r="W7" s="1386"/>
      <c r="X7" s="1386"/>
      <c r="Z7" s="1386"/>
      <c r="AA7" s="1366"/>
    </row>
    <row r="8" spans="1:45" x14ac:dyDescent="0.25">
      <c r="B8" s="301" t="s">
        <v>785</v>
      </c>
      <c r="C8" s="1395"/>
      <c r="D8" s="1396"/>
      <c r="E8" s="1396"/>
      <c r="F8" s="1396"/>
      <c r="G8" s="1396"/>
      <c r="H8" s="1398" t="s">
        <v>786</v>
      </c>
      <c r="I8" s="1399"/>
      <c r="J8" s="1400"/>
      <c r="K8" s="1400"/>
      <c r="L8" s="1401"/>
      <c r="M8" s="1402"/>
      <c r="N8" s="1366"/>
      <c r="O8" s="1411"/>
      <c r="P8" s="1366"/>
      <c r="Q8" s="1386"/>
      <c r="R8" s="1386"/>
      <c r="S8" s="1386"/>
      <c r="T8" s="1386"/>
      <c r="U8" s="1386"/>
      <c r="V8" s="279"/>
      <c r="W8" s="279"/>
      <c r="X8" s="1386"/>
      <c r="Y8" s="1386"/>
      <c r="Z8" s="1386"/>
      <c r="AA8" s="1366"/>
    </row>
    <row r="9" spans="1:45" x14ac:dyDescent="0.25">
      <c r="B9" s="1404" t="s">
        <v>787</v>
      </c>
      <c r="C9" s="1400"/>
      <c r="D9" s="1405"/>
      <c r="E9" s="1405"/>
      <c r="F9" s="1406"/>
      <c r="G9" s="1396"/>
      <c r="H9" s="1407" t="s">
        <v>788</v>
      </c>
      <c r="I9" s="1396"/>
      <c r="J9" s="1396"/>
      <c r="K9" s="1396"/>
      <c r="L9" s="1396"/>
      <c r="M9" s="1402"/>
      <c r="N9" s="1366"/>
      <c r="O9" s="1386"/>
      <c r="P9" s="1386"/>
      <c r="Q9" s="1386"/>
      <c r="R9" s="1386"/>
      <c r="S9" s="1386"/>
      <c r="T9" s="1386"/>
      <c r="U9" s="1386"/>
      <c r="V9" s="1366"/>
      <c r="W9" s="1366"/>
      <c r="X9" s="1366"/>
      <c r="Y9" s="1386"/>
      <c r="Z9" s="1386"/>
      <c r="AA9" s="1366"/>
    </row>
    <row r="10" spans="1:45" x14ac:dyDescent="0.25">
      <c r="B10" s="301" t="s">
        <v>789</v>
      </c>
      <c r="C10" s="1395"/>
      <c r="D10" s="1396"/>
      <c r="E10" s="1396"/>
      <c r="F10" s="1396"/>
      <c r="G10" s="1396"/>
      <c r="H10" s="1398" t="s">
        <v>790</v>
      </c>
      <c r="I10" s="1399"/>
      <c r="J10" s="1400"/>
      <c r="K10" s="1400"/>
      <c r="L10" s="1401"/>
      <c r="M10" s="1402"/>
      <c r="N10" s="1366"/>
      <c r="O10" s="1410"/>
      <c r="P10" s="1386"/>
      <c r="Q10" s="1387"/>
      <c r="R10" s="1387"/>
      <c r="S10" s="1387"/>
      <c r="T10" s="1386"/>
      <c r="U10" s="1386"/>
      <c r="V10" s="1386"/>
      <c r="W10" s="1386"/>
      <c r="X10" s="1366"/>
      <c r="Z10" s="1386"/>
      <c r="AA10" s="1366"/>
    </row>
    <row r="11" spans="1:45" x14ac:dyDescent="0.25">
      <c r="B11" s="1404" t="s">
        <v>791</v>
      </c>
      <c r="C11" s="1400"/>
      <c r="D11" s="1405"/>
      <c r="E11" s="1405"/>
      <c r="F11" s="1406"/>
      <c r="G11" s="1396"/>
      <c r="H11" s="1407" t="s">
        <v>792</v>
      </c>
      <c r="I11" s="1396"/>
      <c r="J11" s="1396"/>
      <c r="K11" s="1396"/>
      <c r="L11" s="1396"/>
      <c r="M11" s="1402"/>
      <c r="N11" s="1366"/>
      <c r="O11" s="1410"/>
      <c r="P11" s="1386"/>
      <c r="Q11" s="1387"/>
      <c r="R11" s="1387"/>
      <c r="S11" s="1387"/>
      <c r="T11" s="1386"/>
      <c r="U11" s="1386"/>
      <c r="V11" s="1386"/>
      <c r="W11" s="1386"/>
      <c r="X11" s="1366"/>
      <c r="Z11" s="1386"/>
      <c r="AA11" s="1366"/>
    </row>
    <row r="12" spans="1:45" x14ac:dyDescent="0.25">
      <c r="B12" s="1412"/>
      <c r="C12" s="1413"/>
      <c r="D12" s="1414"/>
      <c r="E12" s="1414"/>
      <c r="F12" s="1414"/>
      <c r="G12" s="1396"/>
      <c r="H12" s="1398" t="s">
        <v>793</v>
      </c>
      <c r="I12" s="1399"/>
      <c r="J12" s="1400"/>
      <c r="K12" s="1400"/>
      <c r="L12" s="1401"/>
      <c r="M12" s="1402"/>
      <c r="N12" s="1366"/>
      <c r="O12" s="1410"/>
      <c r="P12" s="1386"/>
      <c r="Q12" s="1387"/>
      <c r="R12" s="1387"/>
      <c r="S12" s="1387"/>
      <c r="T12" s="1386"/>
      <c r="U12" s="1386"/>
      <c r="V12" s="1386"/>
      <c r="W12" s="1386"/>
      <c r="X12" s="1366"/>
      <c r="Z12" s="1386"/>
      <c r="AA12" s="1366"/>
    </row>
    <row r="13" spans="1:45" x14ac:dyDescent="0.25">
      <c r="B13" s="304"/>
      <c r="C13" s="1415"/>
      <c r="D13" s="306"/>
      <c r="E13" s="306"/>
      <c r="F13" s="307"/>
      <c r="G13" s="307"/>
      <c r="H13" s="1415"/>
      <c r="I13" s="1416"/>
      <c r="J13" s="1415"/>
      <c r="K13" s="1416"/>
      <c r="L13" s="1416"/>
      <c r="M13" s="1417"/>
      <c r="N13" s="1366"/>
      <c r="O13" s="1418"/>
      <c r="P13" s="1386"/>
      <c r="Q13" s="1418"/>
      <c r="R13" s="1418"/>
      <c r="S13" s="1418"/>
      <c r="T13" s="278"/>
      <c r="U13" s="278"/>
      <c r="V13" s="1386"/>
      <c r="W13" s="1386"/>
      <c r="X13" s="1366"/>
      <c r="Y13" s="1366"/>
      <c r="Z13" s="1366"/>
      <c r="AA13" s="1366"/>
    </row>
    <row r="14" spans="1:45" x14ac:dyDescent="0.25">
      <c r="A14" s="1418"/>
      <c r="B14" s="1386"/>
      <c r="C14" s="1418"/>
      <c r="D14" s="278"/>
      <c r="E14" s="278"/>
      <c r="F14" s="278"/>
      <c r="G14" s="278"/>
      <c r="H14" s="278"/>
      <c r="I14" s="1418"/>
      <c r="J14" s="1366"/>
      <c r="K14" s="1386"/>
      <c r="L14" s="1418"/>
      <c r="M14" s="1366"/>
      <c r="N14" s="1366"/>
      <c r="P14" s="1386"/>
      <c r="Q14" s="1418"/>
      <c r="R14" s="278"/>
      <c r="S14" s="278"/>
      <c r="T14" s="278"/>
      <c r="U14" s="278"/>
      <c r="V14" s="278"/>
      <c r="W14" s="1418"/>
      <c r="X14" s="1418"/>
      <c r="Y14" s="1366"/>
      <c r="Z14" s="1366"/>
      <c r="AA14" s="1366"/>
    </row>
    <row r="15" spans="1:45" x14ac:dyDescent="0.25">
      <c r="A15" s="1418"/>
      <c r="B15" s="1386"/>
      <c r="C15" s="1418"/>
      <c r="D15" s="278"/>
      <c r="E15" s="278"/>
      <c r="F15" s="278"/>
      <c r="G15" s="278"/>
      <c r="H15" s="278"/>
      <c r="I15" s="1418"/>
      <c r="J15" s="1418"/>
      <c r="K15" s="1386"/>
      <c r="L15" s="1418"/>
      <c r="M15" s="1418"/>
      <c r="N15" s="1366"/>
      <c r="P15" s="1366"/>
      <c r="Q15" s="1366"/>
      <c r="R15" s="1386"/>
      <c r="S15" s="1418"/>
      <c r="T15" s="278"/>
      <c r="U15" s="278"/>
      <c r="V15" s="278"/>
      <c r="W15" s="278"/>
      <c r="X15" s="278"/>
      <c r="Y15" s="1418"/>
      <c r="Z15" s="1418"/>
      <c r="AA15" s="1366"/>
      <c r="AE15" s="1386"/>
      <c r="AF15" s="1418"/>
      <c r="AG15" s="278"/>
      <c r="AH15" s="278"/>
      <c r="AI15" s="278"/>
      <c r="AJ15" s="278"/>
      <c r="AK15" s="278"/>
      <c r="AL15" s="1386"/>
      <c r="AM15" s="1418"/>
      <c r="AN15" s="1418"/>
      <c r="AO15" s="1418"/>
      <c r="AP15" s="1418"/>
      <c r="AS15" s="1418"/>
    </row>
    <row r="16" spans="1:45" x14ac:dyDescent="0.25">
      <c r="A16" s="1418"/>
      <c r="B16" s="1386"/>
      <c r="C16" s="1418"/>
      <c r="D16" s="278"/>
      <c r="E16" s="278"/>
      <c r="F16" s="278"/>
      <c r="G16" s="278"/>
      <c r="H16" s="278"/>
      <c r="I16" s="1418"/>
      <c r="J16" s="1418"/>
      <c r="K16" s="1386"/>
      <c r="L16" s="1418"/>
      <c r="M16" s="1418"/>
      <c r="N16" s="1366"/>
      <c r="P16" s="1366"/>
      <c r="Q16" s="1366"/>
      <c r="R16" s="1386"/>
      <c r="S16" s="1418"/>
      <c r="T16" s="278"/>
      <c r="U16" s="278"/>
      <c r="V16" s="278"/>
      <c r="W16" s="278"/>
      <c r="X16" s="278"/>
      <c r="Y16" s="1418"/>
      <c r="Z16" s="1418"/>
      <c r="AA16" s="1366"/>
      <c r="AE16" s="1386"/>
      <c r="AF16" s="1418"/>
      <c r="AG16" s="278"/>
      <c r="AH16" s="278"/>
      <c r="AI16" s="278"/>
      <c r="AJ16" s="278"/>
      <c r="AK16" s="278"/>
      <c r="AL16" s="1386"/>
      <c r="AM16" s="1418"/>
      <c r="AN16" s="1418"/>
      <c r="AO16" s="1418"/>
      <c r="AP16" s="1418"/>
      <c r="AS16" s="1418"/>
    </row>
    <row r="17" spans="1:43" ht="20" x14ac:dyDescent="0.4">
      <c r="A17" s="1418"/>
      <c r="B17" s="1419" t="s">
        <v>223</v>
      </c>
      <c r="C17" s="314" t="s">
        <v>224</v>
      </c>
      <c r="D17" s="312"/>
      <c r="E17" s="312"/>
      <c r="F17" s="312"/>
      <c r="G17" s="312"/>
      <c r="H17" s="312"/>
      <c r="I17" s="1420"/>
      <c r="J17" s="1420"/>
      <c r="K17" s="312"/>
      <c r="L17" s="1420"/>
      <c r="M17" s="1420"/>
      <c r="N17" s="313"/>
      <c r="O17" s="313"/>
      <c r="P17" s="1419" t="s">
        <v>225</v>
      </c>
      <c r="Q17" s="314" t="s">
        <v>226</v>
      </c>
      <c r="R17" s="312"/>
      <c r="S17" s="312"/>
      <c r="T17" s="312"/>
      <c r="U17" s="312"/>
      <c r="V17" s="312"/>
      <c r="W17" s="1420"/>
      <c r="X17" s="1420"/>
      <c r="Y17" s="313"/>
      <c r="Z17" s="313"/>
      <c r="AA17" s="313"/>
      <c r="AC17" s="1419" t="s">
        <v>227</v>
      </c>
      <c r="AD17" s="314" t="s">
        <v>807</v>
      </c>
      <c r="AE17" s="312"/>
      <c r="AF17" s="312"/>
      <c r="AG17" s="312"/>
      <c r="AH17" s="312"/>
      <c r="AI17" s="312"/>
      <c r="AJ17" s="312"/>
      <c r="AK17" s="314"/>
      <c r="AL17" s="1420"/>
      <c r="AM17" s="1420"/>
      <c r="AN17" s="1421"/>
      <c r="AQ17" s="1421"/>
    </row>
    <row r="18" spans="1:43" ht="13" x14ac:dyDescent="0.25">
      <c r="A18" s="1418"/>
      <c r="B18" s="1386"/>
      <c r="C18" s="1418"/>
      <c r="D18" s="278"/>
      <c r="E18" s="278"/>
      <c r="F18" s="278"/>
      <c r="G18" s="278"/>
      <c r="H18" s="278"/>
      <c r="I18" s="1418"/>
      <c r="J18" s="1422"/>
      <c r="K18" s="1386"/>
      <c r="L18" s="1418"/>
      <c r="M18" s="1418"/>
      <c r="N18" s="279"/>
      <c r="O18" s="1386"/>
      <c r="P18" s="1386"/>
      <c r="Q18" s="1418"/>
      <c r="R18" s="278"/>
      <c r="S18" s="278"/>
      <c r="T18" s="278"/>
      <c r="U18" s="278"/>
      <c r="V18" s="278"/>
      <c r="W18" s="1418"/>
      <c r="X18" s="1418"/>
      <c r="Y18" s="279"/>
      <c r="Z18" s="1386"/>
      <c r="AA18" s="1366"/>
      <c r="AC18" s="1386"/>
      <c r="AD18" s="1418"/>
      <c r="AE18" s="278"/>
      <c r="AF18" s="278"/>
      <c r="AG18" s="278"/>
      <c r="AH18" s="278"/>
      <c r="AI18" s="278"/>
      <c r="AJ18" s="1386"/>
      <c r="AK18" s="1418"/>
      <c r="AL18" s="1418"/>
      <c r="AM18" s="1418"/>
      <c r="AN18" s="1418"/>
      <c r="AQ18" s="1418"/>
    </row>
    <row r="19" spans="1:43" x14ac:dyDescent="0.25">
      <c r="A19" s="1423"/>
      <c r="B19" s="1386"/>
      <c r="C19" s="1423"/>
      <c r="D19" s="1424"/>
      <c r="E19" s="1424"/>
      <c r="F19" s="1424"/>
      <c r="G19" s="1424"/>
      <c r="H19" s="1424"/>
      <c r="I19" s="1423"/>
      <c r="J19" s="1423"/>
      <c r="K19" s="1386"/>
      <c r="L19" s="1423"/>
      <c r="M19" s="1423"/>
      <c r="N19" s="1425"/>
      <c r="O19" s="1386"/>
      <c r="P19" s="1386"/>
      <c r="Q19" s="1423"/>
      <c r="R19" s="1424"/>
      <c r="S19" s="1424"/>
      <c r="T19" s="1424"/>
      <c r="U19" s="1424"/>
      <c r="V19" s="1424"/>
      <c r="W19" s="1423"/>
      <c r="X19" s="1423"/>
      <c r="Y19" s="1425"/>
      <c r="Z19" s="1386"/>
      <c r="AA19" s="1366"/>
    </row>
    <row r="20" spans="1:43" ht="13" x14ac:dyDescent="0.25">
      <c r="B20" s="350" t="s">
        <v>229</v>
      </c>
      <c r="C20" s="1386"/>
      <c r="D20" s="1386"/>
      <c r="E20" s="1386"/>
      <c r="F20" s="1386"/>
      <c r="G20" s="1386"/>
      <c r="H20" s="1386"/>
      <c r="I20" s="1422"/>
      <c r="K20" s="1426"/>
      <c r="L20" s="1422"/>
      <c r="M20" s="1422"/>
      <c r="N20" s="1386"/>
      <c r="O20" s="1386"/>
      <c r="P20" s="350" t="s">
        <v>509</v>
      </c>
      <c r="Q20" s="1386"/>
      <c r="R20" s="1386"/>
      <c r="S20" s="1386"/>
      <c r="T20" s="1386"/>
      <c r="U20" s="1386"/>
      <c r="V20" s="1386"/>
      <c r="W20" s="1422"/>
      <c r="X20" s="1422"/>
      <c r="Y20" s="1386"/>
      <c r="Z20" s="1386"/>
      <c r="AA20" s="1386"/>
    </row>
    <row r="21" spans="1:43" ht="13" x14ac:dyDescent="0.3">
      <c r="B21" s="1386"/>
      <c r="C21" s="1386"/>
      <c r="D21" s="1427"/>
      <c r="E21" s="1427"/>
      <c r="F21" s="1427"/>
      <c r="G21" s="1427"/>
      <c r="H21" s="1427"/>
      <c r="I21" s="90"/>
      <c r="J21" s="1386"/>
      <c r="K21" s="90"/>
      <c r="L21" s="1386"/>
      <c r="M21" s="1386"/>
      <c r="N21" s="1425"/>
      <c r="P21" s="1386"/>
      <c r="Q21" s="1386"/>
      <c r="R21" s="1427"/>
      <c r="S21" s="1427"/>
      <c r="T21" s="1427"/>
      <c r="U21" s="1427"/>
      <c r="V21" s="1427"/>
      <c r="W21" s="1386"/>
      <c r="X21" s="1386"/>
      <c r="Y21" s="1386"/>
      <c r="Z21" s="1386"/>
      <c r="AA21" s="1425"/>
      <c r="AM21" s="708"/>
    </row>
    <row r="22" spans="1:43" ht="15.5" x14ac:dyDescent="0.25">
      <c r="B22" s="1428"/>
      <c r="C22" s="320" t="s">
        <v>230</v>
      </c>
      <c r="D22" s="1429"/>
      <c r="E22" s="320" t="s">
        <v>231</v>
      </c>
      <c r="F22" s="1429"/>
      <c r="G22" s="320" t="s">
        <v>808</v>
      </c>
      <c r="H22" s="1430"/>
      <c r="I22" s="335" t="s">
        <v>809</v>
      </c>
      <c r="J22" s="1429"/>
      <c r="K22" s="335" t="s">
        <v>810</v>
      </c>
      <c r="L22" s="321"/>
      <c r="M22" s="322"/>
      <c r="N22" s="1431"/>
      <c r="P22" s="1428"/>
      <c r="Q22" s="320" t="s">
        <v>234</v>
      </c>
      <c r="R22" s="1429"/>
      <c r="S22" s="1430"/>
      <c r="T22" s="335" t="s">
        <v>809</v>
      </c>
      <c r="U22" s="321"/>
      <c r="V22" s="646"/>
      <c r="W22" s="437" t="s">
        <v>811</v>
      </c>
      <c r="X22" s="320"/>
      <c r="Y22" s="438"/>
      <c r="Z22" s="322"/>
      <c r="AA22" s="1431"/>
      <c r="AC22" s="1428"/>
      <c r="AD22" s="569" t="s">
        <v>235</v>
      </c>
      <c r="AE22" s="569"/>
      <c r="AF22" s="569"/>
      <c r="AG22" s="569"/>
      <c r="AH22" s="569"/>
      <c r="AI22" s="569"/>
      <c r="AJ22" s="569"/>
      <c r="AK22" s="569" t="s">
        <v>236</v>
      </c>
      <c r="AL22" s="569"/>
      <c r="AM22" s="480" t="s">
        <v>139</v>
      </c>
      <c r="AN22" s="1432"/>
      <c r="AO22" s="480"/>
      <c r="AQ22" s="1433"/>
    </row>
    <row r="23" spans="1:43" ht="15.5" x14ac:dyDescent="0.25">
      <c r="B23" s="1434"/>
      <c r="C23" s="1435" t="s">
        <v>812</v>
      </c>
      <c r="D23" s="362"/>
      <c r="E23" s="1435" t="s">
        <v>238</v>
      </c>
      <c r="F23" s="362"/>
      <c r="G23" s="1435" t="s">
        <v>813</v>
      </c>
      <c r="H23" s="1436"/>
      <c r="I23" s="1437" t="s">
        <v>814</v>
      </c>
      <c r="J23" s="362"/>
      <c r="K23" s="336" t="s">
        <v>552</v>
      </c>
      <c r="L23" s="288"/>
      <c r="M23" s="1438"/>
      <c r="N23" s="1439"/>
      <c r="P23" s="1434"/>
      <c r="Q23" s="1435" t="s">
        <v>240</v>
      </c>
      <c r="R23" s="362"/>
      <c r="S23" s="1436"/>
      <c r="T23" s="336" t="s">
        <v>815</v>
      </c>
      <c r="U23" s="288"/>
      <c r="V23" s="1435"/>
      <c r="W23" s="439" t="s">
        <v>552</v>
      </c>
      <c r="X23" s="1435"/>
      <c r="Y23" s="440"/>
      <c r="Z23" s="1438"/>
      <c r="AA23" s="1439"/>
      <c r="AC23" s="1434"/>
      <c r="AD23" s="570"/>
      <c r="AE23" s="1440"/>
      <c r="AF23" s="1440"/>
      <c r="AG23" s="1440"/>
      <c r="AH23" s="1440"/>
      <c r="AI23" s="1440"/>
      <c r="AJ23" s="572"/>
      <c r="AK23" s="570"/>
      <c r="AL23" s="572"/>
      <c r="AM23" s="345" t="s">
        <v>241</v>
      </c>
      <c r="AN23" s="1432"/>
      <c r="AO23" s="345"/>
      <c r="AQ23" s="1433"/>
    </row>
    <row r="24" spans="1:43" ht="14" x14ac:dyDescent="0.25">
      <c r="B24" s="169" t="s">
        <v>135</v>
      </c>
      <c r="C24" s="1441"/>
      <c r="D24" s="283"/>
      <c r="E24" s="1441"/>
      <c r="F24" s="283"/>
      <c r="G24" s="1441"/>
      <c r="H24" s="283"/>
      <c r="I24" s="1435" t="s">
        <v>816</v>
      </c>
      <c r="J24" s="362"/>
      <c r="K24" s="1441" t="s">
        <v>151</v>
      </c>
      <c r="L24" s="283" t="s">
        <v>152</v>
      </c>
      <c r="M24" s="286" t="s">
        <v>242</v>
      </c>
      <c r="N24" s="345" t="s">
        <v>139</v>
      </c>
      <c r="P24" s="169" t="s">
        <v>135</v>
      </c>
      <c r="Q24" s="432"/>
      <c r="R24" s="647"/>
      <c r="S24" s="283" t="s">
        <v>243</v>
      </c>
      <c r="T24" s="432"/>
      <c r="U24" s="647"/>
      <c r="V24" s="283" t="s">
        <v>151</v>
      </c>
      <c r="W24" s="432" t="s">
        <v>151</v>
      </c>
      <c r="X24" s="1441" t="s">
        <v>243</v>
      </c>
      <c r="Y24" s="283" t="s">
        <v>152</v>
      </c>
      <c r="Z24" s="286" t="s">
        <v>242</v>
      </c>
      <c r="AA24" s="345" t="s">
        <v>139</v>
      </c>
      <c r="AC24" s="169" t="s">
        <v>135</v>
      </c>
      <c r="AD24" s="1442" t="s">
        <v>173</v>
      </c>
      <c r="AE24" s="574" t="s">
        <v>173</v>
      </c>
      <c r="AF24" s="574" t="s">
        <v>173</v>
      </c>
      <c r="AG24" s="574" t="s">
        <v>173</v>
      </c>
      <c r="AH24" s="574" t="s">
        <v>171</v>
      </c>
      <c r="AI24" s="574" t="s">
        <v>171</v>
      </c>
      <c r="AJ24" s="574" t="s">
        <v>171</v>
      </c>
      <c r="AK24" s="574" t="s">
        <v>173</v>
      </c>
      <c r="AL24" s="574" t="s">
        <v>171</v>
      </c>
      <c r="AM24" s="345" t="s">
        <v>817</v>
      </c>
      <c r="AN24" s="1432"/>
      <c r="AO24" s="345" t="s">
        <v>242</v>
      </c>
      <c r="AQ24" s="1443"/>
    </row>
    <row r="25" spans="1:43" ht="14" x14ac:dyDescent="0.25">
      <c r="B25" s="319"/>
      <c r="C25" s="324" t="s">
        <v>0</v>
      </c>
      <c r="D25" s="325" t="s">
        <v>1</v>
      </c>
      <c r="E25" s="324" t="s">
        <v>0</v>
      </c>
      <c r="F25" s="325" t="s">
        <v>1</v>
      </c>
      <c r="G25" s="324" t="s">
        <v>0</v>
      </c>
      <c r="H25" s="325" t="s">
        <v>1</v>
      </c>
      <c r="I25" s="324" t="s">
        <v>0</v>
      </c>
      <c r="J25" s="325" t="s">
        <v>1</v>
      </c>
      <c r="K25" s="324" t="s">
        <v>244</v>
      </c>
      <c r="L25" s="325" t="s">
        <v>245</v>
      </c>
      <c r="M25" s="326" t="s">
        <v>148</v>
      </c>
      <c r="N25" s="346" t="s">
        <v>149</v>
      </c>
      <c r="P25" s="319"/>
      <c r="Q25" s="441" t="s">
        <v>0</v>
      </c>
      <c r="R25" s="648" t="s">
        <v>1</v>
      </c>
      <c r="S25" s="325" t="s">
        <v>246</v>
      </c>
      <c r="T25" s="441" t="s">
        <v>0</v>
      </c>
      <c r="U25" s="648" t="s">
        <v>1</v>
      </c>
      <c r="V25" s="325" t="s">
        <v>129</v>
      </c>
      <c r="W25" s="441" t="s">
        <v>244</v>
      </c>
      <c r="X25" s="324" t="s">
        <v>246</v>
      </c>
      <c r="Y25" s="325" t="s">
        <v>245</v>
      </c>
      <c r="Z25" s="326" t="s">
        <v>148</v>
      </c>
      <c r="AA25" s="346" t="s">
        <v>149</v>
      </c>
      <c r="AC25" s="319"/>
      <c r="AD25" s="575" t="s">
        <v>247</v>
      </c>
      <c r="AE25" s="575" t="s">
        <v>248</v>
      </c>
      <c r="AF25" s="575" t="s">
        <v>501</v>
      </c>
      <c r="AG25" s="575" t="s">
        <v>249</v>
      </c>
      <c r="AH25" s="575" t="s">
        <v>248</v>
      </c>
      <c r="AI25" s="575" t="s">
        <v>501</v>
      </c>
      <c r="AJ25" s="575" t="s">
        <v>249</v>
      </c>
      <c r="AK25" s="575" t="s">
        <v>507</v>
      </c>
      <c r="AL25" s="575" t="s">
        <v>507</v>
      </c>
      <c r="AM25" s="346" t="str">
        <f>IF(Induced="Y","Benefits","Benefits*")</f>
        <v>Benefits</v>
      </c>
      <c r="AN25" s="1432"/>
      <c r="AO25" s="346" t="s">
        <v>148</v>
      </c>
      <c r="AQ25" s="1443"/>
    </row>
    <row r="26" spans="1:43" x14ac:dyDescent="0.25">
      <c r="B26" s="1444">
        <v>1</v>
      </c>
      <c r="C26" s="1445">
        <f>PHV1NB</f>
        <v>0</v>
      </c>
      <c r="D26" s="1446">
        <f>PHV1B</f>
        <v>0</v>
      </c>
      <c r="E26" s="1447">
        <f>PHS1NB</f>
        <v>55</v>
      </c>
      <c r="F26" s="1448">
        <f>PHS1B</f>
        <v>55</v>
      </c>
      <c r="G26" s="1449" t="e">
        <f>MAX(1/E26-1/FFSpeedNB, 0)</f>
        <v>#DIV/0!</v>
      </c>
      <c r="H26" s="1450" t="e">
        <f>MAX(1/F26-1/FFSpeedB, 0)</f>
        <v>#DIV/0!</v>
      </c>
      <c r="I26" s="1449" t="e">
        <f>AlphaSTD*MAX(AlphaTTI*(1+FFSpeedNB*G26)^BetaTTI-1,0)^BetaSTD*ImpactedNB/FFSpeedNB*PHRAdj</f>
        <v>#DIV/0!</v>
      </c>
      <c r="J26" s="1450" t="e">
        <f>AlphaSTD*MAX(AlphaTTI*(1+FFSpeedB*H26)^BetaTTI-1,0)^BetaSTD*ImpactedB/FFSpeedB*PHRAdj</f>
        <v>#DIV/0!</v>
      </c>
      <c r="K26" s="1451" t="e">
        <f>IF(OR(TruckLane,Bypass,HOV2to3,HOTConv,OnRamp,RM,AM,IM,TI), C26*AVOHovNB*I26-D26*AVOHovB*J26, MIN(C26*AVOHovNB,D26*AVOHovB)*(I26-J26))*AnnualFactor</f>
        <v>#DIV/0!</v>
      </c>
      <c r="L26" s="1452">
        <f>IF(AND(D26*AVOHovB&gt;C26*AVOHovNB, NOT(OR(TruckLane,Bypass,HOV2to3,HOTConv,OnRamp,RM,AM,IM,TI)),Induced="Y"), (D26*AVOHovB-C26*AVOHovNB)*(I26-J26)*0.5*AnnualFactor, 0)</f>
        <v>0</v>
      </c>
      <c r="M26" s="1453" t="e">
        <f>(K26+L26)*ValTimeAuto*ValRelAuto*IF(IM,ValTimeIMFactor,1)*(1+TTUprater)^($B26+Construct-1)</f>
        <v>#DIV/0!</v>
      </c>
      <c r="N26" s="1454" t="e">
        <f>$M26/(1+DiscRate)^($B26+Construct-1)</f>
        <v>#DIV/0!</v>
      </c>
      <c r="P26" s="1444">
        <v>1</v>
      </c>
      <c r="Q26" s="1445">
        <f>TAPT1NB*TPerPeak</f>
        <v>0</v>
      </c>
      <c r="R26" s="1455">
        <f>TAPT1B*TPerPeak</f>
        <v>0</v>
      </c>
      <c r="S26" s="1456">
        <f>TPerHwy*(R26-Q26)</f>
        <v>0</v>
      </c>
      <c r="T26" s="1457" t="e">
        <f>IF(Exclusive="Y", 0, TInTimeNBP/60*I57/(ImpactedNB/FFSpeedNB))</f>
        <v>#DIV/0!</v>
      </c>
      <c r="U26" s="1458" t="e">
        <f>IF(Exclusive="Y", 0, TInTimeBP/60*J57/(ImpactedB/FFSpeedB))</f>
        <v>#DIV/0!</v>
      </c>
      <c r="V26" s="1459" t="e">
        <f>I57</f>
        <v>#DIV/0!</v>
      </c>
      <c r="W26" s="1460" t="e">
        <f>MIN(Q26:R26)*(T26-U26)</f>
        <v>#DIV/0!</v>
      </c>
      <c r="X26" s="1461" t="e">
        <f>S26*MAX(V26-U26,0)</f>
        <v>#DIV/0!</v>
      </c>
      <c r="Y26" s="1462">
        <f>IF(AND(R26&gt;Q26,Induced="Y"),(T26-U26)*(R26-Q26-S26)*0.5,0)</f>
        <v>0</v>
      </c>
      <c r="Z26" s="1453" t="e">
        <f>SUM(W26:Y26)*ValTimeTransit*ValRelAuto*(1+TTUprater)^($P26+Construct-1)</f>
        <v>#DIV/0!</v>
      </c>
      <c r="AA26" s="1454" t="e">
        <f>$Z26/(1+DiscRate)^($P26+Construct-1)</f>
        <v>#DIV/0!</v>
      </c>
      <c r="AC26" s="1444">
        <v>1</v>
      </c>
      <c r="AD26" s="1463" t="e">
        <f>N26</f>
        <v>#DIV/0!</v>
      </c>
      <c r="AE26" s="1463" t="e">
        <f>N57</f>
        <v>#DIV/0!</v>
      </c>
      <c r="AF26" s="1463" t="e">
        <f>N88</f>
        <v>#DIV/0!</v>
      </c>
      <c r="AG26" s="1463" t="e">
        <f>N119</f>
        <v>#DIV/0!</v>
      </c>
      <c r="AH26" s="1463" t="e">
        <f>N150</f>
        <v>#DIV/0!</v>
      </c>
      <c r="AI26" s="1463" t="e">
        <f>N181</f>
        <v>#DIV/0!</v>
      </c>
      <c r="AJ26" s="1463" t="e">
        <f>N212</f>
        <v>#DIV/0!</v>
      </c>
      <c r="AK26" s="1463" t="e">
        <f>AA26</f>
        <v>#DIV/0!</v>
      </c>
      <c r="AL26" s="1463" t="e">
        <f>AA57</f>
        <v>#DIV/0!</v>
      </c>
      <c r="AM26" s="1454" t="e">
        <f>IF(Reliability="N", 0, SUM(AD26:AL26))</f>
        <v>#DIV/0!</v>
      </c>
      <c r="AN26" s="1464"/>
      <c r="AO26" s="1454" t="e">
        <f>$AM26*(1+DiscRate)^($B26+Construct-1)</f>
        <v>#DIV/0!</v>
      </c>
      <c r="AQ26" s="1465"/>
    </row>
    <row r="27" spans="1:43" x14ac:dyDescent="0.25">
      <c r="B27" s="1466">
        <v>20</v>
      </c>
      <c r="C27" s="1467">
        <f>PHV20NB</f>
        <v>0</v>
      </c>
      <c r="D27" s="1468">
        <f>PHV20B</f>
        <v>0</v>
      </c>
      <c r="E27" s="1469">
        <f>PHS20NB</f>
        <v>55</v>
      </c>
      <c r="F27" s="1470">
        <f>PHS20B</f>
        <v>55</v>
      </c>
      <c r="G27" s="1449" t="e">
        <f>MAX(1/E27-1/FFSpeedNB, 0)</f>
        <v>#DIV/0!</v>
      </c>
      <c r="H27" s="1450" t="e">
        <f>MAX(1/F27-1/FFSpeedB, 0)</f>
        <v>#DIV/0!</v>
      </c>
      <c r="I27" s="1449" t="e">
        <f>AlphaSTD*MAX(AlphaTTI*(1+FFSpeedNB*G27)^BetaTTI-1,0)^BetaSTD*ImpactedNB/FFSpeedNB*PHRAdj</f>
        <v>#DIV/0!</v>
      </c>
      <c r="J27" s="1450" t="e">
        <f>AlphaSTD*MAX(AlphaTTI*(1+FFSpeedB*H27)^BetaTTI-1,0)^BetaSTD*ImpactedB/FFSpeedB*PHRAdj</f>
        <v>#DIV/0!</v>
      </c>
      <c r="K27" s="1471" t="e">
        <f>IF(OR(TruckLane,Bypass,HOV2to3,HOTConv,OnRamp,RM,AM,IM,TI), C27*AVOHovNB*I27-D27*AVOHovB*J27, MIN(C27*AVOHovNB,D27*AVOHovB)*(I27-J27))*AnnualFactor</f>
        <v>#DIV/0!</v>
      </c>
      <c r="L27" s="1472">
        <f>IF(AND(D27*AVOHovB&gt;C27*AVOHovNB, NOT(OR(TruckLane,Bypass,HOV2to3,HOTConv,OnRamp,RM,AM,IM,TI)),Induced="Y"), (D27*AVOHovB-C27*AVOHovNB)*(I27-J27)*0.5*AnnualFactor, 0)</f>
        <v>0</v>
      </c>
      <c r="M27" s="1453" t="e">
        <f>(K27+L27)*ValTimeAuto*ValRelAuto*IF(IM,ValTimeIMFactor,1)*(1+TTUprater)^($B27+Construct-1)</f>
        <v>#DIV/0!</v>
      </c>
      <c r="N27" s="1454" t="e">
        <f>$M27/(1+DiscRate)^($B27+Construct-1)</f>
        <v>#DIV/0!</v>
      </c>
      <c r="P27" s="1466">
        <v>20</v>
      </c>
      <c r="Q27" s="1473">
        <f>TAPT20NB*TPerPeak</f>
        <v>0</v>
      </c>
      <c r="R27" s="1474">
        <f>TAPT20B*TPerPeak</f>
        <v>0</v>
      </c>
      <c r="S27" s="1456">
        <f>TPerHwy*(R27-Q27)</f>
        <v>0</v>
      </c>
      <c r="T27" s="1475" t="e">
        <f>IF(Exclusive="Y", 0, TInTimeNBP/60*I58/(ImpactedNB/FFSpeedNB))</f>
        <v>#DIV/0!</v>
      </c>
      <c r="U27" s="1476" t="e">
        <f>IF(Exclusive="Y", 0, TInTimeBP/60*J58/(ImpactedB/FFSpeedB))</f>
        <v>#DIV/0!</v>
      </c>
      <c r="V27" s="1459" t="e">
        <f>I58</f>
        <v>#DIV/0!</v>
      </c>
      <c r="W27" s="1477" t="e">
        <f>MIN(Q27:R27)*(T27-U27)</f>
        <v>#DIV/0!</v>
      </c>
      <c r="X27" s="1478" t="e">
        <f>S27*MAX(V27-U27,0)</f>
        <v>#DIV/0!</v>
      </c>
      <c r="Y27" s="1479">
        <f>IF(AND(R27&gt;Q27,Induced="Y"),(T27-U27)*(R27-Q27-S27)*0.5,0)</f>
        <v>0</v>
      </c>
      <c r="Z27" s="1453" t="e">
        <f>SUM(W27:Y27)*ValTimeTransit*ValRelAuto*(1+TTUprater)^($P27+Construct-1)</f>
        <v>#DIV/0!</v>
      </c>
      <c r="AA27" s="1454" t="e">
        <f>$Z27/(1+DiscRate)^($P27+Construct-1)</f>
        <v>#DIV/0!</v>
      </c>
      <c r="AC27" s="1466">
        <v>20</v>
      </c>
      <c r="AD27" s="1463" t="e">
        <f>N27</f>
        <v>#DIV/0!</v>
      </c>
      <c r="AE27" s="1463" t="e">
        <f>N58</f>
        <v>#DIV/0!</v>
      </c>
      <c r="AF27" s="1463" t="e">
        <f>N89</f>
        <v>#DIV/0!</v>
      </c>
      <c r="AG27" s="1463" t="e">
        <f>N120</f>
        <v>#DIV/0!</v>
      </c>
      <c r="AH27" s="1463" t="e">
        <f>N151</f>
        <v>#DIV/0!</v>
      </c>
      <c r="AI27" s="1463" t="e">
        <f>N182</f>
        <v>#DIV/0!</v>
      </c>
      <c r="AJ27" s="1463" t="e">
        <f>N213</f>
        <v>#DIV/0!</v>
      </c>
      <c r="AK27" s="1463" t="e">
        <f>AA27</f>
        <v>#DIV/0!</v>
      </c>
      <c r="AL27" s="1463" t="e">
        <f>AA58</f>
        <v>#DIV/0!</v>
      </c>
      <c r="AM27" s="1454" t="e">
        <f>IF(Reliability="N", 0, SUM(AD27:AL27))</f>
        <v>#DIV/0!</v>
      </c>
      <c r="AN27" s="1464"/>
      <c r="AO27" s="1454" t="e">
        <f>$AM27*(1+DiscRate)^($B27+Construct-1)</f>
        <v>#DIV/0!</v>
      </c>
      <c r="AQ27" s="1465"/>
    </row>
    <row r="28" spans="1:43" x14ac:dyDescent="0.25">
      <c r="B28" s="1480"/>
      <c r="C28" s="1481"/>
      <c r="D28" s="1481"/>
      <c r="E28" s="1481"/>
      <c r="F28" s="1481"/>
      <c r="G28" s="1482"/>
      <c r="H28" s="1482"/>
      <c r="I28" s="1483"/>
      <c r="J28" s="1484"/>
      <c r="K28" s="1485"/>
      <c r="L28" s="1485"/>
      <c r="M28" s="1486"/>
      <c r="N28" s="1487"/>
      <c r="P28" s="1480"/>
      <c r="Q28" s="1481"/>
      <c r="R28" s="1481"/>
      <c r="S28" s="1481"/>
      <c r="T28" s="1482"/>
      <c r="U28" s="1482"/>
      <c r="V28" s="1488"/>
      <c r="W28" s="1486"/>
      <c r="X28" s="1486"/>
      <c r="Y28" s="1486"/>
      <c r="Z28" s="1486"/>
      <c r="AA28" s="1487"/>
      <c r="AC28" s="1480"/>
      <c r="AD28" s="1487"/>
      <c r="AE28" s="1487"/>
      <c r="AF28" s="1487"/>
      <c r="AG28" s="1487"/>
      <c r="AH28" s="1487"/>
      <c r="AI28" s="1487"/>
      <c r="AJ28" s="1487"/>
      <c r="AK28" s="1487"/>
      <c r="AL28" s="1487"/>
      <c r="AM28" s="1487"/>
      <c r="AN28" s="1489"/>
      <c r="AO28" s="1487"/>
      <c r="AQ28" s="1489"/>
    </row>
    <row r="29" spans="1:43" x14ac:dyDescent="0.25">
      <c r="B29" s="1490">
        <v>2</v>
      </c>
      <c r="C29" s="1460">
        <f>TREND(C26:C27,B26:B27,B29)</f>
        <v>0</v>
      </c>
      <c r="D29" s="1491">
        <f>TREND(D26:D27,B26:B27,B29)</f>
        <v>0</v>
      </c>
      <c r="E29" s="1492">
        <f>TREND(E26:E27,B26:B27,B29)</f>
        <v>55</v>
      </c>
      <c r="F29" s="1493">
        <f>TREND(F26:F27,B26:B27,B29)</f>
        <v>55</v>
      </c>
      <c r="G29" s="1449" t="e">
        <f t="shared" ref="G29:G46" si="0">MAX(1/E29-1/FFSpeedNB, 0)</f>
        <v>#DIV/0!</v>
      </c>
      <c r="H29" s="1450" t="e">
        <f t="shared" ref="H29:H46" si="1">MAX(1/F29-1/FFSpeedB, 0)</f>
        <v>#DIV/0!</v>
      </c>
      <c r="I29" s="1449" t="e">
        <f t="shared" ref="I29:I46" si="2">AlphaSTD*MAX(AlphaTTI*(1+FFSpeedNB*G29)^BetaTTI-1,0)^BetaSTD*ImpactedNB/FFSpeedNB*PHRAdj</f>
        <v>#DIV/0!</v>
      </c>
      <c r="J29" s="1450" t="e">
        <f t="shared" ref="J29:J46" si="3">AlphaSTD*MAX(AlphaTTI*(1+FFSpeedB*H29)^BetaTTI-1,0)^BetaSTD*ImpactedB/FFSpeedB*PHRAdj</f>
        <v>#DIV/0!</v>
      </c>
      <c r="K29" s="1451" t="e">
        <f t="shared" ref="K29:K46" si="4">IF(OR(TruckLane,Bypass,HOV2to3,HOTConv,OnRamp,RM,AM,IM,TI), C29*AVOHovNB*I29-D29*AVOHovB*J29, MIN(C29*AVOHovNB,D29*AVOHovB)*(I29-J29))*AnnualFactor</f>
        <v>#DIV/0!</v>
      </c>
      <c r="L29" s="1452">
        <f t="shared" ref="L29:L46" si="5">IF(AND(D29*AVOHovB&gt;C29*AVOHovNB, NOT(OR(TruckLane,Bypass,HOV2to3,HOTConv,OnRamp,RM,AM,IM,TI)),Induced="Y"), (D29*AVOHovB-C29*AVOHovNB)*(I29-J29)*0.5*AnnualFactor, 0)</f>
        <v>0</v>
      </c>
      <c r="M29" s="1453" t="e">
        <f t="shared" ref="M29:M46" si="6">(K29+L29)*ValTimeAuto*ValRelAuto*IF(IM,ValTimeIMFactor,1)*(1+TTUprater)^($B29+Construct-1)</f>
        <v>#DIV/0!</v>
      </c>
      <c r="N29" s="1454" t="e">
        <f t="shared" ref="N29:N46" si="7">$M29/(1+DiscRate)^($B29+Construct-1)</f>
        <v>#DIV/0!</v>
      </c>
      <c r="P29" s="1490">
        <v>2</v>
      </c>
      <c r="Q29" s="1460">
        <f>TREND(Q26:Q27,P26:P27,P29)</f>
        <v>0</v>
      </c>
      <c r="R29" s="1461">
        <f>TREND(R26:R27,P26:P27,P29)</f>
        <v>0</v>
      </c>
      <c r="S29" s="1494">
        <f t="shared" ref="S29:S46" si="8">TPerHwy*(R29-Q29)</f>
        <v>0</v>
      </c>
      <c r="T29" s="1457" t="e">
        <f t="shared" ref="T29:T46" si="9">IF(Exclusive="Y", 0, TInTimeNBP/60*I60/(ImpactedNB/FFSpeedNB))</f>
        <v>#DIV/0!</v>
      </c>
      <c r="U29" s="1458" t="e">
        <f t="shared" ref="U29:U46" si="10">IF(Exclusive="Y", 0, TInTimeBP/60*J60/(ImpactedB/FFSpeedB))</f>
        <v>#DIV/0!</v>
      </c>
      <c r="V29" s="1459" t="e">
        <f t="shared" ref="V29:V46" si="11">I60</f>
        <v>#DIV/0!</v>
      </c>
      <c r="W29" s="1460" t="e">
        <f t="shared" ref="W29:W46" si="12">MIN(Q29:R29)*(T29-U29)</f>
        <v>#DIV/0!</v>
      </c>
      <c r="X29" s="1461" t="e">
        <f>S29*MAX(V29-U29,0)</f>
        <v>#DIV/0!</v>
      </c>
      <c r="Y29" s="1462">
        <f t="shared" ref="Y29:Y46" si="13">IF(AND(R29&gt;Q29,Induced="Y"),(T29-U29)*(R29-Q29-S29)*0.5,0)</f>
        <v>0</v>
      </c>
      <c r="Z29" s="1453" t="e">
        <f t="shared" ref="Z29:Z46" si="14">SUM(W29:Y29)*ValTimeTransit*ValRelAuto*(1+TTUprater)^($P29+Construct-1)</f>
        <v>#DIV/0!</v>
      </c>
      <c r="AA29" s="1454" t="e">
        <f t="shared" ref="AA29:AA46" si="15">$Z29/(1+DiscRate)^($P29+Construct-1)</f>
        <v>#DIV/0!</v>
      </c>
      <c r="AC29" s="1490">
        <v>2</v>
      </c>
      <c r="AD29" s="1463" t="e">
        <f t="shared" ref="AD29:AD46" si="16">N29</f>
        <v>#DIV/0!</v>
      </c>
      <c r="AE29" s="1463" t="e">
        <f t="shared" ref="AE29:AE46" si="17">N60</f>
        <v>#DIV/0!</v>
      </c>
      <c r="AF29" s="1463" t="e">
        <f t="shared" ref="AF29:AF46" si="18">N91</f>
        <v>#DIV/0!</v>
      </c>
      <c r="AG29" s="1463" t="e">
        <f t="shared" ref="AG29:AG46" si="19">N122</f>
        <v>#DIV/0!</v>
      </c>
      <c r="AH29" s="1463" t="e">
        <f t="shared" ref="AH29:AH46" si="20">N153</f>
        <v>#DIV/0!</v>
      </c>
      <c r="AI29" s="1463" t="e">
        <f t="shared" ref="AI29:AI46" si="21">N184</f>
        <v>#DIV/0!</v>
      </c>
      <c r="AJ29" s="1463" t="e">
        <f t="shared" ref="AJ29:AJ46" si="22">N215</f>
        <v>#DIV/0!</v>
      </c>
      <c r="AK29" s="1463" t="e">
        <f t="shared" ref="AK29:AK46" si="23">AA29</f>
        <v>#DIV/0!</v>
      </c>
      <c r="AL29" s="1463" t="e">
        <f t="shared" ref="AL29:AL46" si="24">AA60</f>
        <v>#DIV/0!</v>
      </c>
      <c r="AM29" s="1454" t="e">
        <f t="shared" ref="AM29:AM46" si="25">IF(Reliability="N", 0, SUM(AD29:AL29))</f>
        <v>#DIV/0!</v>
      </c>
      <c r="AN29" s="1464"/>
      <c r="AO29" s="1454" t="e">
        <f t="shared" ref="AO29:AO46" si="26">$AM29*(1+DiscRate)^($B29+Construct-1)</f>
        <v>#DIV/0!</v>
      </c>
      <c r="AQ29" s="1465"/>
    </row>
    <row r="30" spans="1:43" x14ac:dyDescent="0.25">
      <c r="B30" s="1444">
        <v>3</v>
      </c>
      <c r="C30" s="1477">
        <f>TREND(C26:C27,B26:B27,B30)</f>
        <v>0</v>
      </c>
      <c r="D30" s="1495">
        <f>TREND(D26:D27,B26:B27,B30)</f>
        <v>0</v>
      </c>
      <c r="E30" s="1496">
        <f>TREND(E26:E27,B26:B27,B30)</f>
        <v>55</v>
      </c>
      <c r="F30" s="1497">
        <f>TREND(F26:F27,B26:B27,B30)</f>
        <v>55</v>
      </c>
      <c r="G30" s="1449" t="e">
        <f t="shared" si="0"/>
        <v>#DIV/0!</v>
      </c>
      <c r="H30" s="1450" t="e">
        <f t="shared" si="1"/>
        <v>#DIV/0!</v>
      </c>
      <c r="I30" s="1449" t="e">
        <f t="shared" si="2"/>
        <v>#DIV/0!</v>
      </c>
      <c r="J30" s="1450" t="e">
        <f t="shared" si="3"/>
        <v>#DIV/0!</v>
      </c>
      <c r="K30" s="1498" t="e">
        <f t="shared" si="4"/>
        <v>#DIV/0!</v>
      </c>
      <c r="L30" s="1499">
        <f t="shared" si="5"/>
        <v>0</v>
      </c>
      <c r="M30" s="1453" t="e">
        <f t="shared" si="6"/>
        <v>#DIV/0!</v>
      </c>
      <c r="N30" s="1454" t="e">
        <f t="shared" si="7"/>
        <v>#DIV/0!</v>
      </c>
      <c r="P30" s="1444">
        <v>3</v>
      </c>
      <c r="Q30" s="1477">
        <f>TREND(Q26:Q27,P26:P27,P30)</f>
        <v>0</v>
      </c>
      <c r="R30" s="1478">
        <f>TREND(R26:R27,P26:P27,P30)</f>
        <v>0</v>
      </c>
      <c r="S30" s="1494">
        <f t="shared" si="8"/>
        <v>0</v>
      </c>
      <c r="T30" s="1500" t="e">
        <f t="shared" si="9"/>
        <v>#DIV/0!</v>
      </c>
      <c r="U30" s="1476" t="e">
        <f t="shared" si="10"/>
        <v>#DIV/0!</v>
      </c>
      <c r="V30" s="1459" t="e">
        <f t="shared" si="11"/>
        <v>#DIV/0!</v>
      </c>
      <c r="W30" s="1501" t="e">
        <f t="shared" si="12"/>
        <v>#DIV/0!</v>
      </c>
      <c r="X30" s="1502" t="e">
        <f>S30*MAX(V30-U30,0)</f>
        <v>#DIV/0!</v>
      </c>
      <c r="Y30" s="1503">
        <f t="shared" si="13"/>
        <v>0</v>
      </c>
      <c r="Z30" s="1453" t="e">
        <f t="shared" si="14"/>
        <v>#DIV/0!</v>
      </c>
      <c r="AA30" s="1454" t="e">
        <f t="shared" si="15"/>
        <v>#DIV/0!</v>
      </c>
      <c r="AC30" s="1444">
        <v>3</v>
      </c>
      <c r="AD30" s="1463" t="e">
        <f t="shared" si="16"/>
        <v>#DIV/0!</v>
      </c>
      <c r="AE30" s="1463" t="e">
        <f t="shared" si="17"/>
        <v>#DIV/0!</v>
      </c>
      <c r="AF30" s="1463" t="e">
        <f t="shared" si="18"/>
        <v>#DIV/0!</v>
      </c>
      <c r="AG30" s="1463" t="e">
        <f t="shared" si="19"/>
        <v>#DIV/0!</v>
      </c>
      <c r="AH30" s="1463" t="e">
        <f t="shared" si="20"/>
        <v>#DIV/0!</v>
      </c>
      <c r="AI30" s="1463" t="e">
        <f t="shared" si="21"/>
        <v>#DIV/0!</v>
      </c>
      <c r="AJ30" s="1463" t="e">
        <f t="shared" si="22"/>
        <v>#DIV/0!</v>
      </c>
      <c r="AK30" s="1463" t="e">
        <f t="shared" si="23"/>
        <v>#DIV/0!</v>
      </c>
      <c r="AL30" s="1463" t="e">
        <f t="shared" si="24"/>
        <v>#DIV/0!</v>
      </c>
      <c r="AM30" s="1454" t="e">
        <f t="shared" si="25"/>
        <v>#DIV/0!</v>
      </c>
      <c r="AN30" s="1464"/>
      <c r="AO30" s="1454" t="e">
        <f t="shared" si="26"/>
        <v>#DIV/0!</v>
      </c>
      <c r="AQ30" s="1465"/>
    </row>
    <row r="31" spans="1:43" x14ac:dyDescent="0.25">
      <c r="B31" s="1444">
        <v>4</v>
      </c>
      <c r="C31" s="1477">
        <f>TREND(C26:C27,B26:B27,B31)</f>
        <v>0</v>
      </c>
      <c r="D31" s="1495">
        <f>TREND(D26:D27,B26:B27,B31)</f>
        <v>0</v>
      </c>
      <c r="E31" s="1496">
        <f>TREND(E26:E27,B26:B27,B31)</f>
        <v>55</v>
      </c>
      <c r="F31" s="1497">
        <f>TREND(F26:F27,B26:B27,B31)</f>
        <v>55</v>
      </c>
      <c r="G31" s="1449" t="e">
        <f t="shared" si="0"/>
        <v>#DIV/0!</v>
      </c>
      <c r="H31" s="1450" t="e">
        <f t="shared" si="1"/>
        <v>#DIV/0!</v>
      </c>
      <c r="I31" s="1449" t="e">
        <f t="shared" si="2"/>
        <v>#DIV/0!</v>
      </c>
      <c r="J31" s="1450" t="e">
        <f t="shared" si="3"/>
        <v>#DIV/0!</v>
      </c>
      <c r="K31" s="1498" t="e">
        <f t="shared" si="4"/>
        <v>#DIV/0!</v>
      </c>
      <c r="L31" s="1499">
        <f t="shared" si="5"/>
        <v>0</v>
      </c>
      <c r="M31" s="1453" t="e">
        <f t="shared" si="6"/>
        <v>#DIV/0!</v>
      </c>
      <c r="N31" s="1454" t="e">
        <f t="shared" si="7"/>
        <v>#DIV/0!</v>
      </c>
      <c r="P31" s="1444">
        <v>4</v>
      </c>
      <c r="Q31" s="1477">
        <f>TREND(Q26:Q27,P26:P27,P31)</f>
        <v>0</v>
      </c>
      <c r="R31" s="1478">
        <f>TREND(R26:R27,P26:P27,P31)</f>
        <v>0</v>
      </c>
      <c r="S31" s="1494">
        <f t="shared" si="8"/>
        <v>0</v>
      </c>
      <c r="T31" s="1500" t="e">
        <f t="shared" si="9"/>
        <v>#DIV/0!</v>
      </c>
      <c r="U31" s="1476" t="e">
        <f t="shared" si="10"/>
        <v>#DIV/0!</v>
      </c>
      <c r="V31" s="1459" t="e">
        <f t="shared" si="11"/>
        <v>#DIV/0!</v>
      </c>
      <c r="W31" s="1501" t="e">
        <f t="shared" si="12"/>
        <v>#DIV/0!</v>
      </c>
      <c r="X31" s="1502" t="e">
        <f t="shared" ref="X31:X46" si="27">S31*MAX(V31-U31,0)</f>
        <v>#DIV/0!</v>
      </c>
      <c r="Y31" s="1503">
        <f t="shared" si="13"/>
        <v>0</v>
      </c>
      <c r="Z31" s="1453" t="e">
        <f t="shared" si="14"/>
        <v>#DIV/0!</v>
      </c>
      <c r="AA31" s="1454" t="e">
        <f t="shared" si="15"/>
        <v>#DIV/0!</v>
      </c>
      <c r="AC31" s="1444">
        <v>4</v>
      </c>
      <c r="AD31" s="1463" t="e">
        <f t="shared" si="16"/>
        <v>#DIV/0!</v>
      </c>
      <c r="AE31" s="1463" t="e">
        <f t="shared" si="17"/>
        <v>#DIV/0!</v>
      </c>
      <c r="AF31" s="1463" t="e">
        <f t="shared" si="18"/>
        <v>#DIV/0!</v>
      </c>
      <c r="AG31" s="1463" t="e">
        <f t="shared" si="19"/>
        <v>#DIV/0!</v>
      </c>
      <c r="AH31" s="1463" t="e">
        <f t="shared" si="20"/>
        <v>#DIV/0!</v>
      </c>
      <c r="AI31" s="1463" t="e">
        <f t="shared" si="21"/>
        <v>#DIV/0!</v>
      </c>
      <c r="AJ31" s="1463" t="e">
        <f t="shared" si="22"/>
        <v>#DIV/0!</v>
      </c>
      <c r="AK31" s="1463" t="e">
        <f t="shared" si="23"/>
        <v>#DIV/0!</v>
      </c>
      <c r="AL31" s="1463" t="e">
        <f t="shared" si="24"/>
        <v>#DIV/0!</v>
      </c>
      <c r="AM31" s="1454" t="e">
        <f t="shared" si="25"/>
        <v>#DIV/0!</v>
      </c>
      <c r="AN31" s="1464"/>
      <c r="AO31" s="1454" t="e">
        <f t="shared" si="26"/>
        <v>#DIV/0!</v>
      </c>
      <c r="AQ31" s="1465"/>
    </row>
    <row r="32" spans="1:43" x14ac:dyDescent="0.25">
      <c r="B32" s="1444">
        <v>5</v>
      </c>
      <c r="C32" s="1477">
        <f>TREND(C26:C27,B26:B27,B32)</f>
        <v>0</v>
      </c>
      <c r="D32" s="1495">
        <f>TREND(D26:D27,B26:B27,B32)</f>
        <v>0</v>
      </c>
      <c r="E32" s="1496">
        <f>TREND(E26:E27,B26:B27,B32)</f>
        <v>55</v>
      </c>
      <c r="F32" s="1497">
        <f>TREND(F26:F27,B26:B27,B32)</f>
        <v>55</v>
      </c>
      <c r="G32" s="1449" t="e">
        <f t="shared" si="0"/>
        <v>#DIV/0!</v>
      </c>
      <c r="H32" s="1450" t="e">
        <f t="shared" si="1"/>
        <v>#DIV/0!</v>
      </c>
      <c r="I32" s="1449" t="e">
        <f t="shared" si="2"/>
        <v>#DIV/0!</v>
      </c>
      <c r="J32" s="1450" t="e">
        <f t="shared" si="3"/>
        <v>#DIV/0!</v>
      </c>
      <c r="K32" s="1498" t="e">
        <f t="shared" si="4"/>
        <v>#DIV/0!</v>
      </c>
      <c r="L32" s="1499">
        <f t="shared" si="5"/>
        <v>0</v>
      </c>
      <c r="M32" s="1453" t="e">
        <f t="shared" si="6"/>
        <v>#DIV/0!</v>
      </c>
      <c r="N32" s="1454" t="e">
        <f t="shared" si="7"/>
        <v>#DIV/0!</v>
      </c>
      <c r="P32" s="1444">
        <v>5</v>
      </c>
      <c r="Q32" s="1477">
        <f>TREND(Q26:Q27,P26:P27,P32)</f>
        <v>0</v>
      </c>
      <c r="R32" s="1478">
        <f>TREND(R26:R27,P26:P27,P32)</f>
        <v>0</v>
      </c>
      <c r="S32" s="1494">
        <f t="shared" si="8"/>
        <v>0</v>
      </c>
      <c r="T32" s="1500" t="e">
        <f t="shared" si="9"/>
        <v>#DIV/0!</v>
      </c>
      <c r="U32" s="1476" t="e">
        <f t="shared" si="10"/>
        <v>#DIV/0!</v>
      </c>
      <c r="V32" s="1459" t="e">
        <f t="shared" si="11"/>
        <v>#DIV/0!</v>
      </c>
      <c r="W32" s="1501" t="e">
        <f t="shared" si="12"/>
        <v>#DIV/0!</v>
      </c>
      <c r="X32" s="1502" t="e">
        <f t="shared" si="27"/>
        <v>#DIV/0!</v>
      </c>
      <c r="Y32" s="1503">
        <f t="shared" si="13"/>
        <v>0</v>
      </c>
      <c r="Z32" s="1453" t="e">
        <f t="shared" si="14"/>
        <v>#DIV/0!</v>
      </c>
      <c r="AA32" s="1454" t="e">
        <f t="shared" si="15"/>
        <v>#DIV/0!</v>
      </c>
      <c r="AC32" s="1444">
        <v>5</v>
      </c>
      <c r="AD32" s="1463" t="e">
        <f t="shared" si="16"/>
        <v>#DIV/0!</v>
      </c>
      <c r="AE32" s="1463" t="e">
        <f t="shared" si="17"/>
        <v>#DIV/0!</v>
      </c>
      <c r="AF32" s="1463" t="e">
        <f t="shared" si="18"/>
        <v>#DIV/0!</v>
      </c>
      <c r="AG32" s="1463" t="e">
        <f t="shared" si="19"/>
        <v>#DIV/0!</v>
      </c>
      <c r="AH32" s="1463" t="e">
        <f t="shared" si="20"/>
        <v>#DIV/0!</v>
      </c>
      <c r="AI32" s="1463" t="e">
        <f t="shared" si="21"/>
        <v>#DIV/0!</v>
      </c>
      <c r="AJ32" s="1463" t="e">
        <f t="shared" si="22"/>
        <v>#DIV/0!</v>
      </c>
      <c r="AK32" s="1463" t="e">
        <f t="shared" si="23"/>
        <v>#DIV/0!</v>
      </c>
      <c r="AL32" s="1463" t="e">
        <f t="shared" si="24"/>
        <v>#DIV/0!</v>
      </c>
      <c r="AM32" s="1454" t="e">
        <f t="shared" si="25"/>
        <v>#DIV/0!</v>
      </c>
      <c r="AN32" s="1464"/>
      <c r="AO32" s="1454" t="e">
        <f t="shared" si="26"/>
        <v>#DIV/0!</v>
      </c>
      <c r="AQ32" s="1465"/>
    </row>
    <row r="33" spans="2:43" x14ac:dyDescent="0.25">
      <c r="B33" s="1444">
        <v>6</v>
      </c>
      <c r="C33" s="1477">
        <f>TREND(C26:C27,B26:B27,B33)</f>
        <v>0</v>
      </c>
      <c r="D33" s="1495">
        <f>TREND(D26:D27,B26:B27,B33)</f>
        <v>0</v>
      </c>
      <c r="E33" s="1496">
        <f>TREND(E26:E27,B26:B27,B33)</f>
        <v>55</v>
      </c>
      <c r="F33" s="1497">
        <f>TREND(F26:F27,B26:B27,B33)</f>
        <v>55</v>
      </c>
      <c r="G33" s="1449" t="e">
        <f t="shared" si="0"/>
        <v>#DIV/0!</v>
      </c>
      <c r="H33" s="1450" t="e">
        <f t="shared" si="1"/>
        <v>#DIV/0!</v>
      </c>
      <c r="I33" s="1449" t="e">
        <f t="shared" si="2"/>
        <v>#DIV/0!</v>
      </c>
      <c r="J33" s="1450" t="e">
        <f t="shared" si="3"/>
        <v>#DIV/0!</v>
      </c>
      <c r="K33" s="1498" t="e">
        <f t="shared" si="4"/>
        <v>#DIV/0!</v>
      </c>
      <c r="L33" s="1499">
        <f t="shared" si="5"/>
        <v>0</v>
      </c>
      <c r="M33" s="1453" t="e">
        <f t="shared" si="6"/>
        <v>#DIV/0!</v>
      </c>
      <c r="N33" s="1454" t="e">
        <f t="shared" si="7"/>
        <v>#DIV/0!</v>
      </c>
      <c r="P33" s="1444">
        <v>6</v>
      </c>
      <c r="Q33" s="1477">
        <f>TREND(Q26:Q27,P26:P27,P33)</f>
        <v>0</v>
      </c>
      <c r="R33" s="1478">
        <f>TREND(R26:R27,P26:P27,P33)</f>
        <v>0</v>
      </c>
      <c r="S33" s="1494">
        <f t="shared" si="8"/>
        <v>0</v>
      </c>
      <c r="T33" s="1500" t="e">
        <f t="shared" si="9"/>
        <v>#DIV/0!</v>
      </c>
      <c r="U33" s="1476" t="e">
        <f t="shared" si="10"/>
        <v>#DIV/0!</v>
      </c>
      <c r="V33" s="1459" t="e">
        <f t="shared" si="11"/>
        <v>#DIV/0!</v>
      </c>
      <c r="W33" s="1501" t="e">
        <f t="shared" si="12"/>
        <v>#DIV/0!</v>
      </c>
      <c r="X33" s="1502" t="e">
        <f t="shared" si="27"/>
        <v>#DIV/0!</v>
      </c>
      <c r="Y33" s="1503">
        <f t="shared" si="13"/>
        <v>0</v>
      </c>
      <c r="Z33" s="1453" t="e">
        <f t="shared" si="14"/>
        <v>#DIV/0!</v>
      </c>
      <c r="AA33" s="1454" t="e">
        <f t="shared" si="15"/>
        <v>#DIV/0!</v>
      </c>
      <c r="AC33" s="1444">
        <v>6</v>
      </c>
      <c r="AD33" s="1463" t="e">
        <f t="shared" si="16"/>
        <v>#DIV/0!</v>
      </c>
      <c r="AE33" s="1463" t="e">
        <f t="shared" si="17"/>
        <v>#DIV/0!</v>
      </c>
      <c r="AF33" s="1463" t="e">
        <f t="shared" si="18"/>
        <v>#DIV/0!</v>
      </c>
      <c r="AG33" s="1463" t="e">
        <f t="shared" si="19"/>
        <v>#DIV/0!</v>
      </c>
      <c r="AH33" s="1463" t="e">
        <f t="shared" si="20"/>
        <v>#DIV/0!</v>
      </c>
      <c r="AI33" s="1463" t="e">
        <f t="shared" si="21"/>
        <v>#DIV/0!</v>
      </c>
      <c r="AJ33" s="1463" t="e">
        <f t="shared" si="22"/>
        <v>#DIV/0!</v>
      </c>
      <c r="AK33" s="1463" t="e">
        <f t="shared" si="23"/>
        <v>#DIV/0!</v>
      </c>
      <c r="AL33" s="1463" t="e">
        <f t="shared" si="24"/>
        <v>#DIV/0!</v>
      </c>
      <c r="AM33" s="1454" t="e">
        <f t="shared" si="25"/>
        <v>#DIV/0!</v>
      </c>
      <c r="AN33" s="1464"/>
      <c r="AO33" s="1454" t="e">
        <f t="shared" si="26"/>
        <v>#DIV/0!</v>
      </c>
      <c r="AQ33" s="1465"/>
    </row>
    <row r="34" spans="2:43" x14ac:dyDescent="0.25">
      <c r="B34" s="1444">
        <v>7</v>
      </c>
      <c r="C34" s="1477">
        <f>TREND(C26:C27,B26:B27,B34)</f>
        <v>0</v>
      </c>
      <c r="D34" s="1495">
        <f>TREND(D26:D27,B26:B27,B34)</f>
        <v>0</v>
      </c>
      <c r="E34" s="1496">
        <f>TREND(E26:E27,B26:B27,B34)</f>
        <v>55</v>
      </c>
      <c r="F34" s="1497">
        <f>TREND(F26:F27,B26:B27,B34)</f>
        <v>55</v>
      </c>
      <c r="G34" s="1449" t="e">
        <f t="shared" si="0"/>
        <v>#DIV/0!</v>
      </c>
      <c r="H34" s="1450" t="e">
        <f t="shared" si="1"/>
        <v>#DIV/0!</v>
      </c>
      <c r="I34" s="1449" t="e">
        <f t="shared" si="2"/>
        <v>#DIV/0!</v>
      </c>
      <c r="J34" s="1450" t="e">
        <f t="shared" si="3"/>
        <v>#DIV/0!</v>
      </c>
      <c r="K34" s="1498" t="e">
        <f t="shared" si="4"/>
        <v>#DIV/0!</v>
      </c>
      <c r="L34" s="1499">
        <f t="shared" si="5"/>
        <v>0</v>
      </c>
      <c r="M34" s="1453" t="e">
        <f t="shared" si="6"/>
        <v>#DIV/0!</v>
      </c>
      <c r="N34" s="1454" t="e">
        <f t="shared" si="7"/>
        <v>#DIV/0!</v>
      </c>
      <c r="P34" s="1444">
        <v>7</v>
      </c>
      <c r="Q34" s="1477">
        <f>TREND(Q26:Q27,P26:P27,P34)</f>
        <v>0</v>
      </c>
      <c r="R34" s="1478">
        <f>TREND(R26:R27,P26:P27,P34)</f>
        <v>0</v>
      </c>
      <c r="S34" s="1494">
        <f t="shared" si="8"/>
        <v>0</v>
      </c>
      <c r="T34" s="1500" t="e">
        <f t="shared" si="9"/>
        <v>#DIV/0!</v>
      </c>
      <c r="U34" s="1476" t="e">
        <f t="shared" si="10"/>
        <v>#DIV/0!</v>
      </c>
      <c r="V34" s="1459" t="e">
        <f t="shared" si="11"/>
        <v>#DIV/0!</v>
      </c>
      <c r="W34" s="1501" t="e">
        <f t="shared" si="12"/>
        <v>#DIV/0!</v>
      </c>
      <c r="X34" s="1502" t="e">
        <f t="shared" si="27"/>
        <v>#DIV/0!</v>
      </c>
      <c r="Y34" s="1503">
        <f t="shared" si="13"/>
        <v>0</v>
      </c>
      <c r="Z34" s="1453" t="e">
        <f t="shared" si="14"/>
        <v>#DIV/0!</v>
      </c>
      <c r="AA34" s="1454" t="e">
        <f t="shared" si="15"/>
        <v>#DIV/0!</v>
      </c>
      <c r="AC34" s="1444">
        <v>7</v>
      </c>
      <c r="AD34" s="1463" t="e">
        <f t="shared" si="16"/>
        <v>#DIV/0!</v>
      </c>
      <c r="AE34" s="1463" t="e">
        <f t="shared" si="17"/>
        <v>#DIV/0!</v>
      </c>
      <c r="AF34" s="1463" t="e">
        <f t="shared" si="18"/>
        <v>#DIV/0!</v>
      </c>
      <c r="AG34" s="1463" t="e">
        <f t="shared" si="19"/>
        <v>#DIV/0!</v>
      </c>
      <c r="AH34" s="1463" t="e">
        <f t="shared" si="20"/>
        <v>#DIV/0!</v>
      </c>
      <c r="AI34" s="1463" t="e">
        <f t="shared" si="21"/>
        <v>#DIV/0!</v>
      </c>
      <c r="AJ34" s="1463" t="e">
        <f t="shared" si="22"/>
        <v>#DIV/0!</v>
      </c>
      <c r="AK34" s="1463" t="e">
        <f t="shared" si="23"/>
        <v>#DIV/0!</v>
      </c>
      <c r="AL34" s="1463" t="e">
        <f t="shared" si="24"/>
        <v>#DIV/0!</v>
      </c>
      <c r="AM34" s="1454" t="e">
        <f t="shared" si="25"/>
        <v>#DIV/0!</v>
      </c>
      <c r="AN34" s="1464"/>
      <c r="AO34" s="1454" t="e">
        <f t="shared" si="26"/>
        <v>#DIV/0!</v>
      </c>
      <c r="AQ34" s="1465"/>
    </row>
    <row r="35" spans="2:43" x14ac:dyDescent="0.25">
      <c r="B35" s="1444">
        <v>8</v>
      </c>
      <c r="C35" s="1477">
        <f>TREND(C26:C27,B26:B27,B35)</f>
        <v>0</v>
      </c>
      <c r="D35" s="1495">
        <f>TREND(D26:D27,B26:B27,B35)</f>
        <v>0</v>
      </c>
      <c r="E35" s="1496">
        <f>TREND(E26:E27,B26:B27,B35)</f>
        <v>55</v>
      </c>
      <c r="F35" s="1497">
        <f>TREND(F26:F27,B26:B27,B35)</f>
        <v>55</v>
      </c>
      <c r="G35" s="1449" t="e">
        <f t="shared" si="0"/>
        <v>#DIV/0!</v>
      </c>
      <c r="H35" s="1450" t="e">
        <f t="shared" si="1"/>
        <v>#DIV/0!</v>
      </c>
      <c r="I35" s="1449" t="e">
        <f t="shared" si="2"/>
        <v>#DIV/0!</v>
      </c>
      <c r="J35" s="1450" t="e">
        <f t="shared" si="3"/>
        <v>#DIV/0!</v>
      </c>
      <c r="K35" s="1498" t="e">
        <f t="shared" si="4"/>
        <v>#DIV/0!</v>
      </c>
      <c r="L35" s="1499">
        <f t="shared" si="5"/>
        <v>0</v>
      </c>
      <c r="M35" s="1453" t="e">
        <f t="shared" si="6"/>
        <v>#DIV/0!</v>
      </c>
      <c r="N35" s="1454" t="e">
        <f t="shared" si="7"/>
        <v>#DIV/0!</v>
      </c>
      <c r="P35" s="1444">
        <v>8</v>
      </c>
      <c r="Q35" s="1477">
        <f>TREND(Q26:Q27,P26:P27,P35)</f>
        <v>0</v>
      </c>
      <c r="R35" s="1478">
        <f>TREND(R26:R27,P26:P27,P35)</f>
        <v>0</v>
      </c>
      <c r="S35" s="1494">
        <f t="shared" si="8"/>
        <v>0</v>
      </c>
      <c r="T35" s="1500" t="e">
        <f t="shared" si="9"/>
        <v>#DIV/0!</v>
      </c>
      <c r="U35" s="1476" t="e">
        <f t="shared" si="10"/>
        <v>#DIV/0!</v>
      </c>
      <c r="V35" s="1459" t="e">
        <f t="shared" si="11"/>
        <v>#DIV/0!</v>
      </c>
      <c r="W35" s="1501" t="e">
        <f t="shared" si="12"/>
        <v>#DIV/0!</v>
      </c>
      <c r="X35" s="1502" t="e">
        <f t="shared" si="27"/>
        <v>#DIV/0!</v>
      </c>
      <c r="Y35" s="1503">
        <f t="shared" si="13"/>
        <v>0</v>
      </c>
      <c r="Z35" s="1453" t="e">
        <f t="shared" si="14"/>
        <v>#DIV/0!</v>
      </c>
      <c r="AA35" s="1454" t="e">
        <f t="shared" si="15"/>
        <v>#DIV/0!</v>
      </c>
      <c r="AC35" s="1444">
        <v>8</v>
      </c>
      <c r="AD35" s="1463" t="e">
        <f t="shared" si="16"/>
        <v>#DIV/0!</v>
      </c>
      <c r="AE35" s="1463" t="e">
        <f t="shared" si="17"/>
        <v>#DIV/0!</v>
      </c>
      <c r="AF35" s="1463" t="e">
        <f t="shared" si="18"/>
        <v>#DIV/0!</v>
      </c>
      <c r="AG35" s="1463" t="e">
        <f t="shared" si="19"/>
        <v>#DIV/0!</v>
      </c>
      <c r="AH35" s="1463" t="e">
        <f t="shared" si="20"/>
        <v>#DIV/0!</v>
      </c>
      <c r="AI35" s="1463" t="e">
        <f t="shared" si="21"/>
        <v>#DIV/0!</v>
      </c>
      <c r="AJ35" s="1463" t="e">
        <f t="shared" si="22"/>
        <v>#DIV/0!</v>
      </c>
      <c r="AK35" s="1463" t="e">
        <f t="shared" si="23"/>
        <v>#DIV/0!</v>
      </c>
      <c r="AL35" s="1463" t="e">
        <f t="shared" si="24"/>
        <v>#DIV/0!</v>
      </c>
      <c r="AM35" s="1454" t="e">
        <f t="shared" si="25"/>
        <v>#DIV/0!</v>
      </c>
      <c r="AN35" s="1464"/>
      <c r="AO35" s="1454" t="e">
        <f t="shared" si="26"/>
        <v>#DIV/0!</v>
      </c>
      <c r="AQ35" s="1465"/>
    </row>
    <row r="36" spans="2:43" x14ac:dyDescent="0.25">
      <c r="B36" s="1444">
        <v>9</v>
      </c>
      <c r="C36" s="1477">
        <f>TREND(C26:C27,B26:B27,B36)</f>
        <v>0</v>
      </c>
      <c r="D36" s="1495">
        <f>TREND(D26:D27,B26:B27,B36)</f>
        <v>0</v>
      </c>
      <c r="E36" s="1496">
        <f>TREND(E26:E27,B26:B27,B36)</f>
        <v>55</v>
      </c>
      <c r="F36" s="1497">
        <f>TREND(F26:F27,B26:B27,B36)</f>
        <v>55</v>
      </c>
      <c r="G36" s="1449" t="e">
        <f t="shared" si="0"/>
        <v>#DIV/0!</v>
      </c>
      <c r="H36" s="1450" t="e">
        <f t="shared" si="1"/>
        <v>#DIV/0!</v>
      </c>
      <c r="I36" s="1449" t="e">
        <f t="shared" si="2"/>
        <v>#DIV/0!</v>
      </c>
      <c r="J36" s="1450" t="e">
        <f t="shared" si="3"/>
        <v>#DIV/0!</v>
      </c>
      <c r="K36" s="1498" t="e">
        <f t="shared" si="4"/>
        <v>#DIV/0!</v>
      </c>
      <c r="L36" s="1499">
        <f t="shared" si="5"/>
        <v>0</v>
      </c>
      <c r="M36" s="1453" t="e">
        <f t="shared" si="6"/>
        <v>#DIV/0!</v>
      </c>
      <c r="N36" s="1454" t="e">
        <f t="shared" si="7"/>
        <v>#DIV/0!</v>
      </c>
      <c r="P36" s="1444">
        <v>9</v>
      </c>
      <c r="Q36" s="1477">
        <f>TREND(Q26:Q27,P26:P27,P36)</f>
        <v>0</v>
      </c>
      <c r="R36" s="1478">
        <f>TREND(R26:R27,P26:P27,P36)</f>
        <v>0</v>
      </c>
      <c r="S36" s="1494">
        <f t="shared" si="8"/>
        <v>0</v>
      </c>
      <c r="T36" s="1500" t="e">
        <f t="shared" si="9"/>
        <v>#DIV/0!</v>
      </c>
      <c r="U36" s="1476" t="e">
        <f t="shared" si="10"/>
        <v>#DIV/0!</v>
      </c>
      <c r="V36" s="1459" t="e">
        <f t="shared" si="11"/>
        <v>#DIV/0!</v>
      </c>
      <c r="W36" s="1501" t="e">
        <f t="shared" si="12"/>
        <v>#DIV/0!</v>
      </c>
      <c r="X36" s="1502" t="e">
        <f t="shared" si="27"/>
        <v>#DIV/0!</v>
      </c>
      <c r="Y36" s="1503">
        <f t="shared" si="13"/>
        <v>0</v>
      </c>
      <c r="Z36" s="1453" t="e">
        <f t="shared" si="14"/>
        <v>#DIV/0!</v>
      </c>
      <c r="AA36" s="1454" t="e">
        <f t="shared" si="15"/>
        <v>#DIV/0!</v>
      </c>
      <c r="AC36" s="1444">
        <v>9</v>
      </c>
      <c r="AD36" s="1463" t="e">
        <f t="shared" si="16"/>
        <v>#DIV/0!</v>
      </c>
      <c r="AE36" s="1463" t="e">
        <f t="shared" si="17"/>
        <v>#DIV/0!</v>
      </c>
      <c r="AF36" s="1463" t="e">
        <f t="shared" si="18"/>
        <v>#DIV/0!</v>
      </c>
      <c r="AG36" s="1463" t="e">
        <f t="shared" si="19"/>
        <v>#DIV/0!</v>
      </c>
      <c r="AH36" s="1463" t="e">
        <f t="shared" si="20"/>
        <v>#DIV/0!</v>
      </c>
      <c r="AI36" s="1463" t="e">
        <f t="shared" si="21"/>
        <v>#DIV/0!</v>
      </c>
      <c r="AJ36" s="1463" t="e">
        <f t="shared" si="22"/>
        <v>#DIV/0!</v>
      </c>
      <c r="AK36" s="1463" t="e">
        <f t="shared" si="23"/>
        <v>#DIV/0!</v>
      </c>
      <c r="AL36" s="1463" t="e">
        <f t="shared" si="24"/>
        <v>#DIV/0!</v>
      </c>
      <c r="AM36" s="1454" t="e">
        <f t="shared" si="25"/>
        <v>#DIV/0!</v>
      </c>
      <c r="AN36" s="1464"/>
      <c r="AO36" s="1454" t="e">
        <f t="shared" si="26"/>
        <v>#DIV/0!</v>
      </c>
      <c r="AQ36" s="1465"/>
    </row>
    <row r="37" spans="2:43" x14ac:dyDescent="0.25">
      <c r="B37" s="1444">
        <v>10</v>
      </c>
      <c r="C37" s="1477">
        <f>TREND(C26:C27,B26:B27,B37)</f>
        <v>0</v>
      </c>
      <c r="D37" s="1495">
        <f>TREND(D26:D27,B26:B27,B37)</f>
        <v>0</v>
      </c>
      <c r="E37" s="1496">
        <f>TREND(E26:E27,B26:B27,B37)</f>
        <v>55</v>
      </c>
      <c r="F37" s="1497">
        <f>TREND(F26:F27,B26:B27,B37)</f>
        <v>55</v>
      </c>
      <c r="G37" s="1449" t="e">
        <f t="shared" si="0"/>
        <v>#DIV/0!</v>
      </c>
      <c r="H37" s="1450" t="e">
        <f t="shared" si="1"/>
        <v>#DIV/0!</v>
      </c>
      <c r="I37" s="1449" t="e">
        <f t="shared" si="2"/>
        <v>#DIV/0!</v>
      </c>
      <c r="J37" s="1450" t="e">
        <f t="shared" si="3"/>
        <v>#DIV/0!</v>
      </c>
      <c r="K37" s="1498" t="e">
        <f t="shared" si="4"/>
        <v>#DIV/0!</v>
      </c>
      <c r="L37" s="1499">
        <f t="shared" si="5"/>
        <v>0</v>
      </c>
      <c r="M37" s="1453" t="e">
        <f t="shared" si="6"/>
        <v>#DIV/0!</v>
      </c>
      <c r="N37" s="1454" t="e">
        <f t="shared" si="7"/>
        <v>#DIV/0!</v>
      </c>
      <c r="P37" s="1444">
        <v>10</v>
      </c>
      <c r="Q37" s="1477">
        <f>TREND(Q26:Q27,P26:P27,P37)</f>
        <v>0</v>
      </c>
      <c r="R37" s="1478">
        <f>TREND(R26:R27,P26:P27,P37)</f>
        <v>0</v>
      </c>
      <c r="S37" s="1494">
        <f t="shared" si="8"/>
        <v>0</v>
      </c>
      <c r="T37" s="1500" t="e">
        <f t="shared" si="9"/>
        <v>#DIV/0!</v>
      </c>
      <c r="U37" s="1476" t="e">
        <f t="shared" si="10"/>
        <v>#DIV/0!</v>
      </c>
      <c r="V37" s="1459" t="e">
        <f t="shared" si="11"/>
        <v>#DIV/0!</v>
      </c>
      <c r="W37" s="1501" t="e">
        <f t="shared" si="12"/>
        <v>#DIV/0!</v>
      </c>
      <c r="X37" s="1502" t="e">
        <f t="shared" si="27"/>
        <v>#DIV/0!</v>
      </c>
      <c r="Y37" s="1503">
        <f t="shared" si="13"/>
        <v>0</v>
      </c>
      <c r="Z37" s="1453" t="e">
        <f t="shared" si="14"/>
        <v>#DIV/0!</v>
      </c>
      <c r="AA37" s="1454" t="e">
        <f t="shared" si="15"/>
        <v>#DIV/0!</v>
      </c>
      <c r="AC37" s="1444">
        <v>10</v>
      </c>
      <c r="AD37" s="1463" t="e">
        <f t="shared" si="16"/>
        <v>#DIV/0!</v>
      </c>
      <c r="AE37" s="1463" t="e">
        <f t="shared" si="17"/>
        <v>#DIV/0!</v>
      </c>
      <c r="AF37" s="1463" t="e">
        <f t="shared" si="18"/>
        <v>#DIV/0!</v>
      </c>
      <c r="AG37" s="1463" t="e">
        <f t="shared" si="19"/>
        <v>#DIV/0!</v>
      </c>
      <c r="AH37" s="1463" t="e">
        <f t="shared" si="20"/>
        <v>#DIV/0!</v>
      </c>
      <c r="AI37" s="1463" t="e">
        <f t="shared" si="21"/>
        <v>#DIV/0!</v>
      </c>
      <c r="AJ37" s="1463" t="e">
        <f t="shared" si="22"/>
        <v>#DIV/0!</v>
      </c>
      <c r="AK37" s="1463" t="e">
        <f t="shared" si="23"/>
        <v>#DIV/0!</v>
      </c>
      <c r="AL37" s="1463" t="e">
        <f t="shared" si="24"/>
        <v>#DIV/0!</v>
      </c>
      <c r="AM37" s="1454" t="e">
        <f t="shared" si="25"/>
        <v>#DIV/0!</v>
      </c>
      <c r="AN37" s="1464"/>
      <c r="AO37" s="1454" t="e">
        <f t="shared" si="26"/>
        <v>#DIV/0!</v>
      </c>
      <c r="AQ37" s="1465"/>
    </row>
    <row r="38" spans="2:43" x14ac:dyDescent="0.25">
      <c r="B38" s="1444">
        <v>11</v>
      </c>
      <c r="C38" s="1477">
        <f>TREND(C26:C27,B26:B27,B38)</f>
        <v>0</v>
      </c>
      <c r="D38" s="1495">
        <f>TREND(D26:D27,B26:B27,B38)</f>
        <v>0</v>
      </c>
      <c r="E38" s="1496">
        <f>TREND(E26:E27,B26:B27,B38)</f>
        <v>55</v>
      </c>
      <c r="F38" s="1497">
        <f>TREND(F26:F27,B26:B27,B38)</f>
        <v>55</v>
      </c>
      <c r="G38" s="1449" t="e">
        <f t="shared" si="0"/>
        <v>#DIV/0!</v>
      </c>
      <c r="H38" s="1450" t="e">
        <f t="shared" si="1"/>
        <v>#DIV/0!</v>
      </c>
      <c r="I38" s="1449" t="e">
        <f t="shared" si="2"/>
        <v>#DIV/0!</v>
      </c>
      <c r="J38" s="1450" t="e">
        <f t="shared" si="3"/>
        <v>#DIV/0!</v>
      </c>
      <c r="K38" s="1498" t="e">
        <f t="shared" si="4"/>
        <v>#DIV/0!</v>
      </c>
      <c r="L38" s="1499">
        <f t="shared" si="5"/>
        <v>0</v>
      </c>
      <c r="M38" s="1453" t="e">
        <f t="shared" si="6"/>
        <v>#DIV/0!</v>
      </c>
      <c r="N38" s="1454" t="e">
        <f t="shared" si="7"/>
        <v>#DIV/0!</v>
      </c>
      <c r="P38" s="1444">
        <v>11</v>
      </c>
      <c r="Q38" s="1477">
        <f>TREND(Q26:Q27,P26:P27,P38)</f>
        <v>0</v>
      </c>
      <c r="R38" s="1478">
        <f>TREND(R26:R27,P26:P27,P38)</f>
        <v>0</v>
      </c>
      <c r="S38" s="1494">
        <f t="shared" si="8"/>
        <v>0</v>
      </c>
      <c r="T38" s="1500" t="e">
        <f t="shared" si="9"/>
        <v>#DIV/0!</v>
      </c>
      <c r="U38" s="1476" t="e">
        <f t="shared" si="10"/>
        <v>#DIV/0!</v>
      </c>
      <c r="V38" s="1459" t="e">
        <f t="shared" si="11"/>
        <v>#DIV/0!</v>
      </c>
      <c r="W38" s="1501" t="e">
        <f t="shared" si="12"/>
        <v>#DIV/0!</v>
      </c>
      <c r="X38" s="1502" t="e">
        <f t="shared" si="27"/>
        <v>#DIV/0!</v>
      </c>
      <c r="Y38" s="1503">
        <f t="shared" si="13"/>
        <v>0</v>
      </c>
      <c r="Z38" s="1453" t="e">
        <f t="shared" si="14"/>
        <v>#DIV/0!</v>
      </c>
      <c r="AA38" s="1454" t="e">
        <f t="shared" si="15"/>
        <v>#DIV/0!</v>
      </c>
      <c r="AC38" s="1444">
        <v>11</v>
      </c>
      <c r="AD38" s="1463" t="e">
        <f t="shared" si="16"/>
        <v>#DIV/0!</v>
      </c>
      <c r="AE38" s="1463" t="e">
        <f t="shared" si="17"/>
        <v>#DIV/0!</v>
      </c>
      <c r="AF38" s="1463" t="e">
        <f t="shared" si="18"/>
        <v>#DIV/0!</v>
      </c>
      <c r="AG38" s="1463" t="e">
        <f t="shared" si="19"/>
        <v>#DIV/0!</v>
      </c>
      <c r="AH38" s="1463" t="e">
        <f t="shared" si="20"/>
        <v>#DIV/0!</v>
      </c>
      <c r="AI38" s="1463" t="e">
        <f t="shared" si="21"/>
        <v>#DIV/0!</v>
      </c>
      <c r="AJ38" s="1463" t="e">
        <f t="shared" si="22"/>
        <v>#DIV/0!</v>
      </c>
      <c r="AK38" s="1463" t="e">
        <f t="shared" si="23"/>
        <v>#DIV/0!</v>
      </c>
      <c r="AL38" s="1463" t="e">
        <f t="shared" si="24"/>
        <v>#DIV/0!</v>
      </c>
      <c r="AM38" s="1454" t="e">
        <f t="shared" si="25"/>
        <v>#DIV/0!</v>
      </c>
      <c r="AN38" s="1464"/>
      <c r="AO38" s="1454" t="e">
        <f t="shared" si="26"/>
        <v>#DIV/0!</v>
      </c>
      <c r="AQ38" s="1465"/>
    </row>
    <row r="39" spans="2:43" x14ac:dyDescent="0.25">
      <c r="B39" s="1444">
        <v>12</v>
      </c>
      <c r="C39" s="1477">
        <f>TREND(C26:C27,B26:B27,B39)</f>
        <v>0</v>
      </c>
      <c r="D39" s="1495">
        <f>TREND(D26:D27,B26:B27,B39)</f>
        <v>0</v>
      </c>
      <c r="E39" s="1496">
        <f>TREND(E26:E27,B26:B27,B39)</f>
        <v>55</v>
      </c>
      <c r="F39" s="1497">
        <f>TREND(F26:F27,B26:B27,B39)</f>
        <v>55</v>
      </c>
      <c r="G39" s="1449" t="e">
        <f t="shared" si="0"/>
        <v>#DIV/0!</v>
      </c>
      <c r="H39" s="1450" t="e">
        <f t="shared" si="1"/>
        <v>#DIV/0!</v>
      </c>
      <c r="I39" s="1449" t="e">
        <f t="shared" si="2"/>
        <v>#DIV/0!</v>
      </c>
      <c r="J39" s="1450" t="e">
        <f t="shared" si="3"/>
        <v>#DIV/0!</v>
      </c>
      <c r="K39" s="1498" t="e">
        <f t="shared" si="4"/>
        <v>#DIV/0!</v>
      </c>
      <c r="L39" s="1499">
        <f t="shared" si="5"/>
        <v>0</v>
      </c>
      <c r="M39" s="1453" t="e">
        <f t="shared" si="6"/>
        <v>#DIV/0!</v>
      </c>
      <c r="N39" s="1454" t="e">
        <f t="shared" si="7"/>
        <v>#DIV/0!</v>
      </c>
      <c r="P39" s="1444">
        <v>12</v>
      </c>
      <c r="Q39" s="1477">
        <f>TREND(Q26:Q27,P26:P27,P39)</f>
        <v>0</v>
      </c>
      <c r="R39" s="1478">
        <f>TREND(R26:R27,P26:P27,P39)</f>
        <v>0</v>
      </c>
      <c r="S39" s="1494">
        <f t="shared" si="8"/>
        <v>0</v>
      </c>
      <c r="T39" s="1500" t="e">
        <f t="shared" si="9"/>
        <v>#DIV/0!</v>
      </c>
      <c r="U39" s="1476" t="e">
        <f t="shared" si="10"/>
        <v>#DIV/0!</v>
      </c>
      <c r="V39" s="1459" t="e">
        <f t="shared" si="11"/>
        <v>#DIV/0!</v>
      </c>
      <c r="W39" s="1501" t="e">
        <f t="shared" si="12"/>
        <v>#DIV/0!</v>
      </c>
      <c r="X39" s="1502" t="e">
        <f t="shared" si="27"/>
        <v>#DIV/0!</v>
      </c>
      <c r="Y39" s="1503">
        <f t="shared" si="13"/>
        <v>0</v>
      </c>
      <c r="Z39" s="1453" t="e">
        <f t="shared" si="14"/>
        <v>#DIV/0!</v>
      </c>
      <c r="AA39" s="1454" t="e">
        <f t="shared" si="15"/>
        <v>#DIV/0!</v>
      </c>
      <c r="AC39" s="1444">
        <v>12</v>
      </c>
      <c r="AD39" s="1463" t="e">
        <f t="shared" si="16"/>
        <v>#DIV/0!</v>
      </c>
      <c r="AE39" s="1463" t="e">
        <f t="shared" si="17"/>
        <v>#DIV/0!</v>
      </c>
      <c r="AF39" s="1463" t="e">
        <f t="shared" si="18"/>
        <v>#DIV/0!</v>
      </c>
      <c r="AG39" s="1463" t="e">
        <f t="shared" si="19"/>
        <v>#DIV/0!</v>
      </c>
      <c r="AH39" s="1463" t="e">
        <f t="shared" si="20"/>
        <v>#DIV/0!</v>
      </c>
      <c r="AI39" s="1463" t="e">
        <f t="shared" si="21"/>
        <v>#DIV/0!</v>
      </c>
      <c r="AJ39" s="1463" t="e">
        <f t="shared" si="22"/>
        <v>#DIV/0!</v>
      </c>
      <c r="AK39" s="1463" t="e">
        <f t="shared" si="23"/>
        <v>#DIV/0!</v>
      </c>
      <c r="AL39" s="1463" t="e">
        <f t="shared" si="24"/>
        <v>#DIV/0!</v>
      </c>
      <c r="AM39" s="1454" t="e">
        <f t="shared" si="25"/>
        <v>#DIV/0!</v>
      </c>
      <c r="AN39" s="1464"/>
      <c r="AO39" s="1454" t="e">
        <f t="shared" si="26"/>
        <v>#DIV/0!</v>
      </c>
      <c r="AQ39" s="1465"/>
    </row>
    <row r="40" spans="2:43" x14ac:dyDescent="0.25">
      <c r="B40" s="1444">
        <v>13</v>
      </c>
      <c r="C40" s="1477">
        <f>TREND(C26:C27,B26:B27,B40)</f>
        <v>0</v>
      </c>
      <c r="D40" s="1495">
        <f>TREND(D26:D27,B26:B27,B40)</f>
        <v>0</v>
      </c>
      <c r="E40" s="1496">
        <f>TREND(E26:E27,B26:B27,B40)</f>
        <v>55</v>
      </c>
      <c r="F40" s="1497">
        <f>TREND(F26:F27,B26:B27,B40)</f>
        <v>55</v>
      </c>
      <c r="G40" s="1449" t="e">
        <f t="shared" si="0"/>
        <v>#DIV/0!</v>
      </c>
      <c r="H40" s="1450" t="e">
        <f t="shared" si="1"/>
        <v>#DIV/0!</v>
      </c>
      <c r="I40" s="1449" t="e">
        <f t="shared" si="2"/>
        <v>#DIV/0!</v>
      </c>
      <c r="J40" s="1450" t="e">
        <f t="shared" si="3"/>
        <v>#DIV/0!</v>
      </c>
      <c r="K40" s="1498" t="e">
        <f t="shared" si="4"/>
        <v>#DIV/0!</v>
      </c>
      <c r="L40" s="1499">
        <f t="shared" si="5"/>
        <v>0</v>
      </c>
      <c r="M40" s="1453" t="e">
        <f t="shared" si="6"/>
        <v>#DIV/0!</v>
      </c>
      <c r="N40" s="1454" t="e">
        <f t="shared" si="7"/>
        <v>#DIV/0!</v>
      </c>
      <c r="P40" s="1444">
        <v>13</v>
      </c>
      <c r="Q40" s="1477">
        <f>TREND(Q26:Q27,P26:P27,P40)</f>
        <v>0</v>
      </c>
      <c r="R40" s="1478">
        <f>TREND(R26:R27,P26:P27,P40)</f>
        <v>0</v>
      </c>
      <c r="S40" s="1494">
        <f t="shared" si="8"/>
        <v>0</v>
      </c>
      <c r="T40" s="1500" t="e">
        <f t="shared" si="9"/>
        <v>#DIV/0!</v>
      </c>
      <c r="U40" s="1476" t="e">
        <f t="shared" si="10"/>
        <v>#DIV/0!</v>
      </c>
      <c r="V40" s="1459" t="e">
        <f t="shared" si="11"/>
        <v>#DIV/0!</v>
      </c>
      <c r="W40" s="1501" t="e">
        <f t="shared" si="12"/>
        <v>#DIV/0!</v>
      </c>
      <c r="X40" s="1502" t="e">
        <f t="shared" si="27"/>
        <v>#DIV/0!</v>
      </c>
      <c r="Y40" s="1503">
        <f t="shared" si="13"/>
        <v>0</v>
      </c>
      <c r="Z40" s="1453" t="e">
        <f t="shared" si="14"/>
        <v>#DIV/0!</v>
      </c>
      <c r="AA40" s="1454" t="e">
        <f t="shared" si="15"/>
        <v>#DIV/0!</v>
      </c>
      <c r="AC40" s="1444">
        <v>13</v>
      </c>
      <c r="AD40" s="1463" t="e">
        <f t="shared" si="16"/>
        <v>#DIV/0!</v>
      </c>
      <c r="AE40" s="1463" t="e">
        <f t="shared" si="17"/>
        <v>#DIV/0!</v>
      </c>
      <c r="AF40" s="1463" t="e">
        <f t="shared" si="18"/>
        <v>#DIV/0!</v>
      </c>
      <c r="AG40" s="1463" t="e">
        <f t="shared" si="19"/>
        <v>#DIV/0!</v>
      </c>
      <c r="AH40" s="1463" t="e">
        <f t="shared" si="20"/>
        <v>#DIV/0!</v>
      </c>
      <c r="AI40" s="1463" t="e">
        <f t="shared" si="21"/>
        <v>#DIV/0!</v>
      </c>
      <c r="AJ40" s="1463" t="e">
        <f t="shared" si="22"/>
        <v>#DIV/0!</v>
      </c>
      <c r="AK40" s="1463" t="e">
        <f t="shared" si="23"/>
        <v>#DIV/0!</v>
      </c>
      <c r="AL40" s="1463" t="e">
        <f t="shared" si="24"/>
        <v>#DIV/0!</v>
      </c>
      <c r="AM40" s="1454" t="e">
        <f t="shared" si="25"/>
        <v>#DIV/0!</v>
      </c>
      <c r="AN40" s="1464"/>
      <c r="AO40" s="1454" t="e">
        <f t="shared" si="26"/>
        <v>#DIV/0!</v>
      </c>
      <c r="AQ40" s="1465"/>
    </row>
    <row r="41" spans="2:43" x14ac:dyDescent="0.25">
      <c r="B41" s="1444">
        <v>14</v>
      </c>
      <c r="C41" s="1477">
        <f>TREND(C26:C27,B26:B27,B41)</f>
        <v>0</v>
      </c>
      <c r="D41" s="1495">
        <f>TREND(D26:D27,B26:B27,B41)</f>
        <v>0</v>
      </c>
      <c r="E41" s="1496">
        <f>TREND(E26:E27,B26:B27,B41)</f>
        <v>55</v>
      </c>
      <c r="F41" s="1497">
        <f>TREND(F26:F27,B26:B27,B41)</f>
        <v>55</v>
      </c>
      <c r="G41" s="1449" t="e">
        <f t="shared" si="0"/>
        <v>#DIV/0!</v>
      </c>
      <c r="H41" s="1450" t="e">
        <f t="shared" si="1"/>
        <v>#DIV/0!</v>
      </c>
      <c r="I41" s="1449" t="e">
        <f t="shared" si="2"/>
        <v>#DIV/0!</v>
      </c>
      <c r="J41" s="1450" t="e">
        <f t="shared" si="3"/>
        <v>#DIV/0!</v>
      </c>
      <c r="K41" s="1498" t="e">
        <f t="shared" si="4"/>
        <v>#DIV/0!</v>
      </c>
      <c r="L41" s="1499">
        <f t="shared" si="5"/>
        <v>0</v>
      </c>
      <c r="M41" s="1453" t="e">
        <f t="shared" si="6"/>
        <v>#DIV/0!</v>
      </c>
      <c r="N41" s="1454" t="e">
        <f t="shared" si="7"/>
        <v>#DIV/0!</v>
      </c>
      <c r="P41" s="1444">
        <v>14</v>
      </c>
      <c r="Q41" s="1477">
        <f>TREND(Q26:Q27,P26:P27,P41)</f>
        <v>0</v>
      </c>
      <c r="R41" s="1478">
        <f>TREND(R26:R27,P26:P27,P41)</f>
        <v>0</v>
      </c>
      <c r="S41" s="1494">
        <f t="shared" si="8"/>
        <v>0</v>
      </c>
      <c r="T41" s="1500" t="e">
        <f t="shared" si="9"/>
        <v>#DIV/0!</v>
      </c>
      <c r="U41" s="1476" t="e">
        <f t="shared" si="10"/>
        <v>#DIV/0!</v>
      </c>
      <c r="V41" s="1459" t="e">
        <f t="shared" si="11"/>
        <v>#DIV/0!</v>
      </c>
      <c r="W41" s="1501" t="e">
        <f t="shared" si="12"/>
        <v>#DIV/0!</v>
      </c>
      <c r="X41" s="1502" t="e">
        <f t="shared" si="27"/>
        <v>#DIV/0!</v>
      </c>
      <c r="Y41" s="1503">
        <f t="shared" si="13"/>
        <v>0</v>
      </c>
      <c r="Z41" s="1453" t="e">
        <f t="shared" si="14"/>
        <v>#DIV/0!</v>
      </c>
      <c r="AA41" s="1454" t="e">
        <f t="shared" si="15"/>
        <v>#DIV/0!</v>
      </c>
      <c r="AC41" s="1444">
        <v>14</v>
      </c>
      <c r="AD41" s="1463" t="e">
        <f t="shared" si="16"/>
        <v>#DIV/0!</v>
      </c>
      <c r="AE41" s="1463" t="e">
        <f t="shared" si="17"/>
        <v>#DIV/0!</v>
      </c>
      <c r="AF41" s="1463" t="e">
        <f t="shared" si="18"/>
        <v>#DIV/0!</v>
      </c>
      <c r="AG41" s="1463" t="e">
        <f t="shared" si="19"/>
        <v>#DIV/0!</v>
      </c>
      <c r="AH41" s="1463" t="e">
        <f t="shared" si="20"/>
        <v>#DIV/0!</v>
      </c>
      <c r="AI41" s="1463" t="e">
        <f t="shared" si="21"/>
        <v>#DIV/0!</v>
      </c>
      <c r="AJ41" s="1463" t="e">
        <f t="shared" si="22"/>
        <v>#DIV/0!</v>
      </c>
      <c r="AK41" s="1463" t="e">
        <f t="shared" si="23"/>
        <v>#DIV/0!</v>
      </c>
      <c r="AL41" s="1463" t="e">
        <f t="shared" si="24"/>
        <v>#DIV/0!</v>
      </c>
      <c r="AM41" s="1454" t="e">
        <f t="shared" si="25"/>
        <v>#DIV/0!</v>
      </c>
      <c r="AN41" s="1464"/>
      <c r="AO41" s="1454" t="e">
        <f t="shared" si="26"/>
        <v>#DIV/0!</v>
      </c>
      <c r="AQ41" s="1465"/>
    </row>
    <row r="42" spans="2:43" x14ac:dyDescent="0.25">
      <c r="B42" s="1444">
        <v>15</v>
      </c>
      <c r="C42" s="1477">
        <f>TREND(C26:C27,B26:B27,B42)</f>
        <v>0</v>
      </c>
      <c r="D42" s="1495">
        <f>TREND(D26:D27,B26:B27,B42)</f>
        <v>0</v>
      </c>
      <c r="E42" s="1496">
        <f>TREND(E26:E27,B26:B27,B42)</f>
        <v>55</v>
      </c>
      <c r="F42" s="1497">
        <f>TREND(F26:F27,B26:B27,B42)</f>
        <v>55</v>
      </c>
      <c r="G42" s="1449" t="e">
        <f t="shared" si="0"/>
        <v>#DIV/0!</v>
      </c>
      <c r="H42" s="1450" t="e">
        <f t="shared" si="1"/>
        <v>#DIV/0!</v>
      </c>
      <c r="I42" s="1449" t="e">
        <f t="shared" si="2"/>
        <v>#DIV/0!</v>
      </c>
      <c r="J42" s="1450" t="e">
        <f t="shared" si="3"/>
        <v>#DIV/0!</v>
      </c>
      <c r="K42" s="1498" t="e">
        <f t="shared" si="4"/>
        <v>#DIV/0!</v>
      </c>
      <c r="L42" s="1499">
        <f t="shared" si="5"/>
        <v>0</v>
      </c>
      <c r="M42" s="1453" t="e">
        <f t="shared" si="6"/>
        <v>#DIV/0!</v>
      </c>
      <c r="N42" s="1454" t="e">
        <f t="shared" si="7"/>
        <v>#DIV/0!</v>
      </c>
      <c r="P42" s="1444">
        <v>15</v>
      </c>
      <c r="Q42" s="1477">
        <f>TREND(Q26:Q27,P26:P27,P42)</f>
        <v>0</v>
      </c>
      <c r="R42" s="1478">
        <f>TREND(R26:R27,P26:P27,P42)</f>
        <v>0</v>
      </c>
      <c r="S42" s="1494">
        <f t="shared" si="8"/>
        <v>0</v>
      </c>
      <c r="T42" s="1500" t="e">
        <f t="shared" si="9"/>
        <v>#DIV/0!</v>
      </c>
      <c r="U42" s="1476" t="e">
        <f t="shared" si="10"/>
        <v>#DIV/0!</v>
      </c>
      <c r="V42" s="1459" t="e">
        <f t="shared" si="11"/>
        <v>#DIV/0!</v>
      </c>
      <c r="W42" s="1501" t="e">
        <f t="shared" si="12"/>
        <v>#DIV/0!</v>
      </c>
      <c r="X42" s="1502" t="e">
        <f t="shared" si="27"/>
        <v>#DIV/0!</v>
      </c>
      <c r="Y42" s="1503">
        <f t="shared" si="13"/>
        <v>0</v>
      </c>
      <c r="Z42" s="1453" t="e">
        <f t="shared" si="14"/>
        <v>#DIV/0!</v>
      </c>
      <c r="AA42" s="1454" t="e">
        <f t="shared" si="15"/>
        <v>#DIV/0!</v>
      </c>
      <c r="AC42" s="1444">
        <v>15</v>
      </c>
      <c r="AD42" s="1463" t="e">
        <f t="shared" si="16"/>
        <v>#DIV/0!</v>
      </c>
      <c r="AE42" s="1463" t="e">
        <f t="shared" si="17"/>
        <v>#DIV/0!</v>
      </c>
      <c r="AF42" s="1463" t="e">
        <f t="shared" si="18"/>
        <v>#DIV/0!</v>
      </c>
      <c r="AG42" s="1463" t="e">
        <f t="shared" si="19"/>
        <v>#DIV/0!</v>
      </c>
      <c r="AH42" s="1463" t="e">
        <f t="shared" si="20"/>
        <v>#DIV/0!</v>
      </c>
      <c r="AI42" s="1463" t="e">
        <f t="shared" si="21"/>
        <v>#DIV/0!</v>
      </c>
      <c r="AJ42" s="1463" t="e">
        <f t="shared" si="22"/>
        <v>#DIV/0!</v>
      </c>
      <c r="AK42" s="1463" t="e">
        <f t="shared" si="23"/>
        <v>#DIV/0!</v>
      </c>
      <c r="AL42" s="1463" t="e">
        <f t="shared" si="24"/>
        <v>#DIV/0!</v>
      </c>
      <c r="AM42" s="1454" t="e">
        <f t="shared" si="25"/>
        <v>#DIV/0!</v>
      </c>
      <c r="AN42" s="1464"/>
      <c r="AO42" s="1454" t="e">
        <f t="shared" si="26"/>
        <v>#DIV/0!</v>
      </c>
      <c r="AQ42" s="1465"/>
    </row>
    <row r="43" spans="2:43" x14ac:dyDescent="0.25">
      <c r="B43" s="1444">
        <v>16</v>
      </c>
      <c r="C43" s="1477">
        <f>TREND(C26:C27,B26:B27,B43)</f>
        <v>0</v>
      </c>
      <c r="D43" s="1495">
        <f>TREND(D26:D27,B26:B27,B43)</f>
        <v>0</v>
      </c>
      <c r="E43" s="1496">
        <f>TREND(E26:E27,B26:B27,B43)</f>
        <v>55</v>
      </c>
      <c r="F43" s="1497">
        <f>TREND(F26:F27,B26:B27,B43)</f>
        <v>55</v>
      </c>
      <c r="G43" s="1449" t="e">
        <f t="shared" si="0"/>
        <v>#DIV/0!</v>
      </c>
      <c r="H43" s="1450" t="e">
        <f t="shared" si="1"/>
        <v>#DIV/0!</v>
      </c>
      <c r="I43" s="1449" t="e">
        <f t="shared" si="2"/>
        <v>#DIV/0!</v>
      </c>
      <c r="J43" s="1450" t="e">
        <f t="shared" si="3"/>
        <v>#DIV/0!</v>
      </c>
      <c r="K43" s="1498" t="e">
        <f t="shared" si="4"/>
        <v>#DIV/0!</v>
      </c>
      <c r="L43" s="1499">
        <f t="shared" si="5"/>
        <v>0</v>
      </c>
      <c r="M43" s="1453" t="e">
        <f t="shared" si="6"/>
        <v>#DIV/0!</v>
      </c>
      <c r="N43" s="1454" t="e">
        <f t="shared" si="7"/>
        <v>#DIV/0!</v>
      </c>
      <c r="P43" s="1444">
        <v>16</v>
      </c>
      <c r="Q43" s="1477">
        <f>TREND(Q26:Q27,P26:P27,P43)</f>
        <v>0</v>
      </c>
      <c r="R43" s="1478">
        <f>TREND(R26:R27,P26:P27,P43)</f>
        <v>0</v>
      </c>
      <c r="S43" s="1494">
        <f t="shared" si="8"/>
        <v>0</v>
      </c>
      <c r="T43" s="1500" t="e">
        <f t="shared" si="9"/>
        <v>#DIV/0!</v>
      </c>
      <c r="U43" s="1476" t="e">
        <f t="shared" si="10"/>
        <v>#DIV/0!</v>
      </c>
      <c r="V43" s="1459" t="e">
        <f t="shared" si="11"/>
        <v>#DIV/0!</v>
      </c>
      <c r="W43" s="1501" t="e">
        <f t="shared" si="12"/>
        <v>#DIV/0!</v>
      </c>
      <c r="X43" s="1502" t="e">
        <f t="shared" si="27"/>
        <v>#DIV/0!</v>
      </c>
      <c r="Y43" s="1503">
        <f t="shared" si="13"/>
        <v>0</v>
      </c>
      <c r="Z43" s="1453" t="e">
        <f t="shared" si="14"/>
        <v>#DIV/0!</v>
      </c>
      <c r="AA43" s="1454" t="e">
        <f t="shared" si="15"/>
        <v>#DIV/0!</v>
      </c>
      <c r="AC43" s="1444">
        <v>16</v>
      </c>
      <c r="AD43" s="1463" t="e">
        <f t="shared" si="16"/>
        <v>#DIV/0!</v>
      </c>
      <c r="AE43" s="1463" t="e">
        <f t="shared" si="17"/>
        <v>#DIV/0!</v>
      </c>
      <c r="AF43" s="1463" t="e">
        <f t="shared" si="18"/>
        <v>#DIV/0!</v>
      </c>
      <c r="AG43" s="1463" t="e">
        <f t="shared" si="19"/>
        <v>#DIV/0!</v>
      </c>
      <c r="AH43" s="1463" t="e">
        <f t="shared" si="20"/>
        <v>#DIV/0!</v>
      </c>
      <c r="AI43" s="1463" t="e">
        <f t="shared" si="21"/>
        <v>#DIV/0!</v>
      </c>
      <c r="AJ43" s="1463" t="e">
        <f t="shared" si="22"/>
        <v>#DIV/0!</v>
      </c>
      <c r="AK43" s="1463" t="e">
        <f t="shared" si="23"/>
        <v>#DIV/0!</v>
      </c>
      <c r="AL43" s="1463" t="e">
        <f t="shared" si="24"/>
        <v>#DIV/0!</v>
      </c>
      <c r="AM43" s="1454" t="e">
        <f t="shared" si="25"/>
        <v>#DIV/0!</v>
      </c>
      <c r="AN43" s="1464"/>
      <c r="AO43" s="1454" t="e">
        <f t="shared" si="26"/>
        <v>#DIV/0!</v>
      </c>
      <c r="AQ43" s="1465"/>
    </row>
    <row r="44" spans="2:43" x14ac:dyDescent="0.25">
      <c r="B44" s="1444">
        <v>17</v>
      </c>
      <c r="C44" s="1477">
        <f>TREND(C26:C27,B26:B27,B44)</f>
        <v>0</v>
      </c>
      <c r="D44" s="1495">
        <f>TREND(D26:D27,B26:B27,B44)</f>
        <v>0</v>
      </c>
      <c r="E44" s="1496">
        <f>TREND(E26:E27,B26:B27,B44)</f>
        <v>55</v>
      </c>
      <c r="F44" s="1497">
        <f>TREND(F26:F27,B26:B27,B44)</f>
        <v>55</v>
      </c>
      <c r="G44" s="1449" t="e">
        <f t="shared" si="0"/>
        <v>#DIV/0!</v>
      </c>
      <c r="H44" s="1450" t="e">
        <f t="shared" si="1"/>
        <v>#DIV/0!</v>
      </c>
      <c r="I44" s="1449" t="e">
        <f t="shared" si="2"/>
        <v>#DIV/0!</v>
      </c>
      <c r="J44" s="1450" t="e">
        <f t="shared" si="3"/>
        <v>#DIV/0!</v>
      </c>
      <c r="K44" s="1498" t="e">
        <f t="shared" si="4"/>
        <v>#DIV/0!</v>
      </c>
      <c r="L44" s="1499">
        <f t="shared" si="5"/>
        <v>0</v>
      </c>
      <c r="M44" s="1453" t="e">
        <f t="shared" si="6"/>
        <v>#DIV/0!</v>
      </c>
      <c r="N44" s="1454" t="e">
        <f t="shared" si="7"/>
        <v>#DIV/0!</v>
      </c>
      <c r="P44" s="1444">
        <v>17</v>
      </c>
      <c r="Q44" s="1477">
        <f>TREND(Q26:Q27,P26:P27,P44)</f>
        <v>0</v>
      </c>
      <c r="R44" s="1478">
        <f>TREND(R26:R27,P26:P27,P44)</f>
        <v>0</v>
      </c>
      <c r="S44" s="1494">
        <f t="shared" si="8"/>
        <v>0</v>
      </c>
      <c r="T44" s="1500" t="e">
        <f t="shared" si="9"/>
        <v>#DIV/0!</v>
      </c>
      <c r="U44" s="1476" t="e">
        <f t="shared" si="10"/>
        <v>#DIV/0!</v>
      </c>
      <c r="V44" s="1459" t="e">
        <f t="shared" si="11"/>
        <v>#DIV/0!</v>
      </c>
      <c r="W44" s="1501" t="e">
        <f t="shared" si="12"/>
        <v>#DIV/0!</v>
      </c>
      <c r="X44" s="1502" t="e">
        <f t="shared" si="27"/>
        <v>#DIV/0!</v>
      </c>
      <c r="Y44" s="1503">
        <f t="shared" si="13"/>
        <v>0</v>
      </c>
      <c r="Z44" s="1453" t="e">
        <f t="shared" si="14"/>
        <v>#DIV/0!</v>
      </c>
      <c r="AA44" s="1454" t="e">
        <f t="shared" si="15"/>
        <v>#DIV/0!</v>
      </c>
      <c r="AC44" s="1444">
        <v>17</v>
      </c>
      <c r="AD44" s="1463" t="e">
        <f t="shared" si="16"/>
        <v>#DIV/0!</v>
      </c>
      <c r="AE44" s="1463" t="e">
        <f t="shared" si="17"/>
        <v>#DIV/0!</v>
      </c>
      <c r="AF44" s="1463" t="e">
        <f t="shared" si="18"/>
        <v>#DIV/0!</v>
      </c>
      <c r="AG44" s="1463" t="e">
        <f t="shared" si="19"/>
        <v>#DIV/0!</v>
      </c>
      <c r="AH44" s="1463" t="e">
        <f t="shared" si="20"/>
        <v>#DIV/0!</v>
      </c>
      <c r="AI44" s="1463" t="e">
        <f t="shared" si="21"/>
        <v>#DIV/0!</v>
      </c>
      <c r="AJ44" s="1463" t="e">
        <f t="shared" si="22"/>
        <v>#DIV/0!</v>
      </c>
      <c r="AK44" s="1463" t="e">
        <f t="shared" si="23"/>
        <v>#DIV/0!</v>
      </c>
      <c r="AL44" s="1463" t="e">
        <f t="shared" si="24"/>
        <v>#DIV/0!</v>
      </c>
      <c r="AM44" s="1454" t="e">
        <f t="shared" si="25"/>
        <v>#DIV/0!</v>
      </c>
      <c r="AN44" s="1464"/>
      <c r="AO44" s="1454" t="e">
        <f t="shared" si="26"/>
        <v>#DIV/0!</v>
      </c>
      <c r="AQ44" s="1465"/>
    </row>
    <row r="45" spans="2:43" x14ac:dyDescent="0.25">
      <c r="B45" s="1444">
        <v>18</v>
      </c>
      <c r="C45" s="1477">
        <f>TREND(C26:C27,B26:B27,B45)</f>
        <v>0</v>
      </c>
      <c r="D45" s="1495">
        <f>TREND(D26:D27,B26:B27,B45)</f>
        <v>0</v>
      </c>
      <c r="E45" s="1496">
        <f>TREND(E26:E27,B26:B27,B45)</f>
        <v>55</v>
      </c>
      <c r="F45" s="1497">
        <f>TREND(F26:F27,B26:B27,B45)</f>
        <v>55</v>
      </c>
      <c r="G45" s="1449" t="e">
        <f t="shared" si="0"/>
        <v>#DIV/0!</v>
      </c>
      <c r="H45" s="1450" t="e">
        <f t="shared" si="1"/>
        <v>#DIV/0!</v>
      </c>
      <c r="I45" s="1449" t="e">
        <f t="shared" si="2"/>
        <v>#DIV/0!</v>
      </c>
      <c r="J45" s="1450" t="e">
        <f t="shared" si="3"/>
        <v>#DIV/0!</v>
      </c>
      <c r="K45" s="1498" t="e">
        <f t="shared" si="4"/>
        <v>#DIV/0!</v>
      </c>
      <c r="L45" s="1499">
        <f t="shared" si="5"/>
        <v>0</v>
      </c>
      <c r="M45" s="1453" t="e">
        <f t="shared" si="6"/>
        <v>#DIV/0!</v>
      </c>
      <c r="N45" s="1454" t="e">
        <f t="shared" si="7"/>
        <v>#DIV/0!</v>
      </c>
      <c r="P45" s="1444">
        <v>18</v>
      </c>
      <c r="Q45" s="1477">
        <f>TREND(Q26:Q27,P26:P27,P45)</f>
        <v>0</v>
      </c>
      <c r="R45" s="1478">
        <f>TREND(R26:R27,P26:P27,P45)</f>
        <v>0</v>
      </c>
      <c r="S45" s="1494">
        <f t="shared" si="8"/>
        <v>0</v>
      </c>
      <c r="T45" s="1500" t="e">
        <f t="shared" si="9"/>
        <v>#DIV/0!</v>
      </c>
      <c r="U45" s="1476" t="e">
        <f t="shared" si="10"/>
        <v>#DIV/0!</v>
      </c>
      <c r="V45" s="1459" t="e">
        <f t="shared" si="11"/>
        <v>#DIV/0!</v>
      </c>
      <c r="W45" s="1501" t="e">
        <f t="shared" si="12"/>
        <v>#DIV/0!</v>
      </c>
      <c r="X45" s="1502" t="e">
        <f t="shared" si="27"/>
        <v>#DIV/0!</v>
      </c>
      <c r="Y45" s="1503">
        <f t="shared" si="13"/>
        <v>0</v>
      </c>
      <c r="Z45" s="1453" t="e">
        <f t="shared" si="14"/>
        <v>#DIV/0!</v>
      </c>
      <c r="AA45" s="1454" t="e">
        <f t="shared" si="15"/>
        <v>#DIV/0!</v>
      </c>
      <c r="AC45" s="1444">
        <v>18</v>
      </c>
      <c r="AD45" s="1463" t="e">
        <f t="shared" si="16"/>
        <v>#DIV/0!</v>
      </c>
      <c r="AE45" s="1463" t="e">
        <f t="shared" si="17"/>
        <v>#DIV/0!</v>
      </c>
      <c r="AF45" s="1463" t="e">
        <f t="shared" si="18"/>
        <v>#DIV/0!</v>
      </c>
      <c r="AG45" s="1463" t="e">
        <f t="shared" si="19"/>
        <v>#DIV/0!</v>
      </c>
      <c r="AH45" s="1463" t="e">
        <f t="shared" si="20"/>
        <v>#DIV/0!</v>
      </c>
      <c r="AI45" s="1463" t="e">
        <f t="shared" si="21"/>
        <v>#DIV/0!</v>
      </c>
      <c r="AJ45" s="1463" t="e">
        <f t="shared" si="22"/>
        <v>#DIV/0!</v>
      </c>
      <c r="AK45" s="1463" t="e">
        <f t="shared" si="23"/>
        <v>#DIV/0!</v>
      </c>
      <c r="AL45" s="1463" t="e">
        <f t="shared" si="24"/>
        <v>#DIV/0!</v>
      </c>
      <c r="AM45" s="1454" t="e">
        <f t="shared" si="25"/>
        <v>#DIV/0!</v>
      </c>
      <c r="AN45" s="1464"/>
      <c r="AO45" s="1454" t="e">
        <f t="shared" si="26"/>
        <v>#DIV/0!</v>
      </c>
      <c r="AQ45" s="1465"/>
    </row>
    <row r="46" spans="2:43" x14ac:dyDescent="0.25">
      <c r="B46" s="1504">
        <v>19</v>
      </c>
      <c r="C46" s="1505">
        <f>TREND(C26:C27,B26:B27,B46)</f>
        <v>0</v>
      </c>
      <c r="D46" s="1506">
        <f>TREND(D26:D27,B26:B27,B46)</f>
        <v>0</v>
      </c>
      <c r="E46" s="1507">
        <f>TREND(E26:E27,B26:B27,B46)</f>
        <v>55</v>
      </c>
      <c r="F46" s="1508">
        <f>TREND(F26:F27,B26:B27,B46)</f>
        <v>55</v>
      </c>
      <c r="G46" s="1449" t="e">
        <f t="shared" si="0"/>
        <v>#DIV/0!</v>
      </c>
      <c r="H46" s="1450" t="e">
        <f t="shared" si="1"/>
        <v>#DIV/0!</v>
      </c>
      <c r="I46" s="1449" t="e">
        <f t="shared" si="2"/>
        <v>#DIV/0!</v>
      </c>
      <c r="J46" s="1450" t="e">
        <f t="shared" si="3"/>
        <v>#DIV/0!</v>
      </c>
      <c r="K46" s="1471" t="e">
        <f t="shared" si="4"/>
        <v>#DIV/0!</v>
      </c>
      <c r="L46" s="1499">
        <f t="shared" si="5"/>
        <v>0</v>
      </c>
      <c r="M46" s="1453" t="e">
        <f t="shared" si="6"/>
        <v>#DIV/0!</v>
      </c>
      <c r="N46" s="1454" t="e">
        <f t="shared" si="7"/>
        <v>#DIV/0!</v>
      </c>
      <c r="P46" s="1504">
        <v>19</v>
      </c>
      <c r="Q46" s="1505">
        <f>TREND(Q26:Q27,P26:P27,P46)</f>
        <v>0</v>
      </c>
      <c r="R46" s="1509">
        <f>TREND(R26:R27,P26:P27,P46)</f>
        <v>0</v>
      </c>
      <c r="S46" s="1494">
        <f t="shared" si="8"/>
        <v>0</v>
      </c>
      <c r="T46" s="1510" t="e">
        <f t="shared" si="9"/>
        <v>#DIV/0!</v>
      </c>
      <c r="U46" s="1511" t="e">
        <f t="shared" si="10"/>
        <v>#DIV/0!</v>
      </c>
      <c r="V46" s="1459" t="e">
        <f t="shared" si="11"/>
        <v>#DIV/0!</v>
      </c>
      <c r="W46" s="1512" t="e">
        <f t="shared" si="12"/>
        <v>#DIV/0!</v>
      </c>
      <c r="X46" s="1502" t="e">
        <f t="shared" si="27"/>
        <v>#DIV/0!</v>
      </c>
      <c r="Y46" s="1479">
        <f t="shared" si="13"/>
        <v>0</v>
      </c>
      <c r="Z46" s="1453" t="e">
        <f t="shared" si="14"/>
        <v>#DIV/0!</v>
      </c>
      <c r="AA46" s="1454" t="e">
        <f t="shared" si="15"/>
        <v>#DIV/0!</v>
      </c>
      <c r="AC46" s="1504">
        <v>19</v>
      </c>
      <c r="AD46" s="1463" t="e">
        <f t="shared" si="16"/>
        <v>#DIV/0!</v>
      </c>
      <c r="AE46" s="1463" t="e">
        <f t="shared" si="17"/>
        <v>#DIV/0!</v>
      </c>
      <c r="AF46" s="1463" t="e">
        <f t="shared" si="18"/>
        <v>#DIV/0!</v>
      </c>
      <c r="AG46" s="1463" t="e">
        <f t="shared" si="19"/>
        <v>#DIV/0!</v>
      </c>
      <c r="AH46" s="1463" t="e">
        <f t="shared" si="20"/>
        <v>#DIV/0!</v>
      </c>
      <c r="AI46" s="1463" t="e">
        <f t="shared" si="21"/>
        <v>#DIV/0!</v>
      </c>
      <c r="AJ46" s="1463" t="e">
        <f t="shared" si="22"/>
        <v>#DIV/0!</v>
      </c>
      <c r="AK46" s="1463" t="e">
        <f t="shared" si="23"/>
        <v>#DIV/0!</v>
      </c>
      <c r="AL46" s="1463" t="e">
        <f t="shared" si="24"/>
        <v>#DIV/0!</v>
      </c>
      <c r="AM46" s="1454" t="e">
        <f t="shared" si="25"/>
        <v>#DIV/0!</v>
      </c>
      <c r="AN46" s="1464"/>
      <c r="AO46" s="1454" t="e">
        <f t="shared" si="26"/>
        <v>#DIV/0!</v>
      </c>
      <c r="AQ46" s="1465"/>
    </row>
    <row r="47" spans="2:43" x14ac:dyDescent="0.25">
      <c r="B47" s="1480"/>
      <c r="C47" s="1481"/>
      <c r="D47" s="1481"/>
      <c r="E47" s="1481"/>
      <c r="F47" s="1481"/>
      <c r="G47" s="1481"/>
      <c r="H47" s="1481"/>
      <c r="I47" s="1486"/>
      <c r="J47" s="1486"/>
      <c r="K47" s="1486"/>
      <c r="L47" s="1486"/>
      <c r="M47" s="1486"/>
      <c r="N47" s="1487"/>
      <c r="P47" s="1480"/>
      <c r="Q47" s="1481"/>
      <c r="R47" s="1481"/>
      <c r="S47" s="1481"/>
      <c r="T47" s="1481"/>
      <c r="U47" s="1481"/>
      <c r="V47" s="1481"/>
      <c r="W47" s="1486"/>
      <c r="X47" s="1486"/>
      <c r="Y47" s="1486"/>
      <c r="Z47" s="1486"/>
      <c r="AA47" s="1487"/>
      <c r="AC47" s="1480"/>
      <c r="AD47" s="1487"/>
      <c r="AE47" s="1487"/>
      <c r="AF47" s="1487"/>
      <c r="AG47" s="1487"/>
      <c r="AH47" s="1487"/>
      <c r="AI47" s="1487"/>
      <c r="AJ47" s="1487"/>
      <c r="AK47" s="1487"/>
      <c r="AL47" s="1487"/>
      <c r="AM47" s="1487"/>
      <c r="AN47" s="1489"/>
      <c r="AO47" s="1487"/>
      <c r="AQ47" s="1489"/>
    </row>
    <row r="48" spans="2:43" ht="13" x14ac:dyDescent="0.25">
      <c r="B48" s="329" t="s">
        <v>172</v>
      </c>
      <c r="C48" s="1513"/>
      <c r="D48" s="1514"/>
      <c r="E48" s="1514"/>
      <c r="F48" s="1514"/>
      <c r="G48" s="1514"/>
      <c r="H48" s="1514"/>
      <c r="I48" s="1514"/>
      <c r="J48" s="1514"/>
      <c r="K48" s="1514"/>
      <c r="L48" s="1514"/>
      <c r="M48" s="1514"/>
      <c r="N48" s="342" t="e">
        <f>SUM(N26:N46)</f>
        <v>#DIV/0!</v>
      </c>
      <c r="P48" s="329" t="s">
        <v>172</v>
      </c>
      <c r="Q48" s="1513"/>
      <c r="R48" s="1514"/>
      <c r="S48" s="1514"/>
      <c r="T48" s="1514"/>
      <c r="U48" s="1514"/>
      <c r="V48" s="1514"/>
      <c r="W48" s="1514"/>
      <c r="X48" s="1514"/>
      <c r="Y48" s="1515"/>
      <c r="Z48" s="1514"/>
      <c r="AA48" s="342" t="e">
        <f>SUM(AA26:AA46)</f>
        <v>#DIV/0!</v>
      </c>
      <c r="AC48" s="329" t="s">
        <v>172</v>
      </c>
      <c r="AD48" s="479" t="e">
        <f>SUM(AD26:AD46)</f>
        <v>#DIV/0!</v>
      </c>
      <c r="AE48" s="479" t="e">
        <f t="shared" ref="AE48:AM48" si="28">SUM(AE26:AE46)</f>
        <v>#DIV/0!</v>
      </c>
      <c r="AF48" s="479" t="e">
        <f t="shared" si="28"/>
        <v>#DIV/0!</v>
      </c>
      <c r="AG48" s="479" t="e">
        <f t="shared" si="28"/>
        <v>#DIV/0!</v>
      </c>
      <c r="AH48" s="479" t="e">
        <f t="shared" si="28"/>
        <v>#DIV/0!</v>
      </c>
      <c r="AI48" s="479" t="e">
        <f t="shared" si="28"/>
        <v>#DIV/0!</v>
      </c>
      <c r="AJ48" s="479" t="e">
        <f t="shared" si="28"/>
        <v>#DIV/0!</v>
      </c>
      <c r="AK48" s="479" t="e">
        <f t="shared" si="28"/>
        <v>#DIV/0!</v>
      </c>
      <c r="AL48" s="479" t="e">
        <f t="shared" si="28"/>
        <v>#DIV/0!</v>
      </c>
      <c r="AM48" s="342" t="e">
        <f t="shared" si="28"/>
        <v>#DIV/0!</v>
      </c>
      <c r="AN48" s="589"/>
      <c r="AO48" s="342" t="e">
        <f>SUM(AO26:AO46)</f>
        <v>#DIV/0!</v>
      </c>
      <c r="AQ48" s="1516"/>
    </row>
    <row r="49" spans="2:43" x14ac:dyDescent="0.25">
      <c r="B49" s="1386"/>
      <c r="C49" s="1517"/>
      <c r="D49" s="1386"/>
      <c r="E49" s="1386"/>
      <c r="F49" s="1386"/>
      <c r="G49" s="1386"/>
      <c r="H49" s="1386"/>
      <c r="I49" s="1386"/>
      <c r="J49" s="1386"/>
      <c r="K49" s="1386"/>
      <c r="L49" s="1386"/>
      <c r="M49" s="1386"/>
      <c r="N49" s="1386"/>
      <c r="P49" s="1386"/>
      <c r="Q49" s="1517"/>
      <c r="R49" s="1386"/>
      <c r="S49" s="1386"/>
      <c r="T49" s="1386"/>
      <c r="U49" s="1386"/>
      <c r="V49" s="1386"/>
      <c r="W49" s="1386"/>
      <c r="X49" s="1386"/>
      <c r="Y49" s="1386"/>
      <c r="Z49" s="1386"/>
      <c r="AA49" s="1386"/>
    </row>
    <row r="50" spans="2:43" ht="15.5" x14ac:dyDescent="0.35">
      <c r="B50" s="1366"/>
      <c r="C50" s="1366"/>
      <c r="D50" s="1366"/>
      <c r="E50" s="1366"/>
      <c r="F50" s="1366"/>
      <c r="G50" s="1366"/>
      <c r="H50" s="1366"/>
      <c r="J50" s="1366"/>
      <c r="K50" s="1366"/>
      <c r="L50" s="1366"/>
      <c r="M50" s="1366"/>
      <c r="N50" s="1366"/>
      <c r="P50" s="1366"/>
      <c r="Q50" s="1366"/>
      <c r="R50" s="1366"/>
      <c r="S50" s="1366"/>
      <c r="T50" s="1366"/>
      <c r="U50" s="1366"/>
      <c r="V50" s="1366"/>
      <c r="W50" s="1366"/>
      <c r="X50" s="1366"/>
      <c r="Y50" s="1366"/>
      <c r="Z50" s="1366"/>
      <c r="AA50" s="1366"/>
      <c r="AC50" s="1044" t="str">
        <f>IF(Induced="Y","","* Induced Travel Not Counted")</f>
        <v/>
      </c>
      <c r="AO50" s="1518"/>
    </row>
    <row r="51" spans="2:43" ht="13" x14ac:dyDescent="0.25">
      <c r="B51" s="350" t="s">
        <v>252</v>
      </c>
      <c r="C51" s="1386"/>
      <c r="D51" s="1386"/>
      <c r="E51" s="1386"/>
      <c r="F51" s="1386"/>
      <c r="G51" s="1386"/>
      <c r="H51" s="1386"/>
      <c r="I51" s="1422"/>
      <c r="J51" s="1422"/>
      <c r="K51" s="1386"/>
      <c r="L51" s="1422"/>
      <c r="M51" s="1386"/>
      <c r="N51" s="1386"/>
      <c r="P51" s="350" t="s">
        <v>512</v>
      </c>
      <c r="Q51" s="1386"/>
      <c r="R51" s="1386"/>
      <c r="S51" s="1386"/>
      <c r="T51" s="1386"/>
      <c r="U51" s="1386"/>
      <c r="V51" s="1386"/>
      <c r="W51" s="1422"/>
      <c r="X51" s="1422"/>
      <c r="Y51" s="1386"/>
      <c r="Z51" s="1386"/>
      <c r="AA51" s="1386"/>
      <c r="AO51" s="1518"/>
    </row>
    <row r="52" spans="2:43" ht="13" x14ac:dyDescent="0.25">
      <c r="B52" s="1386"/>
      <c r="C52" s="1386"/>
      <c r="D52" s="1427"/>
      <c r="E52" s="1427"/>
      <c r="F52" s="1427"/>
      <c r="G52" s="1427"/>
      <c r="H52" s="1427"/>
      <c r="I52" s="1519"/>
      <c r="J52" s="1386"/>
      <c r="K52" s="90"/>
      <c r="L52" s="1386"/>
      <c r="M52" s="1386"/>
      <c r="N52" s="1425"/>
      <c r="P52" s="1386"/>
      <c r="Q52" s="1386"/>
      <c r="R52" s="1427"/>
      <c r="S52" s="1427"/>
      <c r="T52" s="1427"/>
      <c r="U52" s="1427"/>
      <c r="V52" s="1427"/>
      <c r="W52" s="1386"/>
      <c r="X52" s="1386"/>
      <c r="Y52" s="1386"/>
      <c r="Z52" s="1386"/>
      <c r="AA52" s="1425"/>
      <c r="AK52" s="1520"/>
      <c r="AL52" s="1521"/>
      <c r="AM52" s="1521"/>
      <c r="AN52" s="1522"/>
      <c r="AO52" s="1520"/>
      <c r="AQ52" s="1521"/>
    </row>
    <row r="53" spans="2:43" ht="15.5" x14ac:dyDescent="0.25">
      <c r="B53" s="1428"/>
      <c r="C53" s="320" t="s">
        <v>230</v>
      </c>
      <c r="D53" s="1429"/>
      <c r="E53" s="320" t="s">
        <v>231</v>
      </c>
      <c r="F53" s="1429"/>
      <c r="G53" s="320" t="s">
        <v>808</v>
      </c>
      <c r="H53" s="1430"/>
      <c r="I53" s="335" t="s">
        <v>809</v>
      </c>
      <c r="J53" s="1429"/>
      <c r="K53" s="335" t="s">
        <v>810</v>
      </c>
      <c r="L53" s="321"/>
      <c r="M53" s="322"/>
      <c r="N53" s="1431"/>
      <c r="P53" s="1428"/>
      <c r="Q53" s="320" t="s">
        <v>234</v>
      </c>
      <c r="R53" s="1429"/>
      <c r="S53" s="1430"/>
      <c r="T53" s="335" t="s">
        <v>809</v>
      </c>
      <c r="U53" s="321"/>
      <c r="V53" s="646"/>
      <c r="W53" s="437" t="s">
        <v>811</v>
      </c>
      <c r="X53" s="320"/>
      <c r="Y53" s="438"/>
      <c r="Z53" s="322"/>
      <c r="AA53" s="1431"/>
      <c r="AK53" s="1386"/>
      <c r="AL53" s="1520"/>
      <c r="AM53" s="1520"/>
      <c r="AN53" s="1520"/>
      <c r="AO53" s="1520"/>
      <c r="AQ53" s="1520"/>
    </row>
    <row r="54" spans="2:43" ht="15.5" x14ac:dyDescent="0.25">
      <c r="B54" s="1434"/>
      <c r="C54" s="1435" t="s">
        <v>812</v>
      </c>
      <c r="D54" s="362"/>
      <c r="E54" s="1435" t="s">
        <v>238</v>
      </c>
      <c r="F54" s="362"/>
      <c r="G54" s="1435" t="s">
        <v>813</v>
      </c>
      <c r="H54" s="1436"/>
      <c r="I54" s="1437" t="s">
        <v>814</v>
      </c>
      <c r="J54" s="362"/>
      <c r="K54" s="336" t="s">
        <v>552</v>
      </c>
      <c r="L54" s="288"/>
      <c r="M54" s="1438"/>
      <c r="N54" s="1439"/>
      <c r="P54" s="1434"/>
      <c r="Q54" s="1435" t="s">
        <v>240</v>
      </c>
      <c r="R54" s="362"/>
      <c r="S54" s="1436"/>
      <c r="T54" s="336" t="s">
        <v>815</v>
      </c>
      <c r="U54" s="288"/>
      <c r="V54" s="1435"/>
      <c r="W54" s="439" t="s">
        <v>552</v>
      </c>
      <c r="X54" s="1435"/>
      <c r="Y54" s="440"/>
      <c r="Z54" s="1438"/>
      <c r="AA54" s="1439"/>
    </row>
    <row r="55" spans="2:43" ht="14" x14ac:dyDescent="0.25">
      <c r="B55" s="169" t="s">
        <v>135</v>
      </c>
      <c r="C55" s="1441"/>
      <c r="D55" s="283"/>
      <c r="E55" s="1441"/>
      <c r="F55" s="283"/>
      <c r="G55" s="1441"/>
      <c r="H55" s="283"/>
      <c r="I55" s="1435" t="s">
        <v>818</v>
      </c>
      <c r="J55" s="362"/>
      <c r="K55" s="1441" t="s">
        <v>151</v>
      </c>
      <c r="L55" s="283" t="s">
        <v>152</v>
      </c>
      <c r="M55" s="286" t="s">
        <v>242</v>
      </c>
      <c r="N55" s="345" t="s">
        <v>139</v>
      </c>
      <c r="P55" s="169" t="s">
        <v>135</v>
      </c>
      <c r="Q55" s="432"/>
      <c r="R55" s="647"/>
      <c r="S55" s="283" t="s">
        <v>243</v>
      </c>
      <c r="T55" s="432"/>
      <c r="U55" s="647"/>
      <c r="V55" s="283" t="s">
        <v>151</v>
      </c>
      <c r="W55" s="432" t="s">
        <v>151</v>
      </c>
      <c r="X55" s="1441" t="s">
        <v>243</v>
      </c>
      <c r="Y55" s="283" t="s">
        <v>152</v>
      </c>
      <c r="Z55" s="286" t="s">
        <v>242</v>
      </c>
      <c r="AA55" s="345" t="s">
        <v>139</v>
      </c>
    </row>
    <row r="56" spans="2:43" ht="14" x14ac:dyDescent="0.25">
      <c r="B56" s="319"/>
      <c r="C56" s="324" t="s">
        <v>0</v>
      </c>
      <c r="D56" s="325" t="s">
        <v>1</v>
      </c>
      <c r="E56" s="324" t="s">
        <v>0</v>
      </c>
      <c r="F56" s="325" t="s">
        <v>1</v>
      </c>
      <c r="G56" s="324" t="s">
        <v>0</v>
      </c>
      <c r="H56" s="325" t="s">
        <v>1</v>
      </c>
      <c r="I56" s="324" t="s">
        <v>0</v>
      </c>
      <c r="J56" s="325" t="s">
        <v>1</v>
      </c>
      <c r="K56" s="324" t="s">
        <v>244</v>
      </c>
      <c r="L56" s="325" t="s">
        <v>245</v>
      </c>
      <c r="M56" s="326" t="s">
        <v>148</v>
      </c>
      <c r="N56" s="346" t="s">
        <v>149</v>
      </c>
      <c r="P56" s="319"/>
      <c r="Q56" s="441" t="s">
        <v>0</v>
      </c>
      <c r="R56" s="648" t="s">
        <v>1</v>
      </c>
      <c r="S56" s="325" t="s">
        <v>246</v>
      </c>
      <c r="T56" s="441" t="s">
        <v>0</v>
      </c>
      <c r="U56" s="648" t="s">
        <v>1</v>
      </c>
      <c r="V56" s="325" t="s">
        <v>129</v>
      </c>
      <c r="W56" s="441" t="s">
        <v>244</v>
      </c>
      <c r="X56" s="324" t="s">
        <v>246</v>
      </c>
      <c r="Y56" s="325" t="s">
        <v>245</v>
      </c>
      <c r="Z56" s="326" t="s">
        <v>148</v>
      </c>
      <c r="AA56" s="346" t="s">
        <v>149</v>
      </c>
    </row>
    <row r="57" spans="2:43" x14ac:dyDescent="0.25">
      <c r="B57" s="1444">
        <v>1</v>
      </c>
      <c r="C57" s="1445">
        <f>PNV1NB</f>
        <v>0</v>
      </c>
      <c r="D57" s="1446">
        <f>PNV1B</f>
        <v>0</v>
      </c>
      <c r="E57" s="1447">
        <f>PNS1NB</f>
        <v>55</v>
      </c>
      <c r="F57" s="1448">
        <f>PNS1B</f>
        <v>55</v>
      </c>
      <c r="G57" s="1449" t="e">
        <f>MAX(1/E57-1/FFSpeedNB, 0)</f>
        <v>#DIV/0!</v>
      </c>
      <c r="H57" s="1450" t="e">
        <f>MAX(1/F57-1/FFSpeedB, 0)</f>
        <v>#DIV/0!</v>
      </c>
      <c r="I57" s="1449" t="e">
        <f>AlphaSTD*MAX(AlphaTTI*(1+FFSpeedNB*G57)^BetaTTI-1,0)^BetaSTD*ImpactedNB/FFSpeedNB*PNRAdj</f>
        <v>#DIV/0!</v>
      </c>
      <c r="J57" s="1450" t="e">
        <f>AlphaSTD*MAX(AlphaTTI*(1+FFSpeedB*H57)^BetaTTI-1,0)^BetaSTD*ImpactedB/FFSpeedB*PNRAdj</f>
        <v>#DIV/0!</v>
      </c>
      <c r="K57" s="1451" t="e">
        <f>IF(OR(TruckLane,Bypass,HOV2to3,HOTConv,OnRamp,RM,AM,IM,TI), C57*AVOPeakNB*I57-D57*AVOPeakB*J57, MIN(C57*AVOPeakNB,D57*AVOPeakB)*(I57-J57))*AnnualFactor</f>
        <v>#DIV/0!</v>
      </c>
      <c r="L57" s="1452">
        <f>IF(AND(D57*AVOPeakB&gt;C57*AVOPeakNB, NOT(OR(TruckLane,Bypass,HOV2to3,HOTConv,OnRamp,RM,AM,IM,TI)),Induced="Y"), (D57*AVOPeakB-C57*AVOPeakNB)*(I57-J57)*0.5*AnnualFactor, 0)</f>
        <v>0</v>
      </c>
      <c r="M57" s="1453" t="e">
        <f>(K57+L57)*ValTimeAuto*ValRelAuto*IF(IM,ValTimeIMFactor,1)*(1+TTUprater)^($B57+Construct-1)</f>
        <v>#DIV/0!</v>
      </c>
      <c r="N57" s="1454" t="e">
        <f>$M57/(1+DiscRate)^($B57+Construct-1)</f>
        <v>#DIV/0!</v>
      </c>
      <c r="P57" s="1444">
        <v>1</v>
      </c>
      <c r="Q57" s="1523">
        <f>TAPT1NB*(1-TPerPeak)</f>
        <v>0</v>
      </c>
      <c r="R57" s="1524">
        <f>TAPT1B*(1-TPerPeak)</f>
        <v>0</v>
      </c>
      <c r="S57" s="1456">
        <f>TPerHwy*(R57-Q57)</f>
        <v>0</v>
      </c>
      <c r="T57" s="1457" t="e">
        <f>IF(Exclusive="Y", 0, TInTimeNBN/60*I150/(ImpactedNB/FFSpeedNB))</f>
        <v>#DIV/0!</v>
      </c>
      <c r="U57" s="1458" t="e">
        <f>IF(Exclusive="Y", 0, TInTimeBN/60*J150/(ImpactedB/FFSpeedB))</f>
        <v>#DIV/0!</v>
      </c>
      <c r="V57" s="1459" t="e">
        <f>I150</f>
        <v>#DIV/0!</v>
      </c>
      <c r="W57" s="1525" t="e">
        <f>MIN(Q57:R57)*(T57-U57)</f>
        <v>#DIV/0!</v>
      </c>
      <c r="X57" s="1461" t="e">
        <f>S57*MAX(V57-U57,0)</f>
        <v>#DIV/0!</v>
      </c>
      <c r="Y57" s="1462">
        <f>IF(AND(R57&gt;Q57,Induced="Y"),(T57-U57)*(R57-Q57-S57)*0.5,0)</f>
        <v>0</v>
      </c>
      <c r="Z57" s="1453" t="e">
        <f>SUM(W57:Y57)*ValTimeTransit*ValRelAuto*(1+TTUprater)^($P57+Construct-1)</f>
        <v>#DIV/0!</v>
      </c>
      <c r="AA57" s="1454" t="e">
        <f>$Z57/(1+DiscRate)^($P57+Construct-1)</f>
        <v>#DIV/0!</v>
      </c>
    </row>
    <row r="58" spans="2:43" x14ac:dyDescent="0.25">
      <c r="B58" s="1466">
        <v>20</v>
      </c>
      <c r="C58" s="1467">
        <f>PNV20NB</f>
        <v>0</v>
      </c>
      <c r="D58" s="1468">
        <f>PNV20B</f>
        <v>0</v>
      </c>
      <c r="E58" s="1469">
        <f>PNS20NB</f>
        <v>55</v>
      </c>
      <c r="F58" s="1470">
        <f>PNS20B</f>
        <v>55</v>
      </c>
      <c r="G58" s="1449" t="e">
        <f>MAX(1/E58-1/FFSpeedNB, 0)</f>
        <v>#DIV/0!</v>
      </c>
      <c r="H58" s="1450" t="e">
        <f>MAX(1/F58-1/FFSpeedB, 0)</f>
        <v>#DIV/0!</v>
      </c>
      <c r="I58" s="1449" t="e">
        <f>AlphaSTD*MAX(AlphaTTI*(1+FFSpeedNB*G58)^BetaTTI-1,0)^BetaSTD*ImpactedNB/FFSpeedNB*PNRAdj</f>
        <v>#DIV/0!</v>
      </c>
      <c r="J58" s="1450" t="e">
        <f>AlphaSTD*MAX(AlphaTTI*(1+FFSpeedB*H58)^BetaTTI-1,0)^BetaSTD*ImpactedB/FFSpeedB*PNRAdj</f>
        <v>#DIV/0!</v>
      </c>
      <c r="K58" s="1471" t="e">
        <f>IF(OR(TruckLane,Bypass,HOV2to3,HOTConv,OnRamp,RM,AM,IM,TI), C58*AVOPeakNB*I58-D58*AVOPeakB*J58, MIN(C58*AVOPeakNB,D58*AVOPeakB)*(I58-J58))*AnnualFactor</f>
        <v>#DIV/0!</v>
      </c>
      <c r="L58" s="1472">
        <f>IF(AND(D58*AVOPeakB&gt;C58*AVOPeakNB, NOT(OR(TruckLane,Bypass,HOV2to3,HOTConv,OnRamp,RM,AM,IM,TI)),Induced="Y"), (D58*AVOPeakB-C58*AVOPeakNB)*(I58-J58)*0.5*AnnualFactor, 0)</f>
        <v>0</v>
      </c>
      <c r="M58" s="1453" t="e">
        <f>(K58+L58)*ValTimeAuto*ValRelAuto*IF(IM,ValTimeIMFactor,1)*(1+TTUprater)^($B58+Construct-1)</f>
        <v>#DIV/0!</v>
      </c>
      <c r="N58" s="1454" t="e">
        <f>$M58/(1+DiscRate)^($B58+Construct-1)</f>
        <v>#DIV/0!</v>
      </c>
      <c r="P58" s="1466">
        <v>20</v>
      </c>
      <c r="Q58" s="1473">
        <f>TAPT20NB*(1-TPerPeak)</f>
        <v>0</v>
      </c>
      <c r="R58" s="1474">
        <f>TAPT20B*(1-TPerPeak)</f>
        <v>0</v>
      </c>
      <c r="S58" s="1456">
        <f>TPerHwy*(R58-Q58)</f>
        <v>0</v>
      </c>
      <c r="T58" s="1500" t="e">
        <f>IF(Exclusive="Y", 0, TInTimeNBN/60*I151/(ImpactedNB/FFSpeedNB))</f>
        <v>#DIV/0!</v>
      </c>
      <c r="U58" s="1476" t="e">
        <f>IF(Exclusive="Y", 0, TInTimeBN/60*J151/(ImpactedB/FFSpeedB))</f>
        <v>#DIV/0!</v>
      </c>
      <c r="V58" s="1459" t="e">
        <f>I151</f>
        <v>#DIV/0!</v>
      </c>
      <c r="W58" s="1512" t="e">
        <f>MIN(Q58:R58)*(T58-U58)</f>
        <v>#DIV/0!</v>
      </c>
      <c r="X58" s="1502" t="e">
        <f t="shared" ref="X58" si="29">S58*MAX(V58-U58,0)</f>
        <v>#DIV/0!</v>
      </c>
      <c r="Y58" s="1479">
        <f>IF(AND(R58&gt;Q58,Induced="Y"),(T58-U58)*(R58-Q58-S58)*0.5,0)</f>
        <v>0</v>
      </c>
      <c r="Z58" s="1453" t="e">
        <f>SUM(W58:Y58)*ValTimeTransit*ValRelAuto*(1+TTUprater)^($P58+Construct-1)</f>
        <v>#DIV/0!</v>
      </c>
      <c r="AA58" s="1454" t="e">
        <f>$Z58/(1+DiscRate)^($P58+Construct-1)</f>
        <v>#DIV/0!</v>
      </c>
    </row>
    <row r="59" spans="2:43" x14ac:dyDescent="0.25">
      <c r="B59" s="1480"/>
      <c r="C59" s="1481"/>
      <c r="D59" s="1481"/>
      <c r="E59" s="1481"/>
      <c r="F59" s="1481"/>
      <c r="G59" s="1482"/>
      <c r="H59" s="1482"/>
      <c r="I59" s="1526"/>
      <c r="J59" s="1486"/>
      <c r="K59" s="1485"/>
      <c r="L59" s="1485"/>
      <c r="M59" s="1486"/>
      <c r="N59" s="1487"/>
      <c r="P59" s="1480"/>
      <c r="Q59" s="1481"/>
      <c r="R59" s="1481"/>
      <c r="S59" s="1481"/>
      <c r="T59" s="1482"/>
      <c r="U59" s="1482"/>
      <c r="V59" s="1527"/>
      <c r="W59" s="1528"/>
      <c r="X59" s="1528"/>
      <c r="Y59" s="1486"/>
      <c r="Z59" s="1486"/>
      <c r="AA59" s="1487"/>
    </row>
    <row r="60" spans="2:43" x14ac:dyDescent="0.25">
      <c r="B60" s="1490">
        <v>2</v>
      </c>
      <c r="C60" s="1460">
        <f>TREND(C57:C58,B57:B58,B60)</f>
        <v>0</v>
      </c>
      <c r="D60" s="1491">
        <f>TREND(D57:D58,B57:B58,B60)</f>
        <v>0</v>
      </c>
      <c r="E60" s="1492">
        <f>TREND(E57:E58,B57:B58,B60)</f>
        <v>55</v>
      </c>
      <c r="F60" s="1493">
        <f>TREND(F57:F58,B57:B58,B60)</f>
        <v>55</v>
      </c>
      <c r="G60" s="1449" t="e">
        <f t="shared" ref="G60:G77" si="30">MAX(1/E60-1/FFSpeedNB, 0)</f>
        <v>#DIV/0!</v>
      </c>
      <c r="H60" s="1450" t="e">
        <f t="shared" ref="H60:H77" si="31">MAX(1/F60-1/FFSpeedB, 0)</f>
        <v>#DIV/0!</v>
      </c>
      <c r="I60" s="1449" t="e">
        <f t="shared" ref="I60:I77" si="32">AlphaSTD*MAX(AlphaTTI*(1+FFSpeedNB*G60)^BetaTTI-1,0)^BetaSTD*ImpactedNB/FFSpeedNB*PNRAdj</f>
        <v>#DIV/0!</v>
      </c>
      <c r="J60" s="1450" t="e">
        <f t="shared" ref="J60:J77" si="33">AlphaSTD*MAX(AlphaTTI*(1+FFSpeedB*H60)^BetaTTI-1,0)^BetaSTD*ImpactedB/FFSpeedB*PNRAdj</f>
        <v>#DIV/0!</v>
      </c>
      <c r="K60" s="1451" t="e">
        <f t="shared" ref="K60:K77" si="34">IF(OR(TruckLane,Bypass,HOV2to3,HOTConv,OnRamp,RM,AM,IM,TI), C60*AVOPeakNB*I60-D60*AVOPeakB*J60, MIN(C60*AVOPeakNB,D60*AVOPeakB)*(I60-J60))*AnnualFactor</f>
        <v>#DIV/0!</v>
      </c>
      <c r="L60" s="1452">
        <f t="shared" ref="L60:L77" si="35">IF(AND(D60*AVOPeakB&gt;C60*AVOPeakNB, NOT(OR(TruckLane,Bypass,HOV2to3,HOTConv,OnRamp,RM,AM,IM,TI)),Induced="Y"), (D60*AVOPeakB-C60*AVOPeakNB)*(I60-J60)*0.5*AnnualFactor, 0)</f>
        <v>0</v>
      </c>
      <c r="M60" s="1453" t="e">
        <f t="shared" ref="M60:M77" si="36">(K60+L60)*ValTimeAuto*ValRelAuto*IF(IM,ValTimeIMFactor,1)*(1+TTUprater)^($B60+Construct-1)</f>
        <v>#DIV/0!</v>
      </c>
      <c r="N60" s="1454" t="e">
        <f t="shared" ref="N60:N77" si="37">$M60/(1+DiscRate)^($B60+Construct-1)</f>
        <v>#DIV/0!</v>
      </c>
      <c r="P60" s="1490">
        <v>2</v>
      </c>
      <c r="Q60" s="1460">
        <f>TREND(Q57:Q58,P57:P58,P60)</f>
        <v>0</v>
      </c>
      <c r="R60" s="1461">
        <f>TREND(R57:R58,P57:P58,P60)</f>
        <v>0</v>
      </c>
      <c r="S60" s="1494">
        <f t="shared" ref="S60:S77" si="38">TPerHwy*(R60-Q60)</f>
        <v>0</v>
      </c>
      <c r="T60" s="1457" t="e">
        <f t="shared" ref="T60:T77" si="39">IF(Exclusive="Y", 0, TInTimeNBN/60*I153/(ImpactedNB/FFSpeedNB))</f>
        <v>#DIV/0!</v>
      </c>
      <c r="U60" s="1458" t="e">
        <f t="shared" ref="U60:U77" si="40">IF(Exclusive="Y", 0, TInTimeBN/60*J153/(ImpactedB/FFSpeedB))</f>
        <v>#DIV/0!</v>
      </c>
      <c r="V60" s="1459" t="e">
        <f t="shared" ref="V60:V77" si="41">I153</f>
        <v>#DIV/0!</v>
      </c>
      <c r="W60" s="1525" t="e">
        <f t="shared" ref="W60:W77" si="42">MIN(Q60:R60)*(T60-U60)</f>
        <v>#DIV/0!</v>
      </c>
      <c r="X60" s="1461" t="e">
        <f>S60*MAX(V60-U60,0)</f>
        <v>#DIV/0!</v>
      </c>
      <c r="Y60" s="1462">
        <f t="shared" ref="Y60:Y77" si="43">IF(AND(R60&gt;Q60,Induced="Y"),(T60-U60)*(R60-Q60-S60)*0.5,0)</f>
        <v>0</v>
      </c>
      <c r="Z60" s="1453" t="e">
        <f t="shared" ref="Z60:Z77" si="44">SUM(W60:Y60)*ValTimeTransit*ValRelAuto*(1+TTUprater)^($P60+Construct-1)</f>
        <v>#DIV/0!</v>
      </c>
      <c r="AA60" s="1454" t="e">
        <f t="shared" ref="AA60:AA77" si="45">$Z60/(1+DiscRate)^($P60+Construct-1)</f>
        <v>#DIV/0!</v>
      </c>
    </row>
    <row r="61" spans="2:43" x14ac:dyDescent="0.25">
      <c r="B61" s="1444">
        <v>3</v>
      </c>
      <c r="C61" s="1477">
        <f>TREND(C57:C58,B57:B58,B61)</f>
        <v>0</v>
      </c>
      <c r="D61" s="1495">
        <f>TREND(D57:D58,B57:B58,B61)</f>
        <v>0</v>
      </c>
      <c r="E61" s="1496">
        <f>TREND(E57:E58,B57:B58,B61)</f>
        <v>55</v>
      </c>
      <c r="F61" s="1497">
        <f>TREND(F57:F58,B57:B58,B61)</f>
        <v>55</v>
      </c>
      <c r="G61" s="1449" t="e">
        <f t="shared" si="30"/>
        <v>#DIV/0!</v>
      </c>
      <c r="H61" s="1450" t="e">
        <f t="shared" si="31"/>
        <v>#DIV/0!</v>
      </c>
      <c r="I61" s="1449" t="e">
        <f t="shared" si="32"/>
        <v>#DIV/0!</v>
      </c>
      <c r="J61" s="1450" t="e">
        <f t="shared" si="33"/>
        <v>#DIV/0!</v>
      </c>
      <c r="K61" s="1498" t="e">
        <f t="shared" si="34"/>
        <v>#DIV/0!</v>
      </c>
      <c r="L61" s="1499">
        <f t="shared" si="35"/>
        <v>0</v>
      </c>
      <c r="M61" s="1453" t="e">
        <f t="shared" si="36"/>
        <v>#DIV/0!</v>
      </c>
      <c r="N61" s="1454" t="e">
        <f t="shared" si="37"/>
        <v>#DIV/0!</v>
      </c>
      <c r="P61" s="1444">
        <v>3</v>
      </c>
      <c r="Q61" s="1477">
        <f>TREND(Q57:Q58,P57:P58,P61)</f>
        <v>0</v>
      </c>
      <c r="R61" s="1478">
        <f>TREND(R57:R58,P57:P58,P61)</f>
        <v>0</v>
      </c>
      <c r="S61" s="1494">
        <f t="shared" si="38"/>
        <v>0</v>
      </c>
      <c r="T61" s="1500" t="e">
        <f t="shared" si="39"/>
        <v>#DIV/0!</v>
      </c>
      <c r="U61" s="1476" t="e">
        <f t="shared" si="40"/>
        <v>#DIV/0!</v>
      </c>
      <c r="V61" s="1459" t="e">
        <f t="shared" si="41"/>
        <v>#DIV/0!</v>
      </c>
      <c r="W61" s="1501" t="e">
        <f t="shared" si="42"/>
        <v>#DIV/0!</v>
      </c>
      <c r="X61" s="1502" t="e">
        <f>S61*MAX(V61-U61,0)</f>
        <v>#DIV/0!</v>
      </c>
      <c r="Y61" s="1503">
        <f t="shared" si="43"/>
        <v>0</v>
      </c>
      <c r="Z61" s="1453" t="e">
        <f t="shared" si="44"/>
        <v>#DIV/0!</v>
      </c>
      <c r="AA61" s="1454" t="e">
        <f t="shared" si="45"/>
        <v>#DIV/0!</v>
      </c>
    </row>
    <row r="62" spans="2:43" x14ac:dyDescent="0.25">
      <c r="B62" s="1444">
        <v>4</v>
      </c>
      <c r="C62" s="1477">
        <f>TREND(C57:C58,B57:B58,B62)</f>
        <v>0</v>
      </c>
      <c r="D62" s="1495">
        <f>TREND(D57:D58,B57:B58,B62)</f>
        <v>0</v>
      </c>
      <c r="E62" s="1496">
        <f>TREND(E57:E58,B57:B58,B62)</f>
        <v>55</v>
      </c>
      <c r="F62" s="1497">
        <f>TREND(F57:F58,B57:B58,B62)</f>
        <v>55</v>
      </c>
      <c r="G62" s="1449" t="e">
        <f t="shared" si="30"/>
        <v>#DIV/0!</v>
      </c>
      <c r="H62" s="1450" t="e">
        <f t="shared" si="31"/>
        <v>#DIV/0!</v>
      </c>
      <c r="I62" s="1449" t="e">
        <f t="shared" si="32"/>
        <v>#DIV/0!</v>
      </c>
      <c r="J62" s="1450" t="e">
        <f t="shared" si="33"/>
        <v>#DIV/0!</v>
      </c>
      <c r="K62" s="1498" t="e">
        <f t="shared" si="34"/>
        <v>#DIV/0!</v>
      </c>
      <c r="L62" s="1499">
        <f t="shared" si="35"/>
        <v>0</v>
      </c>
      <c r="M62" s="1453" t="e">
        <f t="shared" si="36"/>
        <v>#DIV/0!</v>
      </c>
      <c r="N62" s="1454" t="e">
        <f t="shared" si="37"/>
        <v>#DIV/0!</v>
      </c>
      <c r="P62" s="1444">
        <v>4</v>
      </c>
      <c r="Q62" s="1477">
        <f>TREND(Q57:Q58,P57:P58,P62)</f>
        <v>0</v>
      </c>
      <c r="R62" s="1478">
        <f>TREND(R57:R58,P57:P58,P62)</f>
        <v>0</v>
      </c>
      <c r="S62" s="1494">
        <f t="shared" si="38"/>
        <v>0</v>
      </c>
      <c r="T62" s="1500" t="e">
        <f t="shared" si="39"/>
        <v>#DIV/0!</v>
      </c>
      <c r="U62" s="1476" t="e">
        <f t="shared" si="40"/>
        <v>#DIV/0!</v>
      </c>
      <c r="V62" s="1459" t="e">
        <f t="shared" si="41"/>
        <v>#DIV/0!</v>
      </c>
      <c r="W62" s="1501" t="e">
        <f t="shared" si="42"/>
        <v>#DIV/0!</v>
      </c>
      <c r="X62" s="1502" t="e">
        <f t="shared" ref="X62:X77" si="46">S62*MAX(V62-U62,0)</f>
        <v>#DIV/0!</v>
      </c>
      <c r="Y62" s="1503">
        <f t="shared" si="43"/>
        <v>0</v>
      </c>
      <c r="Z62" s="1453" t="e">
        <f t="shared" si="44"/>
        <v>#DIV/0!</v>
      </c>
      <c r="AA62" s="1454" t="e">
        <f t="shared" si="45"/>
        <v>#DIV/0!</v>
      </c>
    </row>
    <row r="63" spans="2:43" x14ac:dyDescent="0.25">
      <c r="B63" s="1444">
        <v>5</v>
      </c>
      <c r="C63" s="1477">
        <f>TREND(C57:C58,B57:B58,B63)</f>
        <v>0</v>
      </c>
      <c r="D63" s="1495">
        <f>TREND(D57:D58,B57:B58,B63)</f>
        <v>0</v>
      </c>
      <c r="E63" s="1496">
        <f>TREND(E57:E58,B57:B58,B63)</f>
        <v>55</v>
      </c>
      <c r="F63" s="1497">
        <f>TREND(F57:F58,B57:B58,B63)</f>
        <v>55</v>
      </c>
      <c r="G63" s="1449" t="e">
        <f t="shared" si="30"/>
        <v>#DIV/0!</v>
      </c>
      <c r="H63" s="1450" t="e">
        <f t="shared" si="31"/>
        <v>#DIV/0!</v>
      </c>
      <c r="I63" s="1449" t="e">
        <f t="shared" si="32"/>
        <v>#DIV/0!</v>
      </c>
      <c r="J63" s="1450" t="e">
        <f t="shared" si="33"/>
        <v>#DIV/0!</v>
      </c>
      <c r="K63" s="1498" t="e">
        <f t="shared" si="34"/>
        <v>#DIV/0!</v>
      </c>
      <c r="L63" s="1499">
        <f t="shared" si="35"/>
        <v>0</v>
      </c>
      <c r="M63" s="1453" t="e">
        <f t="shared" si="36"/>
        <v>#DIV/0!</v>
      </c>
      <c r="N63" s="1454" t="e">
        <f t="shared" si="37"/>
        <v>#DIV/0!</v>
      </c>
      <c r="P63" s="1444">
        <v>5</v>
      </c>
      <c r="Q63" s="1477">
        <f>TREND(Q57:Q58,P57:P58,P63)</f>
        <v>0</v>
      </c>
      <c r="R63" s="1478">
        <f>TREND(R57:R58,P57:P58,P63)</f>
        <v>0</v>
      </c>
      <c r="S63" s="1494">
        <f t="shared" si="38"/>
        <v>0</v>
      </c>
      <c r="T63" s="1500" t="e">
        <f t="shared" si="39"/>
        <v>#DIV/0!</v>
      </c>
      <c r="U63" s="1476" t="e">
        <f t="shared" si="40"/>
        <v>#DIV/0!</v>
      </c>
      <c r="V63" s="1459" t="e">
        <f t="shared" si="41"/>
        <v>#DIV/0!</v>
      </c>
      <c r="W63" s="1501" t="e">
        <f t="shared" si="42"/>
        <v>#DIV/0!</v>
      </c>
      <c r="X63" s="1502" t="e">
        <f t="shared" si="46"/>
        <v>#DIV/0!</v>
      </c>
      <c r="Y63" s="1503">
        <f t="shared" si="43"/>
        <v>0</v>
      </c>
      <c r="Z63" s="1453" t="e">
        <f t="shared" si="44"/>
        <v>#DIV/0!</v>
      </c>
      <c r="AA63" s="1454" t="e">
        <f t="shared" si="45"/>
        <v>#DIV/0!</v>
      </c>
    </row>
    <row r="64" spans="2:43" x14ac:dyDescent="0.25">
      <c r="B64" s="1444">
        <v>6</v>
      </c>
      <c r="C64" s="1477">
        <f>TREND(C57:C58,B57:B58,B64)</f>
        <v>0</v>
      </c>
      <c r="D64" s="1495">
        <f>TREND(D57:D58,B57:B58,B64)</f>
        <v>0</v>
      </c>
      <c r="E64" s="1496">
        <f>TREND(E57:E58,B57:B58,B64)</f>
        <v>55</v>
      </c>
      <c r="F64" s="1497">
        <f>TREND(F57:F58,B57:B58,B64)</f>
        <v>55</v>
      </c>
      <c r="G64" s="1449" t="e">
        <f t="shared" si="30"/>
        <v>#DIV/0!</v>
      </c>
      <c r="H64" s="1450" t="e">
        <f t="shared" si="31"/>
        <v>#DIV/0!</v>
      </c>
      <c r="I64" s="1449" t="e">
        <f t="shared" si="32"/>
        <v>#DIV/0!</v>
      </c>
      <c r="J64" s="1450" t="e">
        <f t="shared" si="33"/>
        <v>#DIV/0!</v>
      </c>
      <c r="K64" s="1498" t="e">
        <f t="shared" si="34"/>
        <v>#DIV/0!</v>
      </c>
      <c r="L64" s="1499">
        <f t="shared" si="35"/>
        <v>0</v>
      </c>
      <c r="M64" s="1453" t="e">
        <f t="shared" si="36"/>
        <v>#DIV/0!</v>
      </c>
      <c r="N64" s="1454" t="e">
        <f t="shared" si="37"/>
        <v>#DIV/0!</v>
      </c>
      <c r="P64" s="1444">
        <v>6</v>
      </c>
      <c r="Q64" s="1477">
        <f>TREND(Q57:Q58,P57:P58,P64)</f>
        <v>0</v>
      </c>
      <c r="R64" s="1478">
        <f>TREND(R57:R58,P57:P58,P64)</f>
        <v>0</v>
      </c>
      <c r="S64" s="1494">
        <f t="shared" si="38"/>
        <v>0</v>
      </c>
      <c r="T64" s="1500" t="e">
        <f t="shared" si="39"/>
        <v>#DIV/0!</v>
      </c>
      <c r="U64" s="1476" t="e">
        <f t="shared" si="40"/>
        <v>#DIV/0!</v>
      </c>
      <c r="V64" s="1459" t="e">
        <f t="shared" si="41"/>
        <v>#DIV/0!</v>
      </c>
      <c r="W64" s="1501" t="e">
        <f t="shared" si="42"/>
        <v>#DIV/0!</v>
      </c>
      <c r="X64" s="1502" t="e">
        <f t="shared" si="46"/>
        <v>#DIV/0!</v>
      </c>
      <c r="Y64" s="1503">
        <f t="shared" si="43"/>
        <v>0</v>
      </c>
      <c r="Z64" s="1453" t="e">
        <f t="shared" si="44"/>
        <v>#DIV/0!</v>
      </c>
      <c r="AA64" s="1454" t="e">
        <f t="shared" si="45"/>
        <v>#DIV/0!</v>
      </c>
    </row>
    <row r="65" spans="2:27" x14ac:dyDescent="0.25">
      <c r="B65" s="1444">
        <v>7</v>
      </c>
      <c r="C65" s="1477">
        <f>TREND(C57:C58,B57:B58,B65)</f>
        <v>0</v>
      </c>
      <c r="D65" s="1495">
        <f>TREND(D57:D58,B57:B58,B65)</f>
        <v>0</v>
      </c>
      <c r="E65" s="1496">
        <f>TREND(E57:E58,B57:B58,B65)</f>
        <v>55</v>
      </c>
      <c r="F65" s="1497">
        <f>TREND(F57:F58,B57:B58,B65)</f>
        <v>55</v>
      </c>
      <c r="G65" s="1449" t="e">
        <f t="shared" si="30"/>
        <v>#DIV/0!</v>
      </c>
      <c r="H65" s="1450" t="e">
        <f t="shared" si="31"/>
        <v>#DIV/0!</v>
      </c>
      <c r="I65" s="1449" t="e">
        <f t="shared" si="32"/>
        <v>#DIV/0!</v>
      </c>
      <c r="J65" s="1450" t="e">
        <f t="shared" si="33"/>
        <v>#DIV/0!</v>
      </c>
      <c r="K65" s="1498" t="e">
        <f t="shared" si="34"/>
        <v>#DIV/0!</v>
      </c>
      <c r="L65" s="1499">
        <f t="shared" si="35"/>
        <v>0</v>
      </c>
      <c r="M65" s="1453" t="e">
        <f t="shared" si="36"/>
        <v>#DIV/0!</v>
      </c>
      <c r="N65" s="1454" t="e">
        <f t="shared" si="37"/>
        <v>#DIV/0!</v>
      </c>
      <c r="P65" s="1444">
        <v>7</v>
      </c>
      <c r="Q65" s="1477">
        <f>TREND(Q57:Q58,P57:P58,P65)</f>
        <v>0</v>
      </c>
      <c r="R65" s="1478">
        <f>TREND(R57:R58,P57:P58,P65)</f>
        <v>0</v>
      </c>
      <c r="S65" s="1494">
        <f t="shared" si="38"/>
        <v>0</v>
      </c>
      <c r="T65" s="1500" t="e">
        <f t="shared" si="39"/>
        <v>#DIV/0!</v>
      </c>
      <c r="U65" s="1476" t="e">
        <f t="shared" si="40"/>
        <v>#DIV/0!</v>
      </c>
      <c r="V65" s="1459" t="e">
        <f t="shared" si="41"/>
        <v>#DIV/0!</v>
      </c>
      <c r="W65" s="1501" t="e">
        <f t="shared" si="42"/>
        <v>#DIV/0!</v>
      </c>
      <c r="X65" s="1502" t="e">
        <f t="shared" si="46"/>
        <v>#DIV/0!</v>
      </c>
      <c r="Y65" s="1503">
        <f t="shared" si="43"/>
        <v>0</v>
      </c>
      <c r="Z65" s="1453" t="e">
        <f t="shared" si="44"/>
        <v>#DIV/0!</v>
      </c>
      <c r="AA65" s="1454" t="e">
        <f t="shared" si="45"/>
        <v>#DIV/0!</v>
      </c>
    </row>
    <row r="66" spans="2:27" x14ac:dyDescent="0.25">
      <c r="B66" s="1444">
        <v>8</v>
      </c>
      <c r="C66" s="1477">
        <f>TREND(C57:C58,B57:B58,B66)</f>
        <v>0</v>
      </c>
      <c r="D66" s="1495">
        <f>TREND(D57:D58,B57:B58,B66)</f>
        <v>0</v>
      </c>
      <c r="E66" s="1496">
        <f>TREND(E57:E58,B57:B58,B66)</f>
        <v>55</v>
      </c>
      <c r="F66" s="1497">
        <f>TREND(F57:F58,B57:B58,B66)</f>
        <v>55</v>
      </c>
      <c r="G66" s="1449" t="e">
        <f t="shared" si="30"/>
        <v>#DIV/0!</v>
      </c>
      <c r="H66" s="1450" t="e">
        <f t="shared" si="31"/>
        <v>#DIV/0!</v>
      </c>
      <c r="I66" s="1449" t="e">
        <f t="shared" si="32"/>
        <v>#DIV/0!</v>
      </c>
      <c r="J66" s="1450" t="e">
        <f t="shared" si="33"/>
        <v>#DIV/0!</v>
      </c>
      <c r="K66" s="1498" t="e">
        <f t="shared" si="34"/>
        <v>#DIV/0!</v>
      </c>
      <c r="L66" s="1499">
        <f t="shared" si="35"/>
        <v>0</v>
      </c>
      <c r="M66" s="1453" t="e">
        <f t="shared" si="36"/>
        <v>#DIV/0!</v>
      </c>
      <c r="N66" s="1454" t="e">
        <f t="shared" si="37"/>
        <v>#DIV/0!</v>
      </c>
      <c r="P66" s="1444">
        <v>8</v>
      </c>
      <c r="Q66" s="1477">
        <f>TREND(Q57:Q58,P57:P58,P66)</f>
        <v>0</v>
      </c>
      <c r="R66" s="1478">
        <f>TREND(R57:R58,P57:P58,P66)</f>
        <v>0</v>
      </c>
      <c r="S66" s="1494">
        <f t="shared" si="38"/>
        <v>0</v>
      </c>
      <c r="T66" s="1500" t="e">
        <f t="shared" si="39"/>
        <v>#DIV/0!</v>
      </c>
      <c r="U66" s="1476" t="e">
        <f t="shared" si="40"/>
        <v>#DIV/0!</v>
      </c>
      <c r="V66" s="1459" t="e">
        <f t="shared" si="41"/>
        <v>#DIV/0!</v>
      </c>
      <c r="W66" s="1501" t="e">
        <f t="shared" si="42"/>
        <v>#DIV/0!</v>
      </c>
      <c r="X66" s="1502" t="e">
        <f t="shared" si="46"/>
        <v>#DIV/0!</v>
      </c>
      <c r="Y66" s="1503">
        <f t="shared" si="43"/>
        <v>0</v>
      </c>
      <c r="Z66" s="1453" t="e">
        <f t="shared" si="44"/>
        <v>#DIV/0!</v>
      </c>
      <c r="AA66" s="1454" t="e">
        <f t="shared" si="45"/>
        <v>#DIV/0!</v>
      </c>
    </row>
    <row r="67" spans="2:27" x14ac:dyDescent="0.25">
      <c r="B67" s="1444">
        <v>9</v>
      </c>
      <c r="C67" s="1477">
        <f>TREND(C57:C58,B57:B58,B67)</f>
        <v>0</v>
      </c>
      <c r="D67" s="1495">
        <f>TREND(D57:D58,B57:B58,B67)</f>
        <v>0</v>
      </c>
      <c r="E67" s="1496">
        <f>TREND(E57:E58,B57:B58,B67)</f>
        <v>55</v>
      </c>
      <c r="F67" s="1497">
        <f>TREND(F57:F58,B57:B58,B67)</f>
        <v>55</v>
      </c>
      <c r="G67" s="1449" t="e">
        <f t="shared" si="30"/>
        <v>#DIV/0!</v>
      </c>
      <c r="H67" s="1450" t="e">
        <f t="shared" si="31"/>
        <v>#DIV/0!</v>
      </c>
      <c r="I67" s="1449" t="e">
        <f t="shared" si="32"/>
        <v>#DIV/0!</v>
      </c>
      <c r="J67" s="1450" t="e">
        <f t="shared" si="33"/>
        <v>#DIV/0!</v>
      </c>
      <c r="K67" s="1498" t="e">
        <f t="shared" si="34"/>
        <v>#DIV/0!</v>
      </c>
      <c r="L67" s="1499">
        <f t="shared" si="35"/>
        <v>0</v>
      </c>
      <c r="M67" s="1453" t="e">
        <f t="shared" si="36"/>
        <v>#DIV/0!</v>
      </c>
      <c r="N67" s="1454" t="e">
        <f t="shared" si="37"/>
        <v>#DIV/0!</v>
      </c>
      <c r="P67" s="1444">
        <v>9</v>
      </c>
      <c r="Q67" s="1477">
        <f>TREND(Q57:Q58,P57:P58,P67)</f>
        <v>0</v>
      </c>
      <c r="R67" s="1478">
        <f>TREND(R57:R58,P57:P58,P67)</f>
        <v>0</v>
      </c>
      <c r="S67" s="1494">
        <f t="shared" si="38"/>
        <v>0</v>
      </c>
      <c r="T67" s="1500" t="e">
        <f t="shared" si="39"/>
        <v>#DIV/0!</v>
      </c>
      <c r="U67" s="1476" t="e">
        <f t="shared" si="40"/>
        <v>#DIV/0!</v>
      </c>
      <c r="V67" s="1459" t="e">
        <f t="shared" si="41"/>
        <v>#DIV/0!</v>
      </c>
      <c r="W67" s="1501" t="e">
        <f t="shared" si="42"/>
        <v>#DIV/0!</v>
      </c>
      <c r="X67" s="1502" t="e">
        <f t="shared" si="46"/>
        <v>#DIV/0!</v>
      </c>
      <c r="Y67" s="1503">
        <f t="shared" si="43"/>
        <v>0</v>
      </c>
      <c r="Z67" s="1453" t="e">
        <f t="shared" si="44"/>
        <v>#DIV/0!</v>
      </c>
      <c r="AA67" s="1454" t="e">
        <f t="shared" si="45"/>
        <v>#DIV/0!</v>
      </c>
    </row>
    <row r="68" spans="2:27" x14ac:dyDescent="0.25">
      <c r="B68" s="1444">
        <v>10</v>
      </c>
      <c r="C68" s="1477">
        <f>TREND(C57:C58,B57:B58,B68)</f>
        <v>0</v>
      </c>
      <c r="D68" s="1495">
        <f>TREND(D57:D58,B57:B58,B68)</f>
        <v>0</v>
      </c>
      <c r="E68" s="1496">
        <f>TREND(E57:E58,B57:B58,B68)</f>
        <v>55</v>
      </c>
      <c r="F68" s="1497">
        <f>TREND(F57:F58,B57:B58,B68)</f>
        <v>55</v>
      </c>
      <c r="G68" s="1449" t="e">
        <f t="shared" si="30"/>
        <v>#DIV/0!</v>
      </c>
      <c r="H68" s="1450" t="e">
        <f t="shared" si="31"/>
        <v>#DIV/0!</v>
      </c>
      <c r="I68" s="1449" t="e">
        <f t="shared" si="32"/>
        <v>#DIV/0!</v>
      </c>
      <c r="J68" s="1450" t="e">
        <f t="shared" si="33"/>
        <v>#DIV/0!</v>
      </c>
      <c r="K68" s="1498" t="e">
        <f t="shared" si="34"/>
        <v>#DIV/0!</v>
      </c>
      <c r="L68" s="1499">
        <f t="shared" si="35"/>
        <v>0</v>
      </c>
      <c r="M68" s="1453" t="e">
        <f t="shared" si="36"/>
        <v>#DIV/0!</v>
      </c>
      <c r="N68" s="1454" t="e">
        <f t="shared" si="37"/>
        <v>#DIV/0!</v>
      </c>
      <c r="P68" s="1444">
        <v>10</v>
      </c>
      <c r="Q68" s="1477">
        <f>TREND(Q57:Q58,P57:P58,P68)</f>
        <v>0</v>
      </c>
      <c r="R68" s="1478">
        <f>TREND(R57:R58,P57:P58,P68)</f>
        <v>0</v>
      </c>
      <c r="S68" s="1494">
        <f t="shared" si="38"/>
        <v>0</v>
      </c>
      <c r="T68" s="1500" t="e">
        <f t="shared" si="39"/>
        <v>#DIV/0!</v>
      </c>
      <c r="U68" s="1476" t="e">
        <f t="shared" si="40"/>
        <v>#DIV/0!</v>
      </c>
      <c r="V68" s="1459" t="e">
        <f t="shared" si="41"/>
        <v>#DIV/0!</v>
      </c>
      <c r="W68" s="1501" t="e">
        <f t="shared" si="42"/>
        <v>#DIV/0!</v>
      </c>
      <c r="X68" s="1502" t="e">
        <f t="shared" si="46"/>
        <v>#DIV/0!</v>
      </c>
      <c r="Y68" s="1503">
        <f t="shared" si="43"/>
        <v>0</v>
      </c>
      <c r="Z68" s="1453" t="e">
        <f t="shared" si="44"/>
        <v>#DIV/0!</v>
      </c>
      <c r="AA68" s="1454" t="e">
        <f t="shared" si="45"/>
        <v>#DIV/0!</v>
      </c>
    </row>
    <row r="69" spans="2:27" x14ac:dyDescent="0.25">
      <c r="B69" s="1444">
        <v>11</v>
      </c>
      <c r="C69" s="1477">
        <f>TREND(C57:C58,B57:B58,B69)</f>
        <v>0</v>
      </c>
      <c r="D69" s="1495">
        <f>TREND(D57:D58,B57:B58,B69)</f>
        <v>0</v>
      </c>
      <c r="E69" s="1496">
        <f>TREND(E57:E58,B57:B58,B69)</f>
        <v>55</v>
      </c>
      <c r="F69" s="1497">
        <f>TREND(F57:F58,B57:B58,B69)</f>
        <v>55</v>
      </c>
      <c r="G69" s="1449" t="e">
        <f t="shared" si="30"/>
        <v>#DIV/0!</v>
      </c>
      <c r="H69" s="1450" t="e">
        <f t="shared" si="31"/>
        <v>#DIV/0!</v>
      </c>
      <c r="I69" s="1449" t="e">
        <f t="shared" si="32"/>
        <v>#DIV/0!</v>
      </c>
      <c r="J69" s="1450" t="e">
        <f t="shared" si="33"/>
        <v>#DIV/0!</v>
      </c>
      <c r="K69" s="1498" t="e">
        <f t="shared" si="34"/>
        <v>#DIV/0!</v>
      </c>
      <c r="L69" s="1499">
        <f t="shared" si="35"/>
        <v>0</v>
      </c>
      <c r="M69" s="1453" t="e">
        <f t="shared" si="36"/>
        <v>#DIV/0!</v>
      </c>
      <c r="N69" s="1454" t="e">
        <f t="shared" si="37"/>
        <v>#DIV/0!</v>
      </c>
      <c r="P69" s="1444">
        <v>11</v>
      </c>
      <c r="Q69" s="1477">
        <f>TREND(Q57:Q58,P57:P58,P69)</f>
        <v>0</v>
      </c>
      <c r="R69" s="1478">
        <f>TREND(R57:R58,P57:P58,P69)</f>
        <v>0</v>
      </c>
      <c r="S69" s="1494">
        <f t="shared" si="38"/>
        <v>0</v>
      </c>
      <c r="T69" s="1500" t="e">
        <f t="shared" si="39"/>
        <v>#DIV/0!</v>
      </c>
      <c r="U69" s="1476" t="e">
        <f t="shared" si="40"/>
        <v>#DIV/0!</v>
      </c>
      <c r="V69" s="1459" t="e">
        <f t="shared" si="41"/>
        <v>#DIV/0!</v>
      </c>
      <c r="W69" s="1501" t="e">
        <f t="shared" si="42"/>
        <v>#DIV/0!</v>
      </c>
      <c r="X69" s="1502" t="e">
        <f t="shared" si="46"/>
        <v>#DIV/0!</v>
      </c>
      <c r="Y69" s="1503">
        <f t="shared" si="43"/>
        <v>0</v>
      </c>
      <c r="Z69" s="1453" t="e">
        <f t="shared" si="44"/>
        <v>#DIV/0!</v>
      </c>
      <c r="AA69" s="1454" t="e">
        <f t="shared" si="45"/>
        <v>#DIV/0!</v>
      </c>
    </row>
    <row r="70" spans="2:27" x14ac:dyDescent="0.25">
      <c r="B70" s="1444">
        <v>12</v>
      </c>
      <c r="C70" s="1477">
        <f>TREND(C57:C58,B57:B58,B70)</f>
        <v>0</v>
      </c>
      <c r="D70" s="1495">
        <f>TREND(D57:D58,B57:B58,B70)</f>
        <v>0</v>
      </c>
      <c r="E70" s="1496">
        <f>TREND(E57:E58,B57:B58,B70)</f>
        <v>55</v>
      </c>
      <c r="F70" s="1497">
        <f>TREND(F57:F58,B57:B58,B70)</f>
        <v>55</v>
      </c>
      <c r="G70" s="1449" t="e">
        <f t="shared" si="30"/>
        <v>#DIV/0!</v>
      </c>
      <c r="H70" s="1450" t="e">
        <f t="shared" si="31"/>
        <v>#DIV/0!</v>
      </c>
      <c r="I70" s="1449" t="e">
        <f t="shared" si="32"/>
        <v>#DIV/0!</v>
      </c>
      <c r="J70" s="1450" t="e">
        <f t="shared" si="33"/>
        <v>#DIV/0!</v>
      </c>
      <c r="K70" s="1498" t="e">
        <f t="shared" si="34"/>
        <v>#DIV/0!</v>
      </c>
      <c r="L70" s="1499">
        <f t="shared" si="35"/>
        <v>0</v>
      </c>
      <c r="M70" s="1453" t="e">
        <f t="shared" si="36"/>
        <v>#DIV/0!</v>
      </c>
      <c r="N70" s="1454" t="e">
        <f t="shared" si="37"/>
        <v>#DIV/0!</v>
      </c>
      <c r="P70" s="1444">
        <v>12</v>
      </c>
      <c r="Q70" s="1477">
        <f>TREND(Q57:Q58,P57:P58,P70)</f>
        <v>0</v>
      </c>
      <c r="R70" s="1478">
        <f>TREND(R57:R58,P57:P58,P70)</f>
        <v>0</v>
      </c>
      <c r="S70" s="1494">
        <f t="shared" si="38"/>
        <v>0</v>
      </c>
      <c r="T70" s="1500" t="e">
        <f t="shared" si="39"/>
        <v>#DIV/0!</v>
      </c>
      <c r="U70" s="1476" t="e">
        <f t="shared" si="40"/>
        <v>#DIV/0!</v>
      </c>
      <c r="V70" s="1459" t="e">
        <f t="shared" si="41"/>
        <v>#DIV/0!</v>
      </c>
      <c r="W70" s="1501" t="e">
        <f t="shared" si="42"/>
        <v>#DIV/0!</v>
      </c>
      <c r="X70" s="1502" t="e">
        <f t="shared" si="46"/>
        <v>#DIV/0!</v>
      </c>
      <c r="Y70" s="1503">
        <f t="shared" si="43"/>
        <v>0</v>
      </c>
      <c r="Z70" s="1453" t="e">
        <f t="shared" si="44"/>
        <v>#DIV/0!</v>
      </c>
      <c r="AA70" s="1454" t="e">
        <f t="shared" si="45"/>
        <v>#DIV/0!</v>
      </c>
    </row>
    <row r="71" spans="2:27" x14ac:dyDescent="0.25">
      <c r="B71" s="1444">
        <v>13</v>
      </c>
      <c r="C71" s="1477">
        <f>TREND(C57:C58,B57:B58,B71)</f>
        <v>0</v>
      </c>
      <c r="D71" s="1495">
        <f>TREND(D57:D58,B57:B58,B71)</f>
        <v>0</v>
      </c>
      <c r="E71" s="1496">
        <f>TREND(E57:E58,B57:B58,B71)</f>
        <v>55</v>
      </c>
      <c r="F71" s="1497">
        <f>TREND(F57:F58,B57:B58,B71)</f>
        <v>55</v>
      </c>
      <c r="G71" s="1449" t="e">
        <f t="shared" si="30"/>
        <v>#DIV/0!</v>
      </c>
      <c r="H71" s="1450" t="e">
        <f t="shared" si="31"/>
        <v>#DIV/0!</v>
      </c>
      <c r="I71" s="1449" t="e">
        <f t="shared" si="32"/>
        <v>#DIV/0!</v>
      </c>
      <c r="J71" s="1450" t="e">
        <f t="shared" si="33"/>
        <v>#DIV/0!</v>
      </c>
      <c r="K71" s="1498" t="e">
        <f t="shared" si="34"/>
        <v>#DIV/0!</v>
      </c>
      <c r="L71" s="1499">
        <f t="shared" si="35"/>
        <v>0</v>
      </c>
      <c r="M71" s="1453" t="e">
        <f t="shared" si="36"/>
        <v>#DIV/0!</v>
      </c>
      <c r="N71" s="1454" t="e">
        <f t="shared" si="37"/>
        <v>#DIV/0!</v>
      </c>
      <c r="P71" s="1444">
        <v>13</v>
      </c>
      <c r="Q71" s="1477">
        <f>TREND(Q57:Q58,P57:P58,P71)</f>
        <v>0</v>
      </c>
      <c r="R71" s="1478">
        <f>TREND(R57:R58,P57:P58,P71)</f>
        <v>0</v>
      </c>
      <c r="S71" s="1494">
        <f t="shared" si="38"/>
        <v>0</v>
      </c>
      <c r="T71" s="1500" t="e">
        <f t="shared" si="39"/>
        <v>#DIV/0!</v>
      </c>
      <c r="U71" s="1476" t="e">
        <f t="shared" si="40"/>
        <v>#DIV/0!</v>
      </c>
      <c r="V71" s="1459" t="e">
        <f t="shared" si="41"/>
        <v>#DIV/0!</v>
      </c>
      <c r="W71" s="1501" t="e">
        <f t="shared" si="42"/>
        <v>#DIV/0!</v>
      </c>
      <c r="X71" s="1502" t="e">
        <f t="shared" si="46"/>
        <v>#DIV/0!</v>
      </c>
      <c r="Y71" s="1503">
        <f t="shared" si="43"/>
        <v>0</v>
      </c>
      <c r="Z71" s="1453" t="e">
        <f t="shared" si="44"/>
        <v>#DIV/0!</v>
      </c>
      <c r="AA71" s="1454" t="e">
        <f t="shared" si="45"/>
        <v>#DIV/0!</v>
      </c>
    </row>
    <row r="72" spans="2:27" x14ac:dyDescent="0.25">
      <c r="B72" s="1444">
        <v>14</v>
      </c>
      <c r="C72" s="1477">
        <f>TREND(C57:C58,B57:B58,B72)</f>
        <v>0</v>
      </c>
      <c r="D72" s="1495">
        <f>TREND(D57:D58,B57:B58,B72)</f>
        <v>0</v>
      </c>
      <c r="E72" s="1496">
        <f>TREND(E57:E58,B57:B58,B72)</f>
        <v>55</v>
      </c>
      <c r="F72" s="1497">
        <f>TREND(F57:F58,B57:B58,B72)</f>
        <v>55</v>
      </c>
      <c r="G72" s="1449" t="e">
        <f t="shared" si="30"/>
        <v>#DIV/0!</v>
      </c>
      <c r="H72" s="1450" t="e">
        <f t="shared" si="31"/>
        <v>#DIV/0!</v>
      </c>
      <c r="I72" s="1449" t="e">
        <f t="shared" si="32"/>
        <v>#DIV/0!</v>
      </c>
      <c r="J72" s="1450" t="e">
        <f t="shared" si="33"/>
        <v>#DIV/0!</v>
      </c>
      <c r="K72" s="1498" t="e">
        <f t="shared" si="34"/>
        <v>#DIV/0!</v>
      </c>
      <c r="L72" s="1499">
        <f t="shared" si="35"/>
        <v>0</v>
      </c>
      <c r="M72" s="1453" t="e">
        <f t="shared" si="36"/>
        <v>#DIV/0!</v>
      </c>
      <c r="N72" s="1454" t="e">
        <f t="shared" si="37"/>
        <v>#DIV/0!</v>
      </c>
      <c r="P72" s="1444">
        <v>14</v>
      </c>
      <c r="Q72" s="1477">
        <f>TREND(Q57:Q58,P57:P58,P72)</f>
        <v>0</v>
      </c>
      <c r="R72" s="1478">
        <f>TREND(R57:R58,P57:P58,P72)</f>
        <v>0</v>
      </c>
      <c r="S72" s="1494">
        <f t="shared" si="38"/>
        <v>0</v>
      </c>
      <c r="T72" s="1500" t="e">
        <f t="shared" si="39"/>
        <v>#DIV/0!</v>
      </c>
      <c r="U72" s="1476" t="e">
        <f t="shared" si="40"/>
        <v>#DIV/0!</v>
      </c>
      <c r="V72" s="1459" t="e">
        <f t="shared" si="41"/>
        <v>#DIV/0!</v>
      </c>
      <c r="W72" s="1501" t="e">
        <f t="shared" si="42"/>
        <v>#DIV/0!</v>
      </c>
      <c r="X72" s="1502" t="e">
        <f t="shared" si="46"/>
        <v>#DIV/0!</v>
      </c>
      <c r="Y72" s="1503">
        <f t="shared" si="43"/>
        <v>0</v>
      </c>
      <c r="Z72" s="1453" t="e">
        <f t="shared" si="44"/>
        <v>#DIV/0!</v>
      </c>
      <c r="AA72" s="1454" t="e">
        <f t="shared" si="45"/>
        <v>#DIV/0!</v>
      </c>
    </row>
    <row r="73" spans="2:27" x14ac:dyDescent="0.25">
      <c r="B73" s="1444">
        <v>15</v>
      </c>
      <c r="C73" s="1477">
        <f>TREND(C57:C58,B57:B58,B73)</f>
        <v>0</v>
      </c>
      <c r="D73" s="1495">
        <f>TREND(D57:D58,B57:B58,B73)</f>
        <v>0</v>
      </c>
      <c r="E73" s="1496">
        <f>TREND(E57:E58,B57:B58,B73)</f>
        <v>55</v>
      </c>
      <c r="F73" s="1497">
        <f>TREND(F57:F58,B57:B58,B73)</f>
        <v>55</v>
      </c>
      <c r="G73" s="1449" t="e">
        <f t="shared" si="30"/>
        <v>#DIV/0!</v>
      </c>
      <c r="H73" s="1450" t="e">
        <f t="shared" si="31"/>
        <v>#DIV/0!</v>
      </c>
      <c r="I73" s="1449" t="e">
        <f t="shared" si="32"/>
        <v>#DIV/0!</v>
      </c>
      <c r="J73" s="1450" t="e">
        <f t="shared" si="33"/>
        <v>#DIV/0!</v>
      </c>
      <c r="K73" s="1498" t="e">
        <f t="shared" si="34"/>
        <v>#DIV/0!</v>
      </c>
      <c r="L73" s="1499">
        <f t="shared" si="35"/>
        <v>0</v>
      </c>
      <c r="M73" s="1453" t="e">
        <f t="shared" si="36"/>
        <v>#DIV/0!</v>
      </c>
      <c r="N73" s="1454" t="e">
        <f t="shared" si="37"/>
        <v>#DIV/0!</v>
      </c>
      <c r="P73" s="1444">
        <v>15</v>
      </c>
      <c r="Q73" s="1477">
        <f>TREND(Q57:Q58,P57:P58,P73)</f>
        <v>0</v>
      </c>
      <c r="R73" s="1478">
        <f>TREND(R57:R58,P57:P58,P73)</f>
        <v>0</v>
      </c>
      <c r="S73" s="1494">
        <f t="shared" si="38"/>
        <v>0</v>
      </c>
      <c r="T73" s="1500" t="e">
        <f t="shared" si="39"/>
        <v>#DIV/0!</v>
      </c>
      <c r="U73" s="1476" t="e">
        <f t="shared" si="40"/>
        <v>#DIV/0!</v>
      </c>
      <c r="V73" s="1459" t="e">
        <f t="shared" si="41"/>
        <v>#DIV/0!</v>
      </c>
      <c r="W73" s="1501" t="e">
        <f t="shared" si="42"/>
        <v>#DIV/0!</v>
      </c>
      <c r="X73" s="1502" t="e">
        <f t="shared" si="46"/>
        <v>#DIV/0!</v>
      </c>
      <c r="Y73" s="1503">
        <f t="shared" si="43"/>
        <v>0</v>
      </c>
      <c r="Z73" s="1453" t="e">
        <f t="shared" si="44"/>
        <v>#DIV/0!</v>
      </c>
      <c r="AA73" s="1454" t="e">
        <f t="shared" si="45"/>
        <v>#DIV/0!</v>
      </c>
    </row>
    <row r="74" spans="2:27" x14ac:dyDescent="0.25">
      <c r="B74" s="1444">
        <v>16</v>
      </c>
      <c r="C74" s="1477">
        <f>TREND(C57:C58,B57:B58,B74)</f>
        <v>0</v>
      </c>
      <c r="D74" s="1495">
        <f>TREND(D57:D58,B57:B58,B74)</f>
        <v>0</v>
      </c>
      <c r="E74" s="1496">
        <f>TREND(E57:E58,B57:B58,B74)</f>
        <v>55</v>
      </c>
      <c r="F74" s="1497">
        <f>TREND(F57:F58,B57:B58,B74)</f>
        <v>55</v>
      </c>
      <c r="G74" s="1449" t="e">
        <f t="shared" si="30"/>
        <v>#DIV/0!</v>
      </c>
      <c r="H74" s="1450" t="e">
        <f t="shared" si="31"/>
        <v>#DIV/0!</v>
      </c>
      <c r="I74" s="1449" t="e">
        <f t="shared" si="32"/>
        <v>#DIV/0!</v>
      </c>
      <c r="J74" s="1450" t="e">
        <f t="shared" si="33"/>
        <v>#DIV/0!</v>
      </c>
      <c r="K74" s="1498" t="e">
        <f t="shared" si="34"/>
        <v>#DIV/0!</v>
      </c>
      <c r="L74" s="1499">
        <f t="shared" si="35"/>
        <v>0</v>
      </c>
      <c r="M74" s="1453" t="e">
        <f t="shared" si="36"/>
        <v>#DIV/0!</v>
      </c>
      <c r="N74" s="1454" t="e">
        <f t="shared" si="37"/>
        <v>#DIV/0!</v>
      </c>
      <c r="P74" s="1444">
        <v>16</v>
      </c>
      <c r="Q74" s="1477">
        <f>TREND(Q57:Q58,P57:P58,P74)</f>
        <v>0</v>
      </c>
      <c r="R74" s="1478">
        <f>TREND(R57:R58,P57:P58,P74)</f>
        <v>0</v>
      </c>
      <c r="S74" s="1494">
        <f t="shared" si="38"/>
        <v>0</v>
      </c>
      <c r="T74" s="1500" t="e">
        <f t="shared" si="39"/>
        <v>#DIV/0!</v>
      </c>
      <c r="U74" s="1476" t="e">
        <f t="shared" si="40"/>
        <v>#DIV/0!</v>
      </c>
      <c r="V74" s="1459" t="e">
        <f t="shared" si="41"/>
        <v>#DIV/0!</v>
      </c>
      <c r="W74" s="1501" t="e">
        <f t="shared" si="42"/>
        <v>#DIV/0!</v>
      </c>
      <c r="X74" s="1502" t="e">
        <f t="shared" si="46"/>
        <v>#DIV/0!</v>
      </c>
      <c r="Y74" s="1503">
        <f t="shared" si="43"/>
        <v>0</v>
      </c>
      <c r="Z74" s="1453" t="e">
        <f t="shared" si="44"/>
        <v>#DIV/0!</v>
      </c>
      <c r="AA74" s="1454" t="e">
        <f t="shared" si="45"/>
        <v>#DIV/0!</v>
      </c>
    </row>
    <row r="75" spans="2:27" x14ac:dyDescent="0.25">
      <c r="B75" s="1444">
        <v>17</v>
      </c>
      <c r="C75" s="1477">
        <f>TREND(C57:C58,B57:B58,B75)</f>
        <v>0</v>
      </c>
      <c r="D75" s="1495">
        <f>TREND(D57:D58,B57:B58,B75)</f>
        <v>0</v>
      </c>
      <c r="E75" s="1496">
        <f>TREND(E57:E58,B57:B58,B75)</f>
        <v>55</v>
      </c>
      <c r="F75" s="1497">
        <f>TREND(F57:F58,B57:B58,B75)</f>
        <v>55</v>
      </c>
      <c r="G75" s="1449" t="e">
        <f t="shared" si="30"/>
        <v>#DIV/0!</v>
      </c>
      <c r="H75" s="1450" t="e">
        <f t="shared" si="31"/>
        <v>#DIV/0!</v>
      </c>
      <c r="I75" s="1449" t="e">
        <f t="shared" si="32"/>
        <v>#DIV/0!</v>
      </c>
      <c r="J75" s="1450" t="e">
        <f t="shared" si="33"/>
        <v>#DIV/0!</v>
      </c>
      <c r="K75" s="1498" t="e">
        <f t="shared" si="34"/>
        <v>#DIV/0!</v>
      </c>
      <c r="L75" s="1499">
        <f t="shared" si="35"/>
        <v>0</v>
      </c>
      <c r="M75" s="1453" t="e">
        <f t="shared" si="36"/>
        <v>#DIV/0!</v>
      </c>
      <c r="N75" s="1454" t="e">
        <f t="shared" si="37"/>
        <v>#DIV/0!</v>
      </c>
      <c r="P75" s="1444">
        <v>17</v>
      </c>
      <c r="Q75" s="1477">
        <f>TREND(Q57:Q58,P57:P58,P75)</f>
        <v>0</v>
      </c>
      <c r="R75" s="1478">
        <f>TREND(R57:R58,P57:P58,P75)</f>
        <v>0</v>
      </c>
      <c r="S75" s="1494">
        <f t="shared" si="38"/>
        <v>0</v>
      </c>
      <c r="T75" s="1500" t="e">
        <f t="shared" si="39"/>
        <v>#DIV/0!</v>
      </c>
      <c r="U75" s="1476" t="e">
        <f t="shared" si="40"/>
        <v>#DIV/0!</v>
      </c>
      <c r="V75" s="1459" t="e">
        <f t="shared" si="41"/>
        <v>#DIV/0!</v>
      </c>
      <c r="W75" s="1501" t="e">
        <f t="shared" si="42"/>
        <v>#DIV/0!</v>
      </c>
      <c r="X75" s="1502" t="e">
        <f t="shared" si="46"/>
        <v>#DIV/0!</v>
      </c>
      <c r="Y75" s="1503">
        <f t="shared" si="43"/>
        <v>0</v>
      </c>
      <c r="Z75" s="1453" t="e">
        <f t="shared" si="44"/>
        <v>#DIV/0!</v>
      </c>
      <c r="AA75" s="1454" t="e">
        <f t="shared" si="45"/>
        <v>#DIV/0!</v>
      </c>
    </row>
    <row r="76" spans="2:27" x14ac:dyDescent="0.25">
      <c r="B76" s="1444">
        <v>18</v>
      </c>
      <c r="C76" s="1477">
        <f>TREND(C57:C58,B57:B58,B76)</f>
        <v>0</v>
      </c>
      <c r="D76" s="1495">
        <f>TREND(D57:D58,B57:B58,B76)</f>
        <v>0</v>
      </c>
      <c r="E76" s="1496">
        <f>TREND(E57:E58,B57:B58,B76)</f>
        <v>55</v>
      </c>
      <c r="F76" s="1497">
        <f>TREND(F57:F58,B57:B58,B76)</f>
        <v>55</v>
      </c>
      <c r="G76" s="1449" t="e">
        <f t="shared" si="30"/>
        <v>#DIV/0!</v>
      </c>
      <c r="H76" s="1450" t="e">
        <f t="shared" si="31"/>
        <v>#DIV/0!</v>
      </c>
      <c r="I76" s="1449" t="e">
        <f t="shared" si="32"/>
        <v>#DIV/0!</v>
      </c>
      <c r="J76" s="1450" t="e">
        <f t="shared" si="33"/>
        <v>#DIV/0!</v>
      </c>
      <c r="K76" s="1498" t="e">
        <f t="shared" si="34"/>
        <v>#DIV/0!</v>
      </c>
      <c r="L76" s="1499">
        <f t="shared" si="35"/>
        <v>0</v>
      </c>
      <c r="M76" s="1453" t="e">
        <f t="shared" si="36"/>
        <v>#DIV/0!</v>
      </c>
      <c r="N76" s="1454" t="e">
        <f t="shared" si="37"/>
        <v>#DIV/0!</v>
      </c>
      <c r="P76" s="1444">
        <v>18</v>
      </c>
      <c r="Q76" s="1477">
        <f>TREND(Q57:Q58,P57:P58,P76)</f>
        <v>0</v>
      </c>
      <c r="R76" s="1478">
        <f>TREND(R57:R58,P57:P58,P76)</f>
        <v>0</v>
      </c>
      <c r="S76" s="1494">
        <f t="shared" si="38"/>
        <v>0</v>
      </c>
      <c r="T76" s="1500" t="e">
        <f t="shared" si="39"/>
        <v>#DIV/0!</v>
      </c>
      <c r="U76" s="1476" t="e">
        <f t="shared" si="40"/>
        <v>#DIV/0!</v>
      </c>
      <c r="V76" s="1459" t="e">
        <f t="shared" si="41"/>
        <v>#DIV/0!</v>
      </c>
      <c r="W76" s="1501" t="e">
        <f t="shared" si="42"/>
        <v>#DIV/0!</v>
      </c>
      <c r="X76" s="1502" t="e">
        <f t="shared" si="46"/>
        <v>#DIV/0!</v>
      </c>
      <c r="Y76" s="1503">
        <f t="shared" si="43"/>
        <v>0</v>
      </c>
      <c r="Z76" s="1453" t="e">
        <f t="shared" si="44"/>
        <v>#DIV/0!</v>
      </c>
      <c r="AA76" s="1454" t="e">
        <f t="shared" si="45"/>
        <v>#DIV/0!</v>
      </c>
    </row>
    <row r="77" spans="2:27" x14ac:dyDescent="0.25">
      <c r="B77" s="1504">
        <v>19</v>
      </c>
      <c r="C77" s="1505">
        <f>TREND(C57:C58,B57:B58,B77)</f>
        <v>0</v>
      </c>
      <c r="D77" s="1506">
        <f>TREND(D57:D58,B57:B58,B77)</f>
        <v>0</v>
      </c>
      <c r="E77" s="1507">
        <f>TREND(E57:E58,B57:B58,B77)</f>
        <v>55</v>
      </c>
      <c r="F77" s="1508">
        <f>TREND(F57:F58,B57:B58,B77)</f>
        <v>55</v>
      </c>
      <c r="G77" s="1449" t="e">
        <f t="shared" si="30"/>
        <v>#DIV/0!</v>
      </c>
      <c r="H77" s="1450" t="e">
        <f t="shared" si="31"/>
        <v>#DIV/0!</v>
      </c>
      <c r="I77" s="1449" t="e">
        <f t="shared" si="32"/>
        <v>#DIV/0!</v>
      </c>
      <c r="J77" s="1450" t="e">
        <f t="shared" si="33"/>
        <v>#DIV/0!</v>
      </c>
      <c r="K77" s="1471" t="e">
        <f t="shared" si="34"/>
        <v>#DIV/0!</v>
      </c>
      <c r="L77" s="1499">
        <f t="shared" si="35"/>
        <v>0</v>
      </c>
      <c r="M77" s="1453" t="e">
        <f t="shared" si="36"/>
        <v>#DIV/0!</v>
      </c>
      <c r="N77" s="1454" t="e">
        <f t="shared" si="37"/>
        <v>#DIV/0!</v>
      </c>
      <c r="P77" s="1504">
        <v>19</v>
      </c>
      <c r="Q77" s="1505">
        <f>TREND(Q57:Q58,P57:P58,P77)</f>
        <v>0</v>
      </c>
      <c r="R77" s="1509">
        <f>TREND(R57:R58,P57:P58,P77)</f>
        <v>0</v>
      </c>
      <c r="S77" s="1494">
        <f t="shared" si="38"/>
        <v>0</v>
      </c>
      <c r="T77" s="1510" t="e">
        <f t="shared" si="39"/>
        <v>#DIV/0!</v>
      </c>
      <c r="U77" s="1511" t="e">
        <f t="shared" si="40"/>
        <v>#DIV/0!</v>
      </c>
      <c r="V77" s="1459" t="e">
        <f t="shared" si="41"/>
        <v>#DIV/0!</v>
      </c>
      <c r="W77" s="1512" t="e">
        <f t="shared" si="42"/>
        <v>#DIV/0!</v>
      </c>
      <c r="X77" s="1502" t="e">
        <f t="shared" si="46"/>
        <v>#DIV/0!</v>
      </c>
      <c r="Y77" s="1479">
        <f t="shared" si="43"/>
        <v>0</v>
      </c>
      <c r="Z77" s="1453" t="e">
        <f t="shared" si="44"/>
        <v>#DIV/0!</v>
      </c>
      <c r="AA77" s="1454" t="e">
        <f t="shared" si="45"/>
        <v>#DIV/0!</v>
      </c>
    </row>
    <row r="78" spans="2:27" x14ac:dyDescent="0.25">
      <c r="B78" s="1480"/>
      <c r="C78" s="1481"/>
      <c r="D78" s="1481"/>
      <c r="E78" s="1481"/>
      <c r="F78" s="1481"/>
      <c r="G78" s="1481"/>
      <c r="H78" s="1481"/>
      <c r="I78" s="1486"/>
      <c r="J78" s="1486"/>
      <c r="K78" s="1486"/>
      <c r="L78" s="1486"/>
      <c r="M78" s="1486"/>
      <c r="N78" s="1487"/>
      <c r="P78" s="1480"/>
      <c r="Q78" s="1481"/>
      <c r="R78" s="1481"/>
      <c r="S78" s="1481"/>
      <c r="T78" s="1481"/>
      <c r="U78" s="1481"/>
      <c r="V78" s="1481"/>
      <c r="W78" s="1486"/>
      <c r="X78" s="1486"/>
      <c r="Y78" s="1486"/>
      <c r="Z78" s="1486"/>
      <c r="AA78" s="1487"/>
    </row>
    <row r="79" spans="2:27" ht="13" x14ac:dyDescent="0.25">
      <c r="B79" s="329" t="s">
        <v>172</v>
      </c>
      <c r="C79" s="1513"/>
      <c r="D79" s="1514"/>
      <c r="E79" s="1514"/>
      <c r="F79" s="1514"/>
      <c r="G79" s="1514"/>
      <c r="H79" s="1514"/>
      <c r="I79" s="1514"/>
      <c r="J79" s="1514"/>
      <c r="K79" s="1514"/>
      <c r="L79" s="1514"/>
      <c r="M79" s="1514"/>
      <c r="N79" s="342" t="e">
        <f>SUM(N57:N77)</f>
        <v>#DIV/0!</v>
      </c>
      <c r="P79" s="329" t="s">
        <v>172</v>
      </c>
      <c r="Q79" s="1513"/>
      <c r="R79" s="1514"/>
      <c r="S79" s="1514"/>
      <c r="T79" s="1514"/>
      <c r="U79" s="1514"/>
      <c r="V79" s="1514"/>
      <c r="W79" s="1514"/>
      <c r="X79" s="1514"/>
      <c r="Y79" s="1515"/>
      <c r="Z79" s="1514"/>
      <c r="AA79" s="342" t="e">
        <f>SUM(AA57:AA77)</f>
        <v>#DIV/0!</v>
      </c>
    </row>
    <row r="80" spans="2:27" x14ac:dyDescent="0.25">
      <c r="G80" s="1383"/>
      <c r="H80" s="1383"/>
      <c r="I80" s="1384"/>
      <c r="K80" s="1366"/>
    </row>
    <row r="81" spans="2:27" x14ac:dyDescent="0.25">
      <c r="G81" s="1383"/>
      <c r="H81" s="1383"/>
      <c r="I81" s="1384"/>
      <c r="K81" s="1366"/>
    </row>
    <row r="82" spans="2:27" ht="13" x14ac:dyDescent="0.25">
      <c r="B82" s="350" t="s">
        <v>505</v>
      </c>
      <c r="C82" s="1386"/>
      <c r="D82" s="1386"/>
      <c r="E82" s="1386"/>
      <c r="F82" s="1386"/>
      <c r="G82" s="1386"/>
      <c r="H82" s="1386"/>
      <c r="I82" s="1422"/>
      <c r="J82" s="1422"/>
      <c r="K82" s="1386"/>
      <c r="L82" s="1422"/>
      <c r="M82" s="1386"/>
      <c r="N82" s="1386"/>
      <c r="P82" s="350"/>
      <c r="Q82" s="1386"/>
      <c r="R82" s="1386"/>
      <c r="S82" s="1386"/>
      <c r="T82" s="1386"/>
      <c r="U82" s="1386"/>
      <c r="V82" s="1386"/>
      <c r="W82" s="1422"/>
      <c r="X82" s="1422"/>
      <c r="Y82" s="1386"/>
      <c r="Z82" s="1386"/>
      <c r="AA82" s="1386"/>
    </row>
    <row r="83" spans="2:27" x14ac:dyDescent="0.25">
      <c r="B83" s="1386"/>
      <c r="C83" s="1386"/>
      <c r="D83" s="1427"/>
      <c r="E83" s="1427"/>
      <c r="F83" s="1427"/>
      <c r="G83" s="1427"/>
      <c r="H83" s="1427"/>
      <c r="I83" s="1386"/>
      <c r="J83" s="1386"/>
      <c r="K83" s="1386"/>
      <c r="L83" s="1386"/>
      <c r="M83" s="1386"/>
      <c r="N83" s="1425"/>
      <c r="P83" s="1386"/>
      <c r="Q83" s="1386"/>
      <c r="R83" s="1427"/>
      <c r="S83" s="1427"/>
      <c r="T83" s="1427"/>
      <c r="U83" s="1427"/>
      <c r="V83" s="1427"/>
      <c r="W83" s="1386"/>
      <c r="X83" s="1386"/>
      <c r="Y83" s="1386"/>
      <c r="Z83" s="1386"/>
      <c r="AA83" s="1425"/>
    </row>
    <row r="84" spans="2:27" ht="15.5" x14ac:dyDescent="0.25">
      <c r="B84" s="1428"/>
      <c r="C84" s="320" t="s">
        <v>230</v>
      </c>
      <c r="D84" s="1429"/>
      <c r="E84" s="320" t="s">
        <v>231</v>
      </c>
      <c r="F84" s="1429"/>
      <c r="G84" s="320" t="s">
        <v>808</v>
      </c>
      <c r="H84" s="1430"/>
      <c r="I84" s="335" t="s">
        <v>809</v>
      </c>
      <c r="J84" s="1429"/>
      <c r="K84" s="335" t="s">
        <v>810</v>
      </c>
      <c r="L84" s="321"/>
      <c r="M84" s="322"/>
      <c r="N84" s="1431"/>
      <c r="P84" s="1386"/>
      <c r="Q84" s="1529"/>
      <c r="R84" s="1521"/>
      <c r="S84" s="1521"/>
      <c r="T84" s="1529"/>
      <c r="U84" s="1521"/>
      <c r="V84" s="1521"/>
      <c r="W84" s="1529"/>
      <c r="X84" s="1529"/>
      <c r="Y84" s="1529"/>
      <c r="Z84" s="1530"/>
      <c r="AA84" s="1386"/>
    </row>
    <row r="85" spans="2:27" ht="15.5" x14ac:dyDescent="0.25">
      <c r="B85" s="1434"/>
      <c r="C85" s="1435" t="s">
        <v>812</v>
      </c>
      <c r="D85" s="362"/>
      <c r="E85" s="1435" t="s">
        <v>238</v>
      </c>
      <c r="F85" s="362"/>
      <c r="G85" s="1435" t="s">
        <v>813</v>
      </c>
      <c r="H85" s="1436"/>
      <c r="I85" s="1437" t="s">
        <v>814</v>
      </c>
      <c r="J85" s="362"/>
      <c r="K85" s="336" t="s">
        <v>552</v>
      </c>
      <c r="L85" s="288"/>
      <c r="M85" s="1438"/>
      <c r="N85" s="1439"/>
      <c r="P85" s="1366"/>
      <c r="Q85" s="1531"/>
      <c r="R85" s="1532"/>
      <c r="S85" s="1532"/>
      <c r="T85" s="1531"/>
      <c r="U85" s="1532"/>
      <c r="V85" s="1532"/>
      <c r="W85" s="1531"/>
      <c r="X85" s="1531"/>
      <c r="Y85" s="1531"/>
      <c r="Z85" s="1386"/>
      <c r="AA85" s="1386"/>
    </row>
    <row r="86" spans="2:27" ht="14" x14ac:dyDescent="0.25">
      <c r="B86" s="169" t="s">
        <v>135</v>
      </c>
      <c r="C86" s="1441"/>
      <c r="D86" s="283"/>
      <c r="E86" s="1441"/>
      <c r="F86" s="283"/>
      <c r="G86" s="1441"/>
      <c r="H86" s="283"/>
      <c r="I86" s="1435" t="s">
        <v>818</v>
      </c>
      <c r="J86" s="362"/>
      <c r="K86" s="1441" t="s">
        <v>151</v>
      </c>
      <c r="L86" s="283" t="s">
        <v>152</v>
      </c>
      <c r="M86" s="286" t="s">
        <v>242</v>
      </c>
      <c r="N86" s="345" t="s">
        <v>139</v>
      </c>
      <c r="P86" s="1533"/>
      <c r="Q86" s="1534"/>
      <c r="R86" s="1534"/>
      <c r="S86" s="1534"/>
      <c r="T86" s="1534"/>
      <c r="U86" s="1534"/>
      <c r="V86" s="1534"/>
      <c r="W86" s="1534"/>
      <c r="X86" s="1534"/>
      <c r="Y86" s="1534"/>
      <c r="Z86" s="1533"/>
      <c r="AA86" s="1533"/>
    </row>
    <row r="87" spans="2:27" ht="14" x14ac:dyDescent="0.25">
      <c r="B87" s="319"/>
      <c r="C87" s="324" t="s">
        <v>0</v>
      </c>
      <c r="D87" s="325" t="s">
        <v>1</v>
      </c>
      <c r="E87" s="324" t="s">
        <v>0</v>
      </c>
      <c r="F87" s="325" t="s">
        <v>1</v>
      </c>
      <c r="G87" s="324" t="s">
        <v>0</v>
      </c>
      <c r="H87" s="325" t="s">
        <v>1</v>
      </c>
      <c r="I87" s="324" t="s">
        <v>0</v>
      </c>
      <c r="J87" s="325" t="s">
        <v>1</v>
      </c>
      <c r="K87" s="324" t="s">
        <v>244</v>
      </c>
      <c r="L87" s="325" t="s">
        <v>245</v>
      </c>
      <c r="M87" s="326" t="s">
        <v>148</v>
      </c>
      <c r="N87" s="346" t="s">
        <v>149</v>
      </c>
      <c r="P87" s="1535"/>
      <c r="Q87" s="1534"/>
      <c r="R87" s="1534"/>
      <c r="S87" s="1534"/>
      <c r="T87" s="1534"/>
      <c r="U87" s="1534"/>
      <c r="V87" s="1534"/>
      <c r="W87" s="1534"/>
      <c r="X87" s="1534"/>
      <c r="Y87" s="1534"/>
      <c r="Z87" s="1533"/>
      <c r="AA87" s="1533"/>
    </row>
    <row r="88" spans="2:27" x14ac:dyDescent="0.25">
      <c r="B88" s="1444">
        <v>1</v>
      </c>
      <c r="C88" s="1445">
        <f>PWV1NB</f>
        <v>0</v>
      </c>
      <c r="D88" s="1446">
        <f>PWV1B</f>
        <v>0</v>
      </c>
      <c r="E88" s="1447">
        <f>PWS1NB</f>
        <v>55</v>
      </c>
      <c r="F88" s="1448">
        <f>PWS1B</f>
        <v>55</v>
      </c>
      <c r="G88" s="1449" t="e">
        <f>MAX(1/E88-1/FFSpeedNB, 0)</f>
        <v>#DIV/0!</v>
      </c>
      <c r="H88" s="1450" t="e">
        <f>MAX(1/F88-1/FFSpeedB, 0)</f>
        <v>#DIV/0!</v>
      </c>
      <c r="I88" s="1449" t="e">
        <f>AlphaSTD*MAX(AlphaTTI*(1+FFSpeedNB*G88)^BetaTTI-1,0)^BetaSTD*ImpactedNB/FFSpeedNB*PWRAdj</f>
        <v>#DIV/0!</v>
      </c>
      <c r="J88" s="1450" t="e">
        <f>AlphaSTD*MAX(AlphaTTI*(1+FFSpeedB*H88)^BetaTTI-1,0)^BetaSTD*ImpactedB/FFSpeedB*PWRAdj</f>
        <v>#DIV/0!</v>
      </c>
      <c r="K88" s="1451" t="e">
        <f>IF(OR(TruckLane,Bypass,HOV2to3,HOTConv,OnRamp,RM,AM,IM,TI), C88*AVOPeakNB*I88-D88*AVOPeakB*J88, MIN(C88*AVOPeakNB,D88*AVOPeakB)*(I88-J88))*AnnualFactor</f>
        <v>#DIV/0!</v>
      </c>
      <c r="L88" s="1452">
        <f>IF(AND(D88*AVOPeakB&gt;C88*AVOPeakNB, NOT(OR(TruckLane,Bypass,HOV2to3,HOTConv,OnRamp,RM,AM,IM,TI)),Induced="Y"), (D88*AVOPeakB-C88*AVOPeakNB)*(I88-J88)*0.5*AnnualFactor, 0)</f>
        <v>0</v>
      </c>
      <c r="M88" s="1453" t="e">
        <f>(K88+L88)*ValTimeAuto*ValRelAuto*IF(IM,ValTimeIMFactor,1)*(1+TTUprater)^($B88+Construct-1)</f>
        <v>#DIV/0!</v>
      </c>
      <c r="N88" s="1454" t="e">
        <f>$M88/(1+DiscRate)^($B88+Construct-1)</f>
        <v>#DIV/0!</v>
      </c>
      <c r="P88" s="1536"/>
      <c r="Q88" s="1537"/>
      <c r="R88" s="1537"/>
      <c r="S88" s="1537"/>
      <c r="T88" s="1538"/>
      <c r="U88" s="1538"/>
      <c r="V88" s="1538"/>
      <c r="W88" s="1539"/>
      <c r="X88" s="1539"/>
      <c r="Y88" s="1539"/>
      <c r="Z88" s="1540"/>
      <c r="AA88" s="1541"/>
    </row>
    <row r="89" spans="2:27" x14ac:dyDescent="0.25">
      <c r="B89" s="1466">
        <v>20</v>
      </c>
      <c r="C89" s="1467">
        <f>PWV20NB</f>
        <v>0</v>
      </c>
      <c r="D89" s="1468">
        <f>PWV20B</f>
        <v>0</v>
      </c>
      <c r="E89" s="1469">
        <f>PWS20NB</f>
        <v>55</v>
      </c>
      <c r="F89" s="1470">
        <f>PWS20B</f>
        <v>55</v>
      </c>
      <c r="G89" s="1449" t="e">
        <f>MAX(1/E89-1/FFSpeedNB, 0)</f>
        <v>#DIV/0!</v>
      </c>
      <c r="H89" s="1450" t="e">
        <f>MAX(1/F89-1/FFSpeedB, 0)</f>
        <v>#DIV/0!</v>
      </c>
      <c r="I89" s="1449" t="e">
        <f>AlphaSTD*MAX(AlphaTTI*(1+FFSpeedNB*G89)^BetaTTI-1,0)^BetaSTD*ImpactedNB/FFSpeedNB*PWRAdj</f>
        <v>#DIV/0!</v>
      </c>
      <c r="J89" s="1450" t="e">
        <f>AlphaSTD*MAX(AlphaTTI*(1+FFSpeedB*H89)^BetaTTI-1,0)^BetaSTD*ImpactedB/FFSpeedB*PWRAdj</f>
        <v>#DIV/0!</v>
      </c>
      <c r="K89" s="1471" t="e">
        <f>IF(OR(TruckLane,Bypass,HOV2to3,HOTConv,OnRamp,RM,AM,IM,TI), C89*AVOPeakNB*I89-D89*AVOPeakB*J89, MIN(C89*AVOPeakNB,D89*AVOPeakB)*(I89-J89))*AnnualFactor</f>
        <v>#DIV/0!</v>
      </c>
      <c r="L89" s="1472">
        <f>IF(AND(D89*AVOPeakB&gt;C89*AVOPeakNB, NOT(OR(TruckLane,Bypass,HOV2to3,HOTConv,OnRamp,RM,AM,IM,TI)),Induced="Y"), (D89*AVOPeakB-C89*AVOPeakNB)*(I89-J89)*0.5*AnnualFactor, 0)</f>
        <v>0</v>
      </c>
      <c r="M89" s="1453" t="e">
        <f>(K89+L89)*ValTimeAuto*ValRelAuto*IF(IM,ValTimeIMFactor,1)*(1+TTUprater)^($B89+Construct-1)</f>
        <v>#DIV/0!</v>
      </c>
      <c r="N89" s="1454" t="e">
        <f>$M89/(1+DiscRate)^($B89+Construct-1)</f>
        <v>#DIV/0!</v>
      </c>
      <c r="P89" s="1536"/>
      <c r="Q89" s="1537"/>
      <c r="R89" s="1537"/>
      <c r="S89" s="1537"/>
      <c r="T89" s="1538"/>
      <c r="U89" s="1538"/>
      <c r="V89" s="1538"/>
      <c r="W89" s="1539"/>
      <c r="X89" s="1539"/>
      <c r="Y89" s="1539"/>
      <c r="Z89" s="1540"/>
      <c r="AA89" s="1541"/>
    </row>
    <row r="90" spans="2:27" x14ac:dyDescent="0.25">
      <c r="B90" s="1480"/>
      <c r="C90" s="1481"/>
      <c r="D90" s="1481"/>
      <c r="E90" s="1481"/>
      <c r="F90" s="1481"/>
      <c r="G90" s="1542"/>
      <c r="H90" s="1482"/>
      <c r="I90" s="1486"/>
      <c r="J90" s="1486"/>
      <c r="K90" s="1486"/>
      <c r="L90" s="1486"/>
      <c r="M90" s="1486"/>
      <c r="N90" s="1487"/>
      <c r="P90" s="1536"/>
      <c r="Q90" s="1537"/>
      <c r="R90" s="1537"/>
      <c r="S90" s="1537"/>
      <c r="T90" s="1538"/>
      <c r="U90" s="1538"/>
      <c r="V90" s="1538"/>
      <c r="W90" s="1539"/>
      <c r="X90" s="1539"/>
      <c r="Y90" s="1539"/>
      <c r="Z90" s="1539"/>
      <c r="AA90" s="1489"/>
    </row>
    <row r="91" spans="2:27" x14ac:dyDescent="0.25">
      <c r="B91" s="1490">
        <v>2</v>
      </c>
      <c r="C91" s="1460">
        <f>TREND(C88:C89,B88:B89,B91)</f>
        <v>0</v>
      </c>
      <c r="D91" s="1491">
        <f>TREND(D88:D89,B88:B89,B91)</f>
        <v>0</v>
      </c>
      <c r="E91" s="1492">
        <f>TREND(E88:E89,B88:B89,B91)</f>
        <v>55</v>
      </c>
      <c r="F91" s="1493">
        <f>TREND(F88:F89,B88:B89,B91)</f>
        <v>55</v>
      </c>
      <c r="G91" s="1449" t="e">
        <f t="shared" ref="G91:G108" si="47">MAX(1/E91-1/FFSpeedNB, 0)</f>
        <v>#DIV/0!</v>
      </c>
      <c r="H91" s="1450" t="e">
        <f t="shared" ref="H91:H108" si="48">MAX(1/F91-1/FFSpeedB, 0)</f>
        <v>#DIV/0!</v>
      </c>
      <c r="I91" s="1449" t="e">
        <f t="shared" ref="I91:I108" si="49">AlphaSTD*MAX(AlphaTTI*(1+FFSpeedNB*G91)^BetaTTI-1,0)^BetaSTD*ImpactedNB/FFSpeedNB*PWRAdj</f>
        <v>#DIV/0!</v>
      </c>
      <c r="J91" s="1450" t="e">
        <f t="shared" ref="J91:J108" si="50">AlphaSTD*MAX(AlphaTTI*(1+FFSpeedB*H91)^BetaTTI-1,0)^BetaSTD*ImpactedB/FFSpeedB*PWRAdj</f>
        <v>#DIV/0!</v>
      </c>
      <c r="K91" s="1451" t="e">
        <f t="shared" ref="K91:K108" si="51">IF(OR(TruckLane,Bypass,HOV2to3,HOTConv,OnRamp,RM,AM,IM,TI), C91*AVOPeakNB*I91-D91*AVOPeakB*J91, MIN(C91*AVOPeakNB,D91*AVOPeakB)*(I91-J91))*AnnualFactor</f>
        <v>#DIV/0!</v>
      </c>
      <c r="L91" s="1452">
        <f t="shared" ref="L91:L108" si="52">IF(AND(D91*AVOPeakB&gt;C91*AVOPeakNB, NOT(OR(TruckLane,Bypass,HOV2to3,HOTConv,OnRamp,RM,AM,IM,TI)),Induced="Y"), (D91*AVOPeakB-C91*AVOPeakNB)*(I91-J91)*0.5*AnnualFactor, 0)</f>
        <v>0</v>
      </c>
      <c r="M91" s="1453" t="e">
        <f t="shared" ref="M91:M108" si="53">(K91+L91)*ValTimeAuto*ValRelAuto*IF(IM,ValTimeIMFactor,1)*(1+TTUprater)^($B91+Construct-1)</f>
        <v>#DIV/0!</v>
      </c>
      <c r="N91" s="1454" t="e">
        <f t="shared" ref="N91:N108" si="54">$M91/(1+DiscRate)^($B91+Construct-1)</f>
        <v>#DIV/0!</v>
      </c>
      <c r="P91" s="1536"/>
      <c r="Q91" s="1537"/>
      <c r="R91" s="1537"/>
      <c r="S91" s="1537"/>
      <c r="T91" s="1538"/>
      <c r="U91" s="1538"/>
      <c r="V91" s="1538"/>
      <c r="W91" s="1539"/>
      <c r="X91" s="1539"/>
      <c r="Y91" s="1539"/>
      <c r="Z91" s="1540"/>
      <c r="AA91" s="1541"/>
    </row>
    <row r="92" spans="2:27" x14ac:dyDescent="0.25">
      <c r="B92" s="1444">
        <v>3</v>
      </c>
      <c r="C92" s="1477">
        <f>TREND(C88:C89,B88:B89,B92)</f>
        <v>0</v>
      </c>
      <c r="D92" s="1495">
        <f>TREND(D88:D89,B88:B89,B92)</f>
        <v>0</v>
      </c>
      <c r="E92" s="1496">
        <f>TREND(E88:E89,B88:B89,B92)</f>
        <v>55</v>
      </c>
      <c r="F92" s="1497">
        <f>TREND(F88:F89,B88:B89,B92)</f>
        <v>55</v>
      </c>
      <c r="G92" s="1449" t="e">
        <f t="shared" si="47"/>
        <v>#DIV/0!</v>
      </c>
      <c r="H92" s="1450" t="e">
        <f t="shared" si="48"/>
        <v>#DIV/0!</v>
      </c>
      <c r="I92" s="1449" t="e">
        <f t="shared" si="49"/>
        <v>#DIV/0!</v>
      </c>
      <c r="J92" s="1450" t="e">
        <f t="shared" si="50"/>
        <v>#DIV/0!</v>
      </c>
      <c r="K92" s="1498" t="e">
        <f t="shared" si="51"/>
        <v>#DIV/0!</v>
      </c>
      <c r="L92" s="1499">
        <f t="shared" si="52"/>
        <v>0</v>
      </c>
      <c r="M92" s="1453" t="e">
        <f t="shared" si="53"/>
        <v>#DIV/0!</v>
      </c>
      <c r="N92" s="1454" t="e">
        <f t="shared" si="54"/>
        <v>#DIV/0!</v>
      </c>
      <c r="P92" s="1536"/>
      <c r="Q92" s="1537"/>
      <c r="R92" s="1537"/>
      <c r="S92" s="1537"/>
      <c r="T92" s="1538"/>
      <c r="U92" s="1538"/>
      <c r="V92" s="1538"/>
      <c r="W92" s="1539"/>
      <c r="X92" s="1539"/>
      <c r="Y92" s="1539"/>
      <c r="Z92" s="1540"/>
      <c r="AA92" s="1541"/>
    </row>
    <row r="93" spans="2:27" x14ac:dyDescent="0.25">
      <c r="B93" s="1444">
        <v>4</v>
      </c>
      <c r="C93" s="1477">
        <f>TREND(C88:C89,B88:B89,B93)</f>
        <v>0</v>
      </c>
      <c r="D93" s="1495">
        <f>TREND(D88:D89,B88:B89,B93)</f>
        <v>0</v>
      </c>
      <c r="E93" s="1496">
        <f>TREND(E88:E89,B88:B89,B93)</f>
        <v>55</v>
      </c>
      <c r="F93" s="1497">
        <f>TREND(F88:F89,B88:B89,B93)</f>
        <v>55</v>
      </c>
      <c r="G93" s="1449" t="e">
        <f t="shared" si="47"/>
        <v>#DIV/0!</v>
      </c>
      <c r="H93" s="1450" t="e">
        <f t="shared" si="48"/>
        <v>#DIV/0!</v>
      </c>
      <c r="I93" s="1449" t="e">
        <f t="shared" si="49"/>
        <v>#DIV/0!</v>
      </c>
      <c r="J93" s="1450" t="e">
        <f t="shared" si="50"/>
        <v>#DIV/0!</v>
      </c>
      <c r="K93" s="1498" t="e">
        <f t="shared" si="51"/>
        <v>#DIV/0!</v>
      </c>
      <c r="L93" s="1499">
        <f t="shared" si="52"/>
        <v>0</v>
      </c>
      <c r="M93" s="1453" t="e">
        <f t="shared" si="53"/>
        <v>#DIV/0!</v>
      </c>
      <c r="N93" s="1454" t="e">
        <f t="shared" si="54"/>
        <v>#DIV/0!</v>
      </c>
      <c r="P93" s="1536"/>
      <c r="Q93" s="1537"/>
      <c r="R93" s="1537"/>
      <c r="S93" s="1537"/>
      <c r="T93" s="1538"/>
      <c r="U93" s="1538"/>
      <c r="V93" s="1538"/>
      <c r="W93" s="1539"/>
      <c r="X93" s="1539"/>
      <c r="Y93" s="1539"/>
      <c r="Z93" s="1540"/>
      <c r="AA93" s="1541"/>
    </row>
    <row r="94" spans="2:27" x14ac:dyDescent="0.25">
      <c r="B94" s="1444">
        <v>5</v>
      </c>
      <c r="C94" s="1477">
        <f>TREND(C88:C89,B88:B89,B94)</f>
        <v>0</v>
      </c>
      <c r="D94" s="1495">
        <f>TREND(D88:D89,B88:B89,B94)</f>
        <v>0</v>
      </c>
      <c r="E94" s="1496">
        <f>TREND(E88:E89,B88:B89,B94)</f>
        <v>55</v>
      </c>
      <c r="F94" s="1497">
        <f>TREND(F88:F89,B88:B89,B94)</f>
        <v>55</v>
      </c>
      <c r="G94" s="1449" t="e">
        <f t="shared" si="47"/>
        <v>#DIV/0!</v>
      </c>
      <c r="H94" s="1450" t="e">
        <f t="shared" si="48"/>
        <v>#DIV/0!</v>
      </c>
      <c r="I94" s="1449" t="e">
        <f t="shared" si="49"/>
        <v>#DIV/0!</v>
      </c>
      <c r="J94" s="1450" t="e">
        <f t="shared" si="50"/>
        <v>#DIV/0!</v>
      </c>
      <c r="K94" s="1498" t="e">
        <f t="shared" si="51"/>
        <v>#DIV/0!</v>
      </c>
      <c r="L94" s="1499">
        <f t="shared" si="52"/>
        <v>0</v>
      </c>
      <c r="M94" s="1453" t="e">
        <f t="shared" si="53"/>
        <v>#DIV/0!</v>
      </c>
      <c r="N94" s="1454" t="e">
        <f t="shared" si="54"/>
        <v>#DIV/0!</v>
      </c>
      <c r="P94" s="1536"/>
      <c r="Q94" s="1537"/>
      <c r="R94" s="1537"/>
      <c r="S94" s="1537"/>
      <c r="T94" s="1538"/>
      <c r="U94" s="1538"/>
      <c r="V94" s="1538"/>
      <c r="W94" s="1539"/>
      <c r="X94" s="1539"/>
      <c r="Y94" s="1539"/>
      <c r="Z94" s="1540"/>
      <c r="AA94" s="1541"/>
    </row>
    <row r="95" spans="2:27" x14ac:dyDescent="0.25">
      <c r="B95" s="1444">
        <v>6</v>
      </c>
      <c r="C95" s="1477">
        <f>TREND(C88:C89,B88:B89,B95)</f>
        <v>0</v>
      </c>
      <c r="D95" s="1495">
        <f>TREND(D88:D89,B88:B89,B95)</f>
        <v>0</v>
      </c>
      <c r="E95" s="1496">
        <f>TREND(E88:E89,B88:B89,B95)</f>
        <v>55</v>
      </c>
      <c r="F95" s="1497">
        <f>TREND(F88:F89,B88:B89,B95)</f>
        <v>55</v>
      </c>
      <c r="G95" s="1449" t="e">
        <f t="shared" si="47"/>
        <v>#DIV/0!</v>
      </c>
      <c r="H95" s="1450" t="e">
        <f t="shared" si="48"/>
        <v>#DIV/0!</v>
      </c>
      <c r="I95" s="1449" t="e">
        <f t="shared" si="49"/>
        <v>#DIV/0!</v>
      </c>
      <c r="J95" s="1450" t="e">
        <f t="shared" si="50"/>
        <v>#DIV/0!</v>
      </c>
      <c r="K95" s="1498" t="e">
        <f t="shared" si="51"/>
        <v>#DIV/0!</v>
      </c>
      <c r="L95" s="1499">
        <f t="shared" si="52"/>
        <v>0</v>
      </c>
      <c r="M95" s="1453" t="e">
        <f t="shared" si="53"/>
        <v>#DIV/0!</v>
      </c>
      <c r="N95" s="1454" t="e">
        <f t="shared" si="54"/>
        <v>#DIV/0!</v>
      </c>
      <c r="P95" s="1536"/>
      <c r="Q95" s="1537"/>
      <c r="R95" s="1537"/>
      <c r="S95" s="1537"/>
      <c r="T95" s="1538"/>
      <c r="U95" s="1538"/>
      <c r="V95" s="1538"/>
      <c r="W95" s="1539"/>
      <c r="X95" s="1539"/>
      <c r="Y95" s="1539"/>
      <c r="Z95" s="1540"/>
      <c r="AA95" s="1541"/>
    </row>
    <row r="96" spans="2:27" x14ac:dyDescent="0.25">
      <c r="B96" s="1444">
        <v>7</v>
      </c>
      <c r="C96" s="1477">
        <f>TREND(C88:C89,B88:B89,B96)</f>
        <v>0</v>
      </c>
      <c r="D96" s="1495">
        <f>TREND(D88:D89,B88:B89,B96)</f>
        <v>0</v>
      </c>
      <c r="E96" s="1496">
        <f>TREND(E88:E89,B88:B89,B96)</f>
        <v>55</v>
      </c>
      <c r="F96" s="1497">
        <f>TREND(F88:F89,B88:B89,B96)</f>
        <v>55</v>
      </c>
      <c r="G96" s="1449" t="e">
        <f t="shared" si="47"/>
        <v>#DIV/0!</v>
      </c>
      <c r="H96" s="1450" t="e">
        <f t="shared" si="48"/>
        <v>#DIV/0!</v>
      </c>
      <c r="I96" s="1449" t="e">
        <f t="shared" si="49"/>
        <v>#DIV/0!</v>
      </c>
      <c r="J96" s="1450" t="e">
        <f t="shared" si="50"/>
        <v>#DIV/0!</v>
      </c>
      <c r="K96" s="1498" t="e">
        <f t="shared" si="51"/>
        <v>#DIV/0!</v>
      </c>
      <c r="L96" s="1499">
        <f t="shared" si="52"/>
        <v>0</v>
      </c>
      <c r="M96" s="1453" t="e">
        <f t="shared" si="53"/>
        <v>#DIV/0!</v>
      </c>
      <c r="N96" s="1454" t="e">
        <f t="shared" si="54"/>
        <v>#DIV/0!</v>
      </c>
      <c r="P96" s="1536"/>
      <c r="Q96" s="1537"/>
      <c r="R96" s="1537"/>
      <c r="S96" s="1537"/>
      <c r="T96" s="1538"/>
      <c r="U96" s="1538"/>
      <c r="V96" s="1538"/>
      <c r="W96" s="1539"/>
      <c r="X96" s="1539"/>
      <c r="Y96" s="1539"/>
      <c r="Z96" s="1540"/>
      <c r="AA96" s="1541"/>
    </row>
    <row r="97" spans="2:27" x14ac:dyDescent="0.25">
      <c r="B97" s="1444">
        <v>8</v>
      </c>
      <c r="C97" s="1477">
        <f>TREND(C88:C89,B88:B89,B97)</f>
        <v>0</v>
      </c>
      <c r="D97" s="1495">
        <f>TREND(D88:D89,B88:B89,B97)</f>
        <v>0</v>
      </c>
      <c r="E97" s="1496">
        <f>TREND(E88:E89,B88:B89,B97)</f>
        <v>55</v>
      </c>
      <c r="F97" s="1497">
        <f>TREND(F88:F89,B88:B89,B97)</f>
        <v>55</v>
      </c>
      <c r="G97" s="1449" t="e">
        <f t="shared" si="47"/>
        <v>#DIV/0!</v>
      </c>
      <c r="H97" s="1450" t="e">
        <f t="shared" si="48"/>
        <v>#DIV/0!</v>
      </c>
      <c r="I97" s="1449" t="e">
        <f t="shared" si="49"/>
        <v>#DIV/0!</v>
      </c>
      <c r="J97" s="1450" t="e">
        <f t="shared" si="50"/>
        <v>#DIV/0!</v>
      </c>
      <c r="K97" s="1498" t="e">
        <f t="shared" si="51"/>
        <v>#DIV/0!</v>
      </c>
      <c r="L97" s="1499">
        <f t="shared" si="52"/>
        <v>0</v>
      </c>
      <c r="M97" s="1453" t="e">
        <f t="shared" si="53"/>
        <v>#DIV/0!</v>
      </c>
      <c r="N97" s="1454" t="e">
        <f t="shared" si="54"/>
        <v>#DIV/0!</v>
      </c>
      <c r="P97" s="1536"/>
      <c r="Q97" s="1537"/>
      <c r="R97" s="1537"/>
      <c r="S97" s="1537"/>
      <c r="T97" s="1538"/>
      <c r="U97" s="1538"/>
      <c r="V97" s="1538"/>
      <c r="W97" s="1539"/>
      <c r="X97" s="1539"/>
      <c r="Y97" s="1539"/>
      <c r="Z97" s="1540"/>
      <c r="AA97" s="1541"/>
    </row>
    <row r="98" spans="2:27" x14ac:dyDescent="0.25">
      <c r="B98" s="1444">
        <v>9</v>
      </c>
      <c r="C98" s="1477">
        <f>TREND(C88:C89,B88:B89,B98)</f>
        <v>0</v>
      </c>
      <c r="D98" s="1495">
        <f>TREND(D88:D89,B88:B89,B98)</f>
        <v>0</v>
      </c>
      <c r="E98" s="1496">
        <f>TREND(E88:E89,B88:B89,B98)</f>
        <v>55</v>
      </c>
      <c r="F98" s="1497">
        <f>TREND(F88:F89,B88:B89,B98)</f>
        <v>55</v>
      </c>
      <c r="G98" s="1449" t="e">
        <f t="shared" si="47"/>
        <v>#DIV/0!</v>
      </c>
      <c r="H98" s="1450" t="e">
        <f t="shared" si="48"/>
        <v>#DIV/0!</v>
      </c>
      <c r="I98" s="1449" t="e">
        <f t="shared" si="49"/>
        <v>#DIV/0!</v>
      </c>
      <c r="J98" s="1450" t="e">
        <f t="shared" si="50"/>
        <v>#DIV/0!</v>
      </c>
      <c r="K98" s="1498" t="e">
        <f t="shared" si="51"/>
        <v>#DIV/0!</v>
      </c>
      <c r="L98" s="1499">
        <f t="shared" si="52"/>
        <v>0</v>
      </c>
      <c r="M98" s="1453" t="e">
        <f t="shared" si="53"/>
        <v>#DIV/0!</v>
      </c>
      <c r="N98" s="1454" t="e">
        <f t="shared" si="54"/>
        <v>#DIV/0!</v>
      </c>
      <c r="P98" s="1536"/>
      <c r="Q98" s="1537"/>
      <c r="R98" s="1537"/>
      <c r="S98" s="1537"/>
      <c r="T98" s="1538"/>
      <c r="U98" s="1538"/>
      <c r="V98" s="1538"/>
      <c r="W98" s="1539"/>
      <c r="X98" s="1539"/>
      <c r="Y98" s="1539"/>
      <c r="Z98" s="1540"/>
      <c r="AA98" s="1541"/>
    </row>
    <row r="99" spans="2:27" x14ac:dyDescent="0.25">
      <c r="B99" s="1444">
        <v>10</v>
      </c>
      <c r="C99" s="1477">
        <f>TREND(C88:C89,B88:B89,B99)</f>
        <v>0</v>
      </c>
      <c r="D99" s="1495">
        <f>TREND(D88:D89,B88:B89,B99)</f>
        <v>0</v>
      </c>
      <c r="E99" s="1496">
        <f>TREND(E88:E89,B88:B89,B99)</f>
        <v>55</v>
      </c>
      <c r="F99" s="1497">
        <f>TREND(F88:F89,B88:B89,B99)</f>
        <v>55</v>
      </c>
      <c r="G99" s="1449" t="e">
        <f t="shared" si="47"/>
        <v>#DIV/0!</v>
      </c>
      <c r="H99" s="1450" t="e">
        <f t="shared" si="48"/>
        <v>#DIV/0!</v>
      </c>
      <c r="I99" s="1449" t="e">
        <f t="shared" si="49"/>
        <v>#DIV/0!</v>
      </c>
      <c r="J99" s="1450" t="e">
        <f t="shared" si="50"/>
        <v>#DIV/0!</v>
      </c>
      <c r="K99" s="1498" t="e">
        <f t="shared" si="51"/>
        <v>#DIV/0!</v>
      </c>
      <c r="L99" s="1499">
        <f t="shared" si="52"/>
        <v>0</v>
      </c>
      <c r="M99" s="1453" t="e">
        <f t="shared" si="53"/>
        <v>#DIV/0!</v>
      </c>
      <c r="N99" s="1454" t="e">
        <f t="shared" si="54"/>
        <v>#DIV/0!</v>
      </c>
      <c r="P99" s="1536"/>
      <c r="Q99" s="1537"/>
      <c r="R99" s="1537"/>
      <c r="S99" s="1537"/>
      <c r="T99" s="1538"/>
      <c r="U99" s="1538"/>
      <c r="V99" s="1538"/>
      <c r="W99" s="1539"/>
      <c r="X99" s="1539"/>
      <c r="Y99" s="1539"/>
      <c r="Z99" s="1540"/>
      <c r="AA99" s="1541"/>
    </row>
    <row r="100" spans="2:27" x14ac:dyDescent="0.25">
      <c r="B100" s="1444">
        <v>11</v>
      </c>
      <c r="C100" s="1477">
        <f>TREND(C88:C89,B88:B89,B100)</f>
        <v>0</v>
      </c>
      <c r="D100" s="1495">
        <f>TREND(D88:D89,B88:B89,B100)</f>
        <v>0</v>
      </c>
      <c r="E100" s="1496">
        <f>TREND(E88:E89,B88:B89,B100)</f>
        <v>55</v>
      </c>
      <c r="F100" s="1497">
        <f>TREND(F88:F89,B88:B89,B100)</f>
        <v>55</v>
      </c>
      <c r="G100" s="1449" t="e">
        <f t="shared" si="47"/>
        <v>#DIV/0!</v>
      </c>
      <c r="H100" s="1450" t="e">
        <f t="shared" si="48"/>
        <v>#DIV/0!</v>
      </c>
      <c r="I100" s="1449" t="e">
        <f t="shared" si="49"/>
        <v>#DIV/0!</v>
      </c>
      <c r="J100" s="1450" t="e">
        <f t="shared" si="50"/>
        <v>#DIV/0!</v>
      </c>
      <c r="K100" s="1498" t="e">
        <f t="shared" si="51"/>
        <v>#DIV/0!</v>
      </c>
      <c r="L100" s="1499">
        <f t="shared" si="52"/>
        <v>0</v>
      </c>
      <c r="M100" s="1453" t="e">
        <f t="shared" si="53"/>
        <v>#DIV/0!</v>
      </c>
      <c r="N100" s="1454" t="e">
        <f t="shared" si="54"/>
        <v>#DIV/0!</v>
      </c>
      <c r="P100" s="1536"/>
      <c r="Q100" s="1537"/>
      <c r="R100" s="1537"/>
      <c r="S100" s="1537"/>
      <c r="T100" s="1538"/>
      <c r="U100" s="1538"/>
      <c r="V100" s="1538"/>
      <c r="W100" s="1539"/>
      <c r="X100" s="1539"/>
      <c r="Y100" s="1539"/>
      <c r="Z100" s="1540"/>
      <c r="AA100" s="1541"/>
    </row>
    <row r="101" spans="2:27" x14ac:dyDescent="0.25">
      <c r="B101" s="1444">
        <v>12</v>
      </c>
      <c r="C101" s="1477">
        <f>TREND(C88:C89,B88:B89,B101)</f>
        <v>0</v>
      </c>
      <c r="D101" s="1495">
        <f>TREND(D88:D89,B88:B89,B101)</f>
        <v>0</v>
      </c>
      <c r="E101" s="1496">
        <f>TREND(E88:E89,B88:B89,B101)</f>
        <v>55</v>
      </c>
      <c r="F101" s="1497">
        <f>TREND(F88:F89,B88:B89,B101)</f>
        <v>55</v>
      </c>
      <c r="G101" s="1449" t="e">
        <f t="shared" si="47"/>
        <v>#DIV/0!</v>
      </c>
      <c r="H101" s="1450" t="e">
        <f t="shared" si="48"/>
        <v>#DIV/0!</v>
      </c>
      <c r="I101" s="1449" t="e">
        <f t="shared" si="49"/>
        <v>#DIV/0!</v>
      </c>
      <c r="J101" s="1450" t="e">
        <f t="shared" si="50"/>
        <v>#DIV/0!</v>
      </c>
      <c r="K101" s="1498" t="e">
        <f t="shared" si="51"/>
        <v>#DIV/0!</v>
      </c>
      <c r="L101" s="1499">
        <f t="shared" si="52"/>
        <v>0</v>
      </c>
      <c r="M101" s="1453" t="e">
        <f t="shared" si="53"/>
        <v>#DIV/0!</v>
      </c>
      <c r="N101" s="1454" t="e">
        <f t="shared" si="54"/>
        <v>#DIV/0!</v>
      </c>
      <c r="P101" s="1536"/>
      <c r="Q101" s="1537"/>
      <c r="R101" s="1537"/>
      <c r="S101" s="1537"/>
      <c r="T101" s="1538"/>
      <c r="U101" s="1538"/>
      <c r="V101" s="1538"/>
      <c r="W101" s="1539"/>
      <c r="X101" s="1539"/>
      <c r="Y101" s="1539"/>
      <c r="Z101" s="1540"/>
      <c r="AA101" s="1541"/>
    </row>
    <row r="102" spans="2:27" x14ac:dyDescent="0.25">
      <c r="B102" s="1444">
        <v>13</v>
      </c>
      <c r="C102" s="1477">
        <f>TREND(C88:C89,B88:B89,B102)</f>
        <v>0</v>
      </c>
      <c r="D102" s="1495">
        <f>TREND(D88:D89,B88:B89,B102)</f>
        <v>0</v>
      </c>
      <c r="E102" s="1496">
        <f>TREND(E88:E89,B88:B89,B102)</f>
        <v>55</v>
      </c>
      <c r="F102" s="1497">
        <f>TREND(F88:F89,B88:B89,B102)</f>
        <v>55</v>
      </c>
      <c r="G102" s="1449" t="e">
        <f t="shared" si="47"/>
        <v>#DIV/0!</v>
      </c>
      <c r="H102" s="1450" t="e">
        <f t="shared" si="48"/>
        <v>#DIV/0!</v>
      </c>
      <c r="I102" s="1449" t="e">
        <f t="shared" si="49"/>
        <v>#DIV/0!</v>
      </c>
      <c r="J102" s="1450" t="e">
        <f t="shared" si="50"/>
        <v>#DIV/0!</v>
      </c>
      <c r="K102" s="1498" t="e">
        <f t="shared" si="51"/>
        <v>#DIV/0!</v>
      </c>
      <c r="L102" s="1499">
        <f t="shared" si="52"/>
        <v>0</v>
      </c>
      <c r="M102" s="1453" t="e">
        <f t="shared" si="53"/>
        <v>#DIV/0!</v>
      </c>
      <c r="N102" s="1454" t="e">
        <f t="shared" si="54"/>
        <v>#DIV/0!</v>
      </c>
      <c r="P102" s="1536"/>
      <c r="Q102" s="1537"/>
      <c r="R102" s="1537"/>
      <c r="S102" s="1537"/>
      <c r="T102" s="1538"/>
      <c r="U102" s="1538"/>
      <c r="V102" s="1538"/>
      <c r="W102" s="1539"/>
      <c r="X102" s="1539"/>
      <c r="Y102" s="1539"/>
      <c r="Z102" s="1540"/>
      <c r="AA102" s="1541"/>
    </row>
    <row r="103" spans="2:27" x14ac:dyDescent="0.25">
      <c r="B103" s="1444">
        <v>14</v>
      </c>
      <c r="C103" s="1477">
        <f>TREND(C88:C89,B88:B89,B103)</f>
        <v>0</v>
      </c>
      <c r="D103" s="1495">
        <f>TREND(D88:D89,B88:B89,B103)</f>
        <v>0</v>
      </c>
      <c r="E103" s="1496">
        <f>TREND(E88:E89,B88:B89,B103)</f>
        <v>55</v>
      </c>
      <c r="F103" s="1497">
        <f>TREND(F88:F89,B88:B89,B103)</f>
        <v>55</v>
      </c>
      <c r="G103" s="1449" t="e">
        <f t="shared" si="47"/>
        <v>#DIV/0!</v>
      </c>
      <c r="H103" s="1450" t="e">
        <f t="shared" si="48"/>
        <v>#DIV/0!</v>
      </c>
      <c r="I103" s="1449" t="e">
        <f t="shared" si="49"/>
        <v>#DIV/0!</v>
      </c>
      <c r="J103" s="1450" t="e">
        <f t="shared" si="50"/>
        <v>#DIV/0!</v>
      </c>
      <c r="K103" s="1498" t="e">
        <f t="shared" si="51"/>
        <v>#DIV/0!</v>
      </c>
      <c r="L103" s="1499">
        <f t="shared" si="52"/>
        <v>0</v>
      </c>
      <c r="M103" s="1453" t="e">
        <f t="shared" si="53"/>
        <v>#DIV/0!</v>
      </c>
      <c r="N103" s="1454" t="e">
        <f t="shared" si="54"/>
        <v>#DIV/0!</v>
      </c>
      <c r="P103" s="1536"/>
      <c r="Q103" s="1537"/>
      <c r="R103" s="1537"/>
      <c r="S103" s="1537"/>
      <c r="T103" s="1538"/>
      <c r="U103" s="1538"/>
      <c r="V103" s="1538"/>
      <c r="W103" s="1539"/>
      <c r="X103" s="1539"/>
      <c r="Y103" s="1539"/>
      <c r="Z103" s="1540"/>
      <c r="AA103" s="1541"/>
    </row>
    <row r="104" spans="2:27" x14ac:dyDescent="0.25">
      <c r="B104" s="1444">
        <v>15</v>
      </c>
      <c r="C104" s="1477">
        <f>TREND(C88:C89,B88:B89,B104)</f>
        <v>0</v>
      </c>
      <c r="D104" s="1495">
        <f>TREND(D88:D89,B88:B89,B104)</f>
        <v>0</v>
      </c>
      <c r="E104" s="1496">
        <f>TREND(E88:E89,B88:B89,B104)</f>
        <v>55</v>
      </c>
      <c r="F104" s="1497">
        <f>TREND(F88:F89,B88:B89,B104)</f>
        <v>55</v>
      </c>
      <c r="G104" s="1449" t="e">
        <f t="shared" si="47"/>
        <v>#DIV/0!</v>
      </c>
      <c r="H104" s="1450" t="e">
        <f t="shared" si="48"/>
        <v>#DIV/0!</v>
      </c>
      <c r="I104" s="1449" t="e">
        <f t="shared" si="49"/>
        <v>#DIV/0!</v>
      </c>
      <c r="J104" s="1450" t="e">
        <f t="shared" si="50"/>
        <v>#DIV/0!</v>
      </c>
      <c r="K104" s="1498" t="e">
        <f t="shared" si="51"/>
        <v>#DIV/0!</v>
      </c>
      <c r="L104" s="1499">
        <f t="shared" si="52"/>
        <v>0</v>
      </c>
      <c r="M104" s="1453" t="e">
        <f t="shared" si="53"/>
        <v>#DIV/0!</v>
      </c>
      <c r="N104" s="1454" t="e">
        <f t="shared" si="54"/>
        <v>#DIV/0!</v>
      </c>
      <c r="P104" s="1536"/>
      <c r="Q104" s="1537"/>
      <c r="R104" s="1537"/>
      <c r="S104" s="1537"/>
      <c r="T104" s="1538"/>
      <c r="U104" s="1538"/>
      <c r="V104" s="1538"/>
      <c r="W104" s="1539"/>
      <c r="X104" s="1539"/>
      <c r="Y104" s="1539"/>
      <c r="Z104" s="1540"/>
      <c r="AA104" s="1541"/>
    </row>
    <row r="105" spans="2:27" x14ac:dyDescent="0.25">
      <c r="B105" s="1444">
        <v>16</v>
      </c>
      <c r="C105" s="1477">
        <f>TREND(C88:C89,B88:B89,B105)</f>
        <v>0</v>
      </c>
      <c r="D105" s="1495">
        <f>TREND(D88:D89,B88:B89,B105)</f>
        <v>0</v>
      </c>
      <c r="E105" s="1496">
        <f>TREND(E88:E89,B88:B89,B105)</f>
        <v>55</v>
      </c>
      <c r="F105" s="1497">
        <f>TREND(F88:F89,B88:B89,B105)</f>
        <v>55</v>
      </c>
      <c r="G105" s="1449" t="e">
        <f t="shared" si="47"/>
        <v>#DIV/0!</v>
      </c>
      <c r="H105" s="1450" t="e">
        <f t="shared" si="48"/>
        <v>#DIV/0!</v>
      </c>
      <c r="I105" s="1449" t="e">
        <f t="shared" si="49"/>
        <v>#DIV/0!</v>
      </c>
      <c r="J105" s="1450" t="e">
        <f t="shared" si="50"/>
        <v>#DIV/0!</v>
      </c>
      <c r="K105" s="1498" t="e">
        <f t="shared" si="51"/>
        <v>#DIV/0!</v>
      </c>
      <c r="L105" s="1499">
        <f t="shared" si="52"/>
        <v>0</v>
      </c>
      <c r="M105" s="1453" t="e">
        <f t="shared" si="53"/>
        <v>#DIV/0!</v>
      </c>
      <c r="N105" s="1454" t="e">
        <f t="shared" si="54"/>
        <v>#DIV/0!</v>
      </c>
      <c r="P105" s="1536"/>
      <c r="Q105" s="1537"/>
      <c r="R105" s="1537"/>
      <c r="S105" s="1537"/>
      <c r="T105" s="1538"/>
      <c r="U105" s="1538"/>
      <c r="V105" s="1538"/>
      <c r="W105" s="1539"/>
      <c r="X105" s="1539"/>
      <c r="Y105" s="1539"/>
      <c r="Z105" s="1540"/>
      <c r="AA105" s="1541"/>
    </row>
    <row r="106" spans="2:27" x14ac:dyDescent="0.25">
      <c r="B106" s="1444">
        <v>17</v>
      </c>
      <c r="C106" s="1477">
        <f>TREND(C88:C89,B88:B89,B106)</f>
        <v>0</v>
      </c>
      <c r="D106" s="1495">
        <f>TREND(D88:D89,B88:B89,B106)</f>
        <v>0</v>
      </c>
      <c r="E106" s="1496">
        <f>TREND(E88:E89,B88:B89,B106)</f>
        <v>55</v>
      </c>
      <c r="F106" s="1497">
        <f>TREND(F88:F89,B88:B89,B106)</f>
        <v>55</v>
      </c>
      <c r="G106" s="1449" t="e">
        <f t="shared" si="47"/>
        <v>#DIV/0!</v>
      </c>
      <c r="H106" s="1450" t="e">
        <f t="shared" si="48"/>
        <v>#DIV/0!</v>
      </c>
      <c r="I106" s="1449" t="e">
        <f t="shared" si="49"/>
        <v>#DIV/0!</v>
      </c>
      <c r="J106" s="1450" t="e">
        <f t="shared" si="50"/>
        <v>#DIV/0!</v>
      </c>
      <c r="K106" s="1498" t="e">
        <f t="shared" si="51"/>
        <v>#DIV/0!</v>
      </c>
      <c r="L106" s="1499">
        <f t="shared" si="52"/>
        <v>0</v>
      </c>
      <c r="M106" s="1453" t="e">
        <f t="shared" si="53"/>
        <v>#DIV/0!</v>
      </c>
      <c r="N106" s="1454" t="e">
        <f t="shared" si="54"/>
        <v>#DIV/0!</v>
      </c>
      <c r="P106" s="1536"/>
      <c r="Q106" s="1537"/>
      <c r="R106" s="1537"/>
      <c r="S106" s="1537"/>
      <c r="T106" s="1538"/>
      <c r="U106" s="1538"/>
      <c r="V106" s="1538"/>
      <c r="W106" s="1539"/>
      <c r="X106" s="1539"/>
      <c r="Y106" s="1539"/>
      <c r="Z106" s="1540"/>
      <c r="AA106" s="1541"/>
    </row>
    <row r="107" spans="2:27" x14ac:dyDescent="0.25">
      <c r="B107" s="1444">
        <v>18</v>
      </c>
      <c r="C107" s="1477">
        <f>TREND(C88:C89,B88:B89,B107)</f>
        <v>0</v>
      </c>
      <c r="D107" s="1495">
        <f>TREND(D88:D89,B88:B89,B107)</f>
        <v>0</v>
      </c>
      <c r="E107" s="1496">
        <f>TREND(E88:E89,B88:B89,B107)</f>
        <v>55</v>
      </c>
      <c r="F107" s="1497">
        <f>TREND(F88:F89,B88:B89,B107)</f>
        <v>55</v>
      </c>
      <c r="G107" s="1449" t="e">
        <f t="shared" si="47"/>
        <v>#DIV/0!</v>
      </c>
      <c r="H107" s="1450" t="e">
        <f t="shared" si="48"/>
        <v>#DIV/0!</v>
      </c>
      <c r="I107" s="1449" t="e">
        <f t="shared" si="49"/>
        <v>#DIV/0!</v>
      </c>
      <c r="J107" s="1450" t="e">
        <f t="shared" si="50"/>
        <v>#DIV/0!</v>
      </c>
      <c r="K107" s="1498" t="e">
        <f t="shared" si="51"/>
        <v>#DIV/0!</v>
      </c>
      <c r="L107" s="1499">
        <f t="shared" si="52"/>
        <v>0</v>
      </c>
      <c r="M107" s="1453" t="e">
        <f t="shared" si="53"/>
        <v>#DIV/0!</v>
      </c>
      <c r="N107" s="1454" t="e">
        <f t="shared" si="54"/>
        <v>#DIV/0!</v>
      </c>
      <c r="P107" s="1536"/>
      <c r="Q107" s="1537"/>
      <c r="R107" s="1537"/>
      <c r="S107" s="1537"/>
      <c r="T107" s="1538"/>
      <c r="U107" s="1538"/>
      <c r="V107" s="1538"/>
      <c r="W107" s="1539"/>
      <c r="X107" s="1539"/>
      <c r="Y107" s="1539"/>
      <c r="Z107" s="1540"/>
      <c r="AA107" s="1541"/>
    </row>
    <row r="108" spans="2:27" x14ac:dyDescent="0.25">
      <c r="B108" s="1504">
        <v>19</v>
      </c>
      <c r="C108" s="1505">
        <f>TREND(C88:C89,B88:B89,B108)</f>
        <v>0</v>
      </c>
      <c r="D108" s="1506">
        <f>TREND(D88:D89,B88:B89,B108)</f>
        <v>0</v>
      </c>
      <c r="E108" s="1507">
        <f>TREND(E88:E89,B88:B89,B108)</f>
        <v>55</v>
      </c>
      <c r="F108" s="1508">
        <f>TREND(F88:F89,B88:B89,B108)</f>
        <v>55</v>
      </c>
      <c r="G108" s="1449" t="e">
        <f t="shared" si="47"/>
        <v>#DIV/0!</v>
      </c>
      <c r="H108" s="1450" t="e">
        <f t="shared" si="48"/>
        <v>#DIV/0!</v>
      </c>
      <c r="I108" s="1449" t="e">
        <f t="shared" si="49"/>
        <v>#DIV/0!</v>
      </c>
      <c r="J108" s="1450" t="e">
        <f t="shared" si="50"/>
        <v>#DIV/0!</v>
      </c>
      <c r="K108" s="1471" t="e">
        <f t="shared" si="51"/>
        <v>#DIV/0!</v>
      </c>
      <c r="L108" s="1499">
        <f t="shared" si="52"/>
        <v>0</v>
      </c>
      <c r="M108" s="1453" t="e">
        <f t="shared" si="53"/>
        <v>#DIV/0!</v>
      </c>
      <c r="N108" s="1454" t="e">
        <f t="shared" si="54"/>
        <v>#DIV/0!</v>
      </c>
      <c r="P108" s="1536"/>
      <c r="Q108" s="1537"/>
      <c r="R108" s="1537"/>
      <c r="S108" s="1537"/>
      <c r="T108" s="1538"/>
      <c r="U108" s="1538"/>
      <c r="V108" s="1538"/>
      <c r="W108" s="1539"/>
      <c r="X108" s="1539"/>
      <c r="Y108" s="1539"/>
      <c r="Z108" s="1540"/>
      <c r="AA108" s="1541"/>
    </row>
    <row r="109" spans="2:27" x14ac:dyDescent="0.25">
      <c r="B109" s="1480"/>
      <c r="C109" s="1481"/>
      <c r="D109" s="1481"/>
      <c r="E109" s="1481"/>
      <c r="F109" s="1481"/>
      <c r="G109" s="1481"/>
      <c r="H109" s="1481"/>
      <c r="I109" s="1486"/>
      <c r="J109" s="1486"/>
      <c r="K109" s="1486"/>
      <c r="L109" s="1486"/>
      <c r="M109" s="1486"/>
      <c r="N109" s="1487"/>
      <c r="P109" s="1536"/>
      <c r="Q109" s="1537"/>
      <c r="R109" s="1537"/>
      <c r="S109" s="1537"/>
      <c r="T109" s="1537"/>
      <c r="U109" s="1537"/>
      <c r="V109" s="1537"/>
      <c r="W109" s="1539"/>
      <c r="X109" s="1539"/>
      <c r="Y109" s="1539"/>
      <c r="Z109" s="1539"/>
      <c r="AA109" s="1489"/>
    </row>
    <row r="110" spans="2:27" ht="13" x14ac:dyDescent="0.25">
      <c r="B110" s="329" t="s">
        <v>172</v>
      </c>
      <c r="C110" s="1513"/>
      <c r="D110" s="1514"/>
      <c r="E110" s="1514"/>
      <c r="F110" s="1514"/>
      <c r="G110" s="1514"/>
      <c r="H110" s="1514"/>
      <c r="I110" s="1514"/>
      <c r="J110" s="1514"/>
      <c r="K110" s="1514"/>
      <c r="L110" s="1514"/>
      <c r="M110" s="1514"/>
      <c r="N110" s="342" t="e">
        <f>SUM(N88:N108)</f>
        <v>#DIV/0!</v>
      </c>
      <c r="P110" s="1533"/>
      <c r="Q110" s="1543"/>
      <c r="R110" s="1386"/>
      <c r="S110" s="1386"/>
      <c r="T110" s="1386"/>
      <c r="U110" s="1386"/>
      <c r="V110" s="1386"/>
      <c r="W110" s="1386"/>
      <c r="X110" s="1386"/>
      <c r="Y110" s="1540"/>
      <c r="Z110" s="1386"/>
      <c r="AA110" s="477"/>
    </row>
    <row r="111" spans="2:27" x14ac:dyDescent="0.25">
      <c r="G111" s="1383"/>
      <c r="H111" s="1383"/>
      <c r="I111" s="1384"/>
      <c r="K111" s="1366"/>
    </row>
    <row r="112" spans="2:27" x14ac:dyDescent="0.25">
      <c r="G112" s="1383"/>
      <c r="H112" s="1383"/>
      <c r="I112" s="1384"/>
      <c r="K112" s="1366"/>
    </row>
    <row r="113" spans="2:27" ht="13" x14ac:dyDescent="0.25">
      <c r="B113" s="350" t="s">
        <v>253</v>
      </c>
      <c r="C113" s="1386"/>
      <c r="D113" s="1386"/>
      <c r="E113" s="1386"/>
      <c r="F113" s="1386"/>
      <c r="G113" s="1386"/>
      <c r="H113" s="1386"/>
      <c r="I113" s="1422"/>
      <c r="J113" s="1422"/>
      <c r="K113" s="1386"/>
      <c r="L113" s="1422"/>
      <c r="M113" s="1386"/>
      <c r="N113" s="1386"/>
      <c r="P113" s="350"/>
      <c r="Q113" s="1386"/>
      <c r="R113" s="1386"/>
      <c r="S113" s="1386"/>
      <c r="T113" s="1386"/>
      <c r="U113" s="1386"/>
      <c r="V113" s="1386"/>
      <c r="W113" s="1422"/>
      <c r="X113" s="1422"/>
      <c r="Y113" s="1386"/>
      <c r="Z113" s="1386"/>
      <c r="AA113" s="1386"/>
    </row>
    <row r="114" spans="2:27" ht="13" x14ac:dyDescent="0.25">
      <c r="B114" s="1386"/>
      <c r="C114" s="1386"/>
      <c r="D114" s="1427"/>
      <c r="E114" s="1427"/>
      <c r="F114" s="1427"/>
      <c r="G114" s="1427"/>
      <c r="H114" s="1427"/>
      <c r="I114" s="90"/>
      <c r="J114" s="1386"/>
      <c r="K114" s="90"/>
      <c r="L114" s="1386"/>
      <c r="M114" s="1386"/>
      <c r="N114" s="1425"/>
      <c r="P114" s="1386"/>
      <c r="Q114" s="1386"/>
      <c r="R114" s="1427"/>
      <c r="S114" s="1427"/>
      <c r="T114" s="1427"/>
      <c r="U114" s="1427"/>
      <c r="V114" s="1427"/>
      <c r="W114" s="1386"/>
      <c r="X114" s="1386"/>
      <c r="Y114" s="1386"/>
      <c r="Z114" s="1386"/>
      <c r="AA114" s="1425"/>
    </row>
    <row r="115" spans="2:27" ht="15.5" x14ac:dyDescent="0.25">
      <c r="B115" s="1428"/>
      <c r="C115" s="320" t="s">
        <v>230</v>
      </c>
      <c r="D115" s="1429"/>
      <c r="E115" s="320" t="s">
        <v>231</v>
      </c>
      <c r="F115" s="1429"/>
      <c r="G115" s="320" t="s">
        <v>808</v>
      </c>
      <c r="H115" s="1430"/>
      <c r="I115" s="335" t="s">
        <v>809</v>
      </c>
      <c r="J115" s="1429"/>
      <c r="K115" s="335" t="s">
        <v>810</v>
      </c>
      <c r="L115" s="321"/>
      <c r="M115" s="322"/>
      <c r="N115" s="1431"/>
      <c r="P115" s="1386"/>
      <c r="Q115" s="1529"/>
      <c r="R115" s="1521"/>
      <c r="S115" s="1521"/>
      <c r="T115" s="1529"/>
      <c r="U115" s="1521"/>
      <c r="V115" s="1521"/>
      <c r="W115" s="1529"/>
      <c r="X115" s="1529"/>
      <c r="Y115" s="1529"/>
      <c r="Z115" s="1530"/>
      <c r="AA115" s="1386"/>
    </row>
    <row r="116" spans="2:27" ht="15.5" x14ac:dyDescent="0.25">
      <c r="B116" s="1434"/>
      <c r="C116" s="1435" t="s">
        <v>812</v>
      </c>
      <c r="D116" s="362"/>
      <c r="E116" s="1435" t="s">
        <v>238</v>
      </c>
      <c r="F116" s="362"/>
      <c r="G116" s="1435" t="s">
        <v>813</v>
      </c>
      <c r="H116" s="1436"/>
      <c r="I116" s="1437" t="s">
        <v>814</v>
      </c>
      <c r="J116" s="362"/>
      <c r="K116" s="336" t="s">
        <v>552</v>
      </c>
      <c r="L116" s="288"/>
      <c r="M116" s="1438"/>
      <c r="N116" s="1439"/>
      <c r="P116" s="1366"/>
      <c r="Q116" s="1531"/>
      <c r="R116" s="1532"/>
      <c r="S116" s="1532"/>
      <c r="T116" s="1531"/>
      <c r="U116" s="1532"/>
      <c r="V116" s="1532"/>
      <c r="W116" s="1531"/>
      <c r="X116" s="1531"/>
      <c r="Y116" s="1531"/>
      <c r="Z116" s="1386"/>
      <c r="AA116" s="1386"/>
    </row>
    <row r="117" spans="2:27" ht="14" x14ac:dyDescent="0.25">
      <c r="B117" s="169" t="s">
        <v>135</v>
      </c>
      <c r="C117" s="1441"/>
      <c r="D117" s="283"/>
      <c r="E117" s="1441"/>
      <c r="F117" s="283"/>
      <c r="G117" s="1441"/>
      <c r="H117" s="283"/>
      <c r="I117" s="1435" t="s">
        <v>818</v>
      </c>
      <c r="J117" s="362"/>
      <c r="K117" s="1441" t="s">
        <v>151</v>
      </c>
      <c r="L117" s="283" t="s">
        <v>152</v>
      </c>
      <c r="M117" s="286" t="s">
        <v>242</v>
      </c>
      <c r="N117" s="345" t="s">
        <v>139</v>
      </c>
      <c r="P117" s="1533"/>
      <c r="Q117" s="1534"/>
      <c r="R117" s="1534"/>
      <c r="S117" s="1534"/>
      <c r="T117" s="1534"/>
      <c r="U117" s="1534"/>
      <c r="V117" s="1534"/>
      <c r="W117" s="1534"/>
      <c r="X117" s="1534"/>
      <c r="Y117" s="1534"/>
      <c r="Z117" s="1533"/>
      <c r="AA117" s="1533"/>
    </row>
    <row r="118" spans="2:27" ht="14" x14ac:dyDescent="0.25">
      <c r="B118" s="319"/>
      <c r="C118" s="324" t="s">
        <v>0</v>
      </c>
      <c r="D118" s="325" t="s">
        <v>1</v>
      </c>
      <c r="E118" s="324" t="s">
        <v>0</v>
      </c>
      <c r="F118" s="325" t="s">
        <v>1</v>
      </c>
      <c r="G118" s="324" t="s">
        <v>0</v>
      </c>
      <c r="H118" s="325" t="s">
        <v>1</v>
      </c>
      <c r="I118" s="324" t="s">
        <v>0</v>
      </c>
      <c r="J118" s="325" t="s">
        <v>1</v>
      </c>
      <c r="K118" s="324" t="s">
        <v>244</v>
      </c>
      <c r="L118" s="325" t="s">
        <v>245</v>
      </c>
      <c r="M118" s="326" t="s">
        <v>148</v>
      </c>
      <c r="N118" s="346" t="s">
        <v>149</v>
      </c>
      <c r="P118" s="1535"/>
      <c r="Q118" s="1534"/>
      <c r="R118" s="1534"/>
      <c r="S118" s="1534"/>
      <c r="T118" s="1534"/>
      <c r="U118" s="1534"/>
      <c r="V118" s="1534"/>
      <c r="W118" s="1534"/>
      <c r="X118" s="1534"/>
      <c r="Y118" s="1534"/>
      <c r="Z118" s="1533"/>
      <c r="AA118" s="1533"/>
    </row>
    <row r="119" spans="2:27" x14ac:dyDescent="0.25">
      <c r="B119" s="1444">
        <v>1</v>
      </c>
      <c r="C119" s="1445">
        <f>PTV1NB</f>
        <v>0</v>
      </c>
      <c r="D119" s="1446">
        <f>PTV1B</f>
        <v>0</v>
      </c>
      <c r="E119" s="1447">
        <f>PTS1NB</f>
        <v>55</v>
      </c>
      <c r="F119" s="1448">
        <f>PTS1B</f>
        <v>55</v>
      </c>
      <c r="G119" s="1449" t="e">
        <f>MAX(1/E119-1/FFSpeedNB, 0)</f>
        <v>#DIV/0!</v>
      </c>
      <c r="H119" s="1450" t="e">
        <f>MAX(1/F119-1/FFSpeedB, 0)</f>
        <v>#DIV/0!</v>
      </c>
      <c r="I119" s="1544" t="e">
        <f>AlphaSTD*MAX(AlphaTTI*(1+FFSpeedNB*G119)^BetaTTI-1,0)^BetaSTD*ImpactedNB/FFSpeedNB*PTRAdj</f>
        <v>#DIV/0!</v>
      </c>
      <c r="J119" s="1545" t="e">
        <f>AlphaSTD*MAX(AlphaTTI*(1+FFSpeedB*H119)^BetaTTI-1,0)^BetaSTD*ImpactedB/FFSpeedB*PTRAdj</f>
        <v>#DIV/0!</v>
      </c>
      <c r="K119" s="1451" t="e">
        <f>IF(OR(TruckLane,Bypass,HOV2to3,HOTConv,OnRamp,RM,AM,IM,TI), C119*I119-D119*J119, MIN(C119,D119)*(I119-J119))*AnnualFactor</f>
        <v>#DIV/0!</v>
      </c>
      <c r="L119" s="1452">
        <f>IF(AND(D119&gt;C119, NOT(OR(TruckLane,Bypass,HOV2to3,HOTConv,OnRamp,RM,AM,IM,TI)),Induced="Y"), (D119-C119)*(I119-J119)*0.5*AnnualFactor, 0)</f>
        <v>0</v>
      </c>
      <c r="M119" s="1453" t="e">
        <f>(K119+L119)*ValTimeTruck*ValRelTruck*IF(IM,ValTimeIMFactor,1)*(1+TTUprater)^($B119+Construct-1)</f>
        <v>#DIV/0!</v>
      </c>
      <c r="N119" s="1454" t="e">
        <f>$M119/(1+DiscRate)^($B119+Construct-1)</f>
        <v>#DIV/0!</v>
      </c>
      <c r="P119" s="1536"/>
      <c r="Q119" s="1537"/>
      <c r="R119" s="1537"/>
      <c r="S119" s="1537"/>
      <c r="T119" s="1538"/>
      <c r="U119" s="1538"/>
      <c r="V119" s="1538"/>
      <c r="W119" s="1539"/>
      <c r="X119" s="1539"/>
      <c r="Y119" s="1539"/>
      <c r="Z119" s="1540"/>
      <c r="AA119" s="1541"/>
    </row>
    <row r="120" spans="2:27" x14ac:dyDescent="0.25">
      <c r="B120" s="1466">
        <v>20</v>
      </c>
      <c r="C120" s="1467">
        <f>PTV20NB</f>
        <v>0</v>
      </c>
      <c r="D120" s="1468">
        <f>PTV20B</f>
        <v>0</v>
      </c>
      <c r="E120" s="1469">
        <f>PTS20NB</f>
        <v>55</v>
      </c>
      <c r="F120" s="1470">
        <f>PTS20B</f>
        <v>55</v>
      </c>
      <c r="G120" s="1449" t="e">
        <f>MAX(1/E120-1/FFSpeedNB, 0)</f>
        <v>#DIV/0!</v>
      </c>
      <c r="H120" s="1450" t="e">
        <f>MAX(1/F120-1/FFSpeedB, 0)</f>
        <v>#DIV/0!</v>
      </c>
      <c r="I120" s="1544" t="e">
        <f>AlphaSTD*MAX(AlphaTTI*(1+FFSpeedNB*G120)^BetaTTI-1,0)^BetaSTD*ImpactedNB/FFSpeedNB*PTRAdj</f>
        <v>#DIV/0!</v>
      </c>
      <c r="J120" s="1546" t="e">
        <f>AlphaSTD*MAX(AlphaTTI*(1+FFSpeedB*H120)^BetaTTI-1,0)^BetaSTD*ImpactedB/FFSpeedB*PTRAdj</f>
        <v>#DIV/0!</v>
      </c>
      <c r="K120" s="1471" t="e">
        <f>IF(OR(TruckLane,Bypass,HOV2to3,HOTConv,OnRamp,RM,AM,IM,TI), C120*I120-D120*J120, MIN(C120,D120)*(I120-J120))*AnnualFactor</f>
        <v>#DIV/0!</v>
      </c>
      <c r="L120" s="1472">
        <f>IF(AND(D120&gt;C120, NOT(OR(TruckLane,Bypass,HOV2to3,HOTConv,OnRamp,RM,AM,IM,TI)),Induced="Y"), (D120-C120)*(I120-J120)*0.5*AnnualFactor, 0)</f>
        <v>0</v>
      </c>
      <c r="M120" s="1453" t="e">
        <f>(K120+L120)*ValTimeTruck*ValRelTruck*IF(IM,ValTimeIMFactor,1)*(1+TTUprater)^($B120+Construct-1)</f>
        <v>#DIV/0!</v>
      </c>
      <c r="N120" s="1454" t="e">
        <f>$M120/(1+DiscRate)^($B120+Construct-1)</f>
        <v>#DIV/0!</v>
      </c>
      <c r="P120" s="1536"/>
      <c r="Q120" s="1537"/>
      <c r="R120" s="1537"/>
      <c r="S120" s="1537"/>
      <c r="T120" s="1538"/>
      <c r="U120" s="1538"/>
      <c r="V120" s="1538"/>
      <c r="W120" s="1539"/>
      <c r="X120" s="1539"/>
      <c r="Y120" s="1539"/>
      <c r="Z120" s="1540"/>
      <c r="AA120" s="1541"/>
    </row>
    <row r="121" spans="2:27" x14ac:dyDescent="0.25">
      <c r="B121" s="1480"/>
      <c r="C121" s="1481"/>
      <c r="D121" s="1481"/>
      <c r="E121" s="1481"/>
      <c r="F121" s="1481"/>
      <c r="G121" s="1482"/>
      <c r="H121" s="1482"/>
      <c r="I121" s="1486"/>
      <c r="J121" s="1486"/>
      <c r="K121" s="1485"/>
      <c r="L121" s="1485"/>
      <c r="M121" s="1486"/>
      <c r="N121" s="1487"/>
      <c r="P121" s="1536"/>
      <c r="Q121" s="1537"/>
      <c r="R121" s="1537"/>
      <c r="S121" s="1537"/>
      <c r="T121" s="1538"/>
      <c r="U121" s="1538"/>
      <c r="V121" s="1538"/>
      <c r="W121" s="1539"/>
      <c r="X121" s="1539"/>
      <c r="Y121" s="1539"/>
      <c r="Z121" s="1539"/>
      <c r="AA121" s="1489"/>
    </row>
    <row r="122" spans="2:27" x14ac:dyDescent="0.25">
      <c r="B122" s="1490">
        <v>2</v>
      </c>
      <c r="C122" s="1460">
        <f>TREND(C119:C120,B119:B120,B122)</f>
        <v>0</v>
      </c>
      <c r="D122" s="1491">
        <f>TREND(D119:D120,B119:B120,B122)</f>
        <v>0</v>
      </c>
      <c r="E122" s="1492">
        <f>TREND(E119:E120,B119:B120,B122)</f>
        <v>55</v>
      </c>
      <c r="F122" s="1493">
        <f>TREND(F119:F120,B119:B120,B122)</f>
        <v>55</v>
      </c>
      <c r="G122" s="1449" t="e">
        <f t="shared" ref="G122:G139" si="55">MAX(1/E122-1/FFSpeedNB, 0)</f>
        <v>#DIV/0!</v>
      </c>
      <c r="H122" s="1450" t="e">
        <f t="shared" ref="H122:H139" si="56">MAX(1/F122-1/FFSpeedB, 0)</f>
        <v>#DIV/0!</v>
      </c>
      <c r="I122" s="1449" t="e">
        <f t="shared" ref="I122:I139" si="57">AlphaSTD*MAX(AlphaTTI*(1+FFSpeedNB*G122)^BetaTTI-1,0)^BetaSTD*ImpactedNB/FFSpeedNB*PTRAdj</f>
        <v>#DIV/0!</v>
      </c>
      <c r="J122" s="1450" t="e">
        <f t="shared" ref="J122:J139" si="58">AlphaSTD*MAX(AlphaTTI*(1+FFSpeedB*H122)^BetaTTI-1,0)^BetaSTD*ImpactedB/FFSpeedB*PTRAdj</f>
        <v>#DIV/0!</v>
      </c>
      <c r="K122" s="1451" t="e">
        <f t="shared" ref="K122:K139" si="59">IF(OR(TruckLane,Bypass,HOV2to3,HOTConv,OnRamp,RM,AM,IM,TI), C122*I122-D122*J122, MIN(C122,D122)*(I122-J122))*AnnualFactor</f>
        <v>#DIV/0!</v>
      </c>
      <c r="L122" s="1452">
        <f t="shared" ref="L122:L139" si="60">IF(AND(D122&gt;C122, NOT(OR(TruckLane,Bypass,HOV2to3,HOTConv,OnRamp,RM,AM,IM,TI)),Induced="Y"), (D122-C122)*(I122-J122)*0.5*AnnualFactor, 0)</f>
        <v>0</v>
      </c>
      <c r="M122" s="1453" t="e">
        <f t="shared" ref="M122:M139" si="61">(K122+L122)*ValTimeTruck*ValRelTruck*IF(IM,ValTimeIMFactor,1)*(1+TTUprater)^($B122+Construct-1)</f>
        <v>#DIV/0!</v>
      </c>
      <c r="N122" s="1454" t="e">
        <f t="shared" ref="N122:N139" si="62">$M122/(1+DiscRate)^($B122+Construct-1)</f>
        <v>#DIV/0!</v>
      </c>
      <c r="P122" s="1536"/>
      <c r="Q122" s="1537"/>
      <c r="R122" s="1537"/>
      <c r="S122" s="1537"/>
      <c r="T122" s="1538"/>
      <c r="U122" s="1538"/>
      <c r="V122" s="1538"/>
      <c r="W122" s="1539"/>
      <c r="X122" s="1539"/>
      <c r="Y122" s="1539"/>
      <c r="Z122" s="1540"/>
      <c r="AA122" s="1541"/>
    </row>
    <row r="123" spans="2:27" x14ac:dyDescent="0.25">
      <c r="B123" s="1444">
        <v>3</v>
      </c>
      <c r="C123" s="1477">
        <f>TREND(C119:C120,B119:B120,B123)</f>
        <v>0</v>
      </c>
      <c r="D123" s="1495">
        <f>TREND(D119:D120,B119:B120,B123)</f>
        <v>0</v>
      </c>
      <c r="E123" s="1496">
        <f>TREND(E119:E120,B119:B120,B123)</f>
        <v>55</v>
      </c>
      <c r="F123" s="1497">
        <f>TREND(F119:F120,B119:B120,B123)</f>
        <v>55</v>
      </c>
      <c r="G123" s="1449" t="e">
        <f t="shared" si="55"/>
        <v>#DIV/0!</v>
      </c>
      <c r="H123" s="1450" t="e">
        <f t="shared" si="56"/>
        <v>#DIV/0!</v>
      </c>
      <c r="I123" s="1449" t="e">
        <f t="shared" si="57"/>
        <v>#DIV/0!</v>
      </c>
      <c r="J123" s="1450" t="e">
        <f t="shared" si="58"/>
        <v>#DIV/0!</v>
      </c>
      <c r="K123" s="1498" t="e">
        <f t="shared" si="59"/>
        <v>#DIV/0!</v>
      </c>
      <c r="L123" s="1499">
        <f t="shared" si="60"/>
        <v>0</v>
      </c>
      <c r="M123" s="1453" t="e">
        <f t="shared" si="61"/>
        <v>#DIV/0!</v>
      </c>
      <c r="N123" s="1454" t="e">
        <f t="shared" si="62"/>
        <v>#DIV/0!</v>
      </c>
      <c r="P123" s="1536"/>
      <c r="Q123" s="1537"/>
      <c r="R123" s="1537"/>
      <c r="S123" s="1537"/>
      <c r="T123" s="1538"/>
      <c r="U123" s="1538"/>
      <c r="V123" s="1538"/>
      <c r="W123" s="1539"/>
      <c r="X123" s="1539"/>
      <c r="Y123" s="1539"/>
      <c r="Z123" s="1540"/>
      <c r="AA123" s="1541"/>
    </row>
    <row r="124" spans="2:27" x14ac:dyDescent="0.25">
      <c r="B124" s="1444">
        <v>4</v>
      </c>
      <c r="C124" s="1477">
        <f>TREND(C119:C120,B119:B120,B124)</f>
        <v>0</v>
      </c>
      <c r="D124" s="1495">
        <f>TREND(D119:D120,B119:B120,B124)</f>
        <v>0</v>
      </c>
      <c r="E124" s="1496">
        <f>TREND(E119:E120,B119:B120,B124)</f>
        <v>55</v>
      </c>
      <c r="F124" s="1497">
        <f>TREND(F119:F120,B119:B120,B124)</f>
        <v>55</v>
      </c>
      <c r="G124" s="1449" t="e">
        <f t="shared" si="55"/>
        <v>#DIV/0!</v>
      </c>
      <c r="H124" s="1450" t="e">
        <f t="shared" si="56"/>
        <v>#DIV/0!</v>
      </c>
      <c r="I124" s="1449" t="e">
        <f t="shared" si="57"/>
        <v>#DIV/0!</v>
      </c>
      <c r="J124" s="1450" t="e">
        <f t="shared" si="58"/>
        <v>#DIV/0!</v>
      </c>
      <c r="K124" s="1498" t="e">
        <f t="shared" si="59"/>
        <v>#DIV/0!</v>
      </c>
      <c r="L124" s="1499">
        <f t="shared" si="60"/>
        <v>0</v>
      </c>
      <c r="M124" s="1453" t="e">
        <f t="shared" si="61"/>
        <v>#DIV/0!</v>
      </c>
      <c r="N124" s="1454" t="e">
        <f t="shared" si="62"/>
        <v>#DIV/0!</v>
      </c>
      <c r="P124" s="1536"/>
      <c r="Q124" s="1537"/>
      <c r="R124" s="1537"/>
      <c r="S124" s="1537"/>
      <c r="T124" s="1538"/>
      <c r="U124" s="1538"/>
      <c r="V124" s="1538"/>
      <c r="W124" s="1539"/>
      <c r="X124" s="1539"/>
      <c r="Y124" s="1539"/>
      <c r="Z124" s="1540"/>
      <c r="AA124" s="1541"/>
    </row>
    <row r="125" spans="2:27" x14ac:dyDescent="0.25">
      <c r="B125" s="1444">
        <v>5</v>
      </c>
      <c r="C125" s="1477">
        <f>TREND(C119:C120,B119:B120,B125)</f>
        <v>0</v>
      </c>
      <c r="D125" s="1495">
        <f>TREND(D119:D120,B119:B120,B125)</f>
        <v>0</v>
      </c>
      <c r="E125" s="1496">
        <f>TREND(E119:E120,B119:B120,B125)</f>
        <v>55</v>
      </c>
      <c r="F125" s="1497">
        <f>TREND(F119:F120,B119:B120,B125)</f>
        <v>55</v>
      </c>
      <c r="G125" s="1449" t="e">
        <f t="shared" si="55"/>
        <v>#DIV/0!</v>
      </c>
      <c r="H125" s="1450" t="e">
        <f t="shared" si="56"/>
        <v>#DIV/0!</v>
      </c>
      <c r="I125" s="1449" t="e">
        <f t="shared" si="57"/>
        <v>#DIV/0!</v>
      </c>
      <c r="J125" s="1450" t="e">
        <f t="shared" si="58"/>
        <v>#DIV/0!</v>
      </c>
      <c r="K125" s="1498" t="e">
        <f t="shared" si="59"/>
        <v>#DIV/0!</v>
      </c>
      <c r="L125" s="1499">
        <f t="shared" si="60"/>
        <v>0</v>
      </c>
      <c r="M125" s="1453" t="e">
        <f t="shared" si="61"/>
        <v>#DIV/0!</v>
      </c>
      <c r="N125" s="1454" t="e">
        <f t="shared" si="62"/>
        <v>#DIV/0!</v>
      </c>
      <c r="P125" s="1536"/>
      <c r="Q125" s="1537"/>
      <c r="R125" s="1537"/>
      <c r="S125" s="1537"/>
      <c r="T125" s="1538"/>
      <c r="U125" s="1538"/>
      <c r="V125" s="1538"/>
      <c r="W125" s="1539"/>
      <c r="X125" s="1539"/>
      <c r="Y125" s="1539"/>
      <c r="Z125" s="1540"/>
      <c r="AA125" s="1541"/>
    </row>
    <row r="126" spans="2:27" x14ac:dyDescent="0.25">
      <c r="B126" s="1444">
        <v>6</v>
      </c>
      <c r="C126" s="1477">
        <f>TREND(C119:C120,B119:B120,B126)</f>
        <v>0</v>
      </c>
      <c r="D126" s="1495">
        <f>TREND(D119:D120,B119:B120,B126)</f>
        <v>0</v>
      </c>
      <c r="E126" s="1496">
        <f>TREND(E119:E120,B119:B120,B126)</f>
        <v>55</v>
      </c>
      <c r="F126" s="1497">
        <f>TREND(F119:F120,B119:B120,B126)</f>
        <v>55</v>
      </c>
      <c r="G126" s="1449" t="e">
        <f t="shared" si="55"/>
        <v>#DIV/0!</v>
      </c>
      <c r="H126" s="1450" t="e">
        <f t="shared" si="56"/>
        <v>#DIV/0!</v>
      </c>
      <c r="I126" s="1449" t="e">
        <f t="shared" si="57"/>
        <v>#DIV/0!</v>
      </c>
      <c r="J126" s="1450" t="e">
        <f t="shared" si="58"/>
        <v>#DIV/0!</v>
      </c>
      <c r="K126" s="1498" t="e">
        <f t="shared" si="59"/>
        <v>#DIV/0!</v>
      </c>
      <c r="L126" s="1499">
        <f t="shared" si="60"/>
        <v>0</v>
      </c>
      <c r="M126" s="1453" t="e">
        <f t="shared" si="61"/>
        <v>#DIV/0!</v>
      </c>
      <c r="N126" s="1454" t="e">
        <f t="shared" si="62"/>
        <v>#DIV/0!</v>
      </c>
      <c r="P126" s="1536"/>
      <c r="Q126" s="1537"/>
      <c r="R126" s="1537"/>
      <c r="S126" s="1537"/>
      <c r="T126" s="1538"/>
      <c r="U126" s="1538"/>
      <c r="V126" s="1538"/>
      <c r="W126" s="1539"/>
      <c r="X126" s="1539"/>
      <c r="Y126" s="1539"/>
      <c r="Z126" s="1540"/>
      <c r="AA126" s="1541"/>
    </row>
    <row r="127" spans="2:27" x14ac:dyDescent="0.25">
      <c r="B127" s="1444">
        <v>7</v>
      </c>
      <c r="C127" s="1477">
        <f>TREND(C119:C120,B119:B120,B127)</f>
        <v>0</v>
      </c>
      <c r="D127" s="1495">
        <f>TREND(D119:D120,B119:B120,B127)</f>
        <v>0</v>
      </c>
      <c r="E127" s="1496">
        <f>TREND(E119:E120,B119:B120,B127)</f>
        <v>55</v>
      </c>
      <c r="F127" s="1497">
        <f>TREND(F119:F120,B119:B120,B127)</f>
        <v>55</v>
      </c>
      <c r="G127" s="1449" t="e">
        <f t="shared" si="55"/>
        <v>#DIV/0!</v>
      </c>
      <c r="H127" s="1450" t="e">
        <f t="shared" si="56"/>
        <v>#DIV/0!</v>
      </c>
      <c r="I127" s="1449" t="e">
        <f t="shared" si="57"/>
        <v>#DIV/0!</v>
      </c>
      <c r="J127" s="1450" t="e">
        <f t="shared" si="58"/>
        <v>#DIV/0!</v>
      </c>
      <c r="K127" s="1498" t="e">
        <f t="shared" si="59"/>
        <v>#DIV/0!</v>
      </c>
      <c r="L127" s="1499">
        <f t="shared" si="60"/>
        <v>0</v>
      </c>
      <c r="M127" s="1453" t="e">
        <f t="shared" si="61"/>
        <v>#DIV/0!</v>
      </c>
      <c r="N127" s="1454" t="e">
        <f t="shared" si="62"/>
        <v>#DIV/0!</v>
      </c>
      <c r="P127" s="1536"/>
      <c r="Q127" s="1537"/>
      <c r="R127" s="1537"/>
      <c r="S127" s="1537"/>
      <c r="T127" s="1538"/>
      <c r="U127" s="1538"/>
      <c r="V127" s="1538"/>
      <c r="W127" s="1539"/>
      <c r="X127" s="1539"/>
      <c r="Y127" s="1539"/>
      <c r="Z127" s="1540"/>
      <c r="AA127" s="1541"/>
    </row>
    <row r="128" spans="2:27" x14ac:dyDescent="0.25">
      <c r="B128" s="1444">
        <v>8</v>
      </c>
      <c r="C128" s="1477">
        <f>TREND(C119:C120,B119:B120,B128)</f>
        <v>0</v>
      </c>
      <c r="D128" s="1495">
        <f>TREND(D119:D120,B119:B120,B128)</f>
        <v>0</v>
      </c>
      <c r="E128" s="1496">
        <f>TREND(E119:E120,B119:B120,B128)</f>
        <v>55</v>
      </c>
      <c r="F128" s="1497">
        <f>TREND(F119:F120,B119:B120,B128)</f>
        <v>55</v>
      </c>
      <c r="G128" s="1449" t="e">
        <f t="shared" si="55"/>
        <v>#DIV/0!</v>
      </c>
      <c r="H128" s="1450" t="e">
        <f t="shared" si="56"/>
        <v>#DIV/0!</v>
      </c>
      <c r="I128" s="1449" t="e">
        <f t="shared" si="57"/>
        <v>#DIV/0!</v>
      </c>
      <c r="J128" s="1450" t="e">
        <f t="shared" si="58"/>
        <v>#DIV/0!</v>
      </c>
      <c r="K128" s="1498" t="e">
        <f t="shared" si="59"/>
        <v>#DIV/0!</v>
      </c>
      <c r="L128" s="1499">
        <f t="shared" si="60"/>
        <v>0</v>
      </c>
      <c r="M128" s="1453" t="e">
        <f t="shared" si="61"/>
        <v>#DIV/0!</v>
      </c>
      <c r="N128" s="1454" t="e">
        <f t="shared" si="62"/>
        <v>#DIV/0!</v>
      </c>
      <c r="P128" s="1536"/>
      <c r="Q128" s="1537"/>
      <c r="R128" s="1537"/>
      <c r="S128" s="1537"/>
      <c r="T128" s="1538"/>
      <c r="U128" s="1538"/>
      <c r="V128" s="1538"/>
      <c r="W128" s="1539"/>
      <c r="X128" s="1539"/>
      <c r="Y128" s="1539"/>
      <c r="Z128" s="1540"/>
      <c r="AA128" s="1541"/>
    </row>
    <row r="129" spans="2:27" x14ac:dyDescent="0.25">
      <c r="B129" s="1444">
        <v>9</v>
      </c>
      <c r="C129" s="1477">
        <f>TREND(C119:C120,B119:B120,B129)</f>
        <v>0</v>
      </c>
      <c r="D129" s="1495">
        <f>TREND(D119:D120,B119:B120,B129)</f>
        <v>0</v>
      </c>
      <c r="E129" s="1496">
        <f>TREND(E119:E120,B119:B120,B129)</f>
        <v>55</v>
      </c>
      <c r="F129" s="1497">
        <f>TREND(F119:F120,B119:B120,B129)</f>
        <v>55</v>
      </c>
      <c r="G129" s="1449" t="e">
        <f t="shared" si="55"/>
        <v>#DIV/0!</v>
      </c>
      <c r="H129" s="1450" t="e">
        <f t="shared" si="56"/>
        <v>#DIV/0!</v>
      </c>
      <c r="I129" s="1449" t="e">
        <f t="shared" si="57"/>
        <v>#DIV/0!</v>
      </c>
      <c r="J129" s="1450" t="e">
        <f t="shared" si="58"/>
        <v>#DIV/0!</v>
      </c>
      <c r="K129" s="1498" t="e">
        <f t="shared" si="59"/>
        <v>#DIV/0!</v>
      </c>
      <c r="L129" s="1499">
        <f t="shared" si="60"/>
        <v>0</v>
      </c>
      <c r="M129" s="1453" t="e">
        <f t="shared" si="61"/>
        <v>#DIV/0!</v>
      </c>
      <c r="N129" s="1454" t="e">
        <f t="shared" si="62"/>
        <v>#DIV/0!</v>
      </c>
      <c r="P129" s="1536"/>
      <c r="Q129" s="1537"/>
      <c r="R129" s="1537"/>
      <c r="S129" s="1537"/>
      <c r="T129" s="1538"/>
      <c r="U129" s="1538"/>
      <c r="V129" s="1538"/>
      <c r="W129" s="1539"/>
      <c r="X129" s="1539"/>
      <c r="Y129" s="1539"/>
      <c r="Z129" s="1540"/>
      <c r="AA129" s="1541"/>
    </row>
    <row r="130" spans="2:27" x14ac:dyDescent="0.25">
      <c r="B130" s="1444">
        <v>10</v>
      </c>
      <c r="C130" s="1477">
        <f>TREND(C119:C120,B119:B120,B130)</f>
        <v>0</v>
      </c>
      <c r="D130" s="1495">
        <f>TREND(D119:D120,B119:B120,B130)</f>
        <v>0</v>
      </c>
      <c r="E130" s="1496">
        <f>TREND(E119:E120,B119:B120,B130)</f>
        <v>55</v>
      </c>
      <c r="F130" s="1497">
        <f>TREND(F119:F120,B119:B120,B130)</f>
        <v>55</v>
      </c>
      <c r="G130" s="1449" t="e">
        <f t="shared" si="55"/>
        <v>#DIV/0!</v>
      </c>
      <c r="H130" s="1450" t="e">
        <f t="shared" si="56"/>
        <v>#DIV/0!</v>
      </c>
      <c r="I130" s="1449" t="e">
        <f t="shared" si="57"/>
        <v>#DIV/0!</v>
      </c>
      <c r="J130" s="1450" t="e">
        <f t="shared" si="58"/>
        <v>#DIV/0!</v>
      </c>
      <c r="K130" s="1498" t="e">
        <f t="shared" si="59"/>
        <v>#DIV/0!</v>
      </c>
      <c r="L130" s="1499">
        <f t="shared" si="60"/>
        <v>0</v>
      </c>
      <c r="M130" s="1453" t="e">
        <f t="shared" si="61"/>
        <v>#DIV/0!</v>
      </c>
      <c r="N130" s="1454" t="e">
        <f t="shared" si="62"/>
        <v>#DIV/0!</v>
      </c>
      <c r="P130" s="1536"/>
      <c r="Q130" s="1537"/>
      <c r="R130" s="1537"/>
      <c r="S130" s="1537"/>
      <c r="T130" s="1538"/>
      <c r="U130" s="1538"/>
      <c r="V130" s="1538"/>
      <c r="W130" s="1539"/>
      <c r="X130" s="1539"/>
      <c r="Y130" s="1539"/>
      <c r="Z130" s="1540"/>
      <c r="AA130" s="1541"/>
    </row>
    <row r="131" spans="2:27" x14ac:dyDescent="0.25">
      <c r="B131" s="1444">
        <v>11</v>
      </c>
      <c r="C131" s="1477">
        <f>TREND(C119:C120,B119:B120,B131)</f>
        <v>0</v>
      </c>
      <c r="D131" s="1495">
        <f>TREND(D119:D120,B119:B120,B131)</f>
        <v>0</v>
      </c>
      <c r="E131" s="1496">
        <f>TREND(E119:E120,B119:B120,B131)</f>
        <v>55</v>
      </c>
      <c r="F131" s="1497">
        <f>TREND(F119:F120,B119:B120,B131)</f>
        <v>55</v>
      </c>
      <c r="G131" s="1449" t="e">
        <f t="shared" si="55"/>
        <v>#DIV/0!</v>
      </c>
      <c r="H131" s="1450" t="e">
        <f t="shared" si="56"/>
        <v>#DIV/0!</v>
      </c>
      <c r="I131" s="1449" t="e">
        <f t="shared" si="57"/>
        <v>#DIV/0!</v>
      </c>
      <c r="J131" s="1450" t="e">
        <f t="shared" si="58"/>
        <v>#DIV/0!</v>
      </c>
      <c r="K131" s="1498" t="e">
        <f t="shared" si="59"/>
        <v>#DIV/0!</v>
      </c>
      <c r="L131" s="1499">
        <f t="shared" si="60"/>
        <v>0</v>
      </c>
      <c r="M131" s="1453" t="e">
        <f t="shared" si="61"/>
        <v>#DIV/0!</v>
      </c>
      <c r="N131" s="1454" t="e">
        <f t="shared" si="62"/>
        <v>#DIV/0!</v>
      </c>
      <c r="P131" s="1536"/>
      <c r="Q131" s="1537"/>
      <c r="R131" s="1537"/>
      <c r="S131" s="1537"/>
      <c r="T131" s="1538"/>
      <c r="U131" s="1538"/>
      <c r="V131" s="1538"/>
      <c r="W131" s="1539"/>
      <c r="X131" s="1539"/>
      <c r="Y131" s="1539"/>
      <c r="Z131" s="1540"/>
      <c r="AA131" s="1541"/>
    </row>
    <row r="132" spans="2:27" x14ac:dyDescent="0.25">
      <c r="B132" s="1444">
        <v>12</v>
      </c>
      <c r="C132" s="1477">
        <f>TREND(C119:C120,B119:B120,B132)</f>
        <v>0</v>
      </c>
      <c r="D132" s="1495">
        <f>TREND(D119:D120,B119:B120,B132)</f>
        <v>0</v>
      </c>
      <c r="E132" s="1496">
        <f>TREND(E119:E120,B119:B120,B132)</f>
        <v>55</v>
      </c>
      <c r="F132" s="1497">
        <f>TREND(F119:F120,B119:B120,B132)</f>
        <v>55</v>
      </c>
      <c r="G132" s="1449" t="e">
        <f t="shared" si="55"/>
        <v>#DIV/0!</v>
      </c>
      <c r="H132" s="1450" t="e">
        <f t="shared" si="56"/>
        <v>#DIV/0!</v>
      </c>
      <c r="I132" s="1449" t="e">
        <f t="shared" si="57"/>
        <v>#DIV/0!</v>
      </c>
      <c r="J132" s="1450" t="e">
        <f t="shared" si="58"/>
        <v>#DIV/0!</v>
      </c>
      <c r="K132" s="1498" t="e">
        <f t="shared" si="59"/>
        <v>#DIV/0!</v>
      </c>
      <c r="L132" s="1499">
        <f t="shared" si="60"/>
        <v>0</v>
      </c>
      <c r="M132" s="1453" t="e">
        <f t="shared" si="61"/>
        <v>#DIV/0!</v>
      </c>
      <c r="N132" s="1454" t="e">
        <f t="shared" si="62"/>
        <v>#DIV/0!</v>
      </c>
      <c r="P132" s="1536"/>
      <c r="Q132" s="1537"/>
      <c r="R132" s="1537"/>
      <c r="S132" s="1537"/>
      <c r="T132" s="1538"/>
      <c r="U132" s="1538"/>
      <c r="V132" s="1538"/>
      <c r="W132" s="1539"/>
      <c r="X132" s="1539"/>
      <c r="Y132" s="1539"/>
      <c r="Z132" s="1540"/>
      <c r="AA132" s="1541"/>
    </row>
    <row r="133" spans="2:27" x14ac:dyDescent="0.25">
      <c r="B133" s="1444">
        <v>13</v>
      </c>
      <c r="C133" s="1477">
        <f>TREND(C119:C120,B119:B120,B133)</f>
        <v>0</v>
      </c>
      <c r="D133" s="1495">
        <f>TREND(D119:D120,B119:B120,B133)</f>
        <v>0</v>
      </c>
      <c r="E133" s="1496">
        <f>TREND(E119:E120,B119:B120,B133)</f>
        <v>55</v>
      </c>
      <c r="F133" s="1497">
        <f>TREND(F119:F120,B119:B120,B133)</f>
        <v>55</v>
      </c>
      <c r="G133" s="1449" t="e">
        <f t="shared" si="55"/>
        <v>#DIV/0!</v>
      </c>
      <c r="H133" s="1450" t="e">
        <f t="shared" si="56"/>
        <v>#DIV/0!</v>
      </c>
      <c r="I133" s="1449" t="e">
        <f t="shared" si="57"/>
        <v>#DIV/0!</v>
      </c>
      <c r="J133" s="1450" t="e">
        <f t="shared" si="58"/>
        <v>#DIV/0!</v>
      </c>
      <c r="K133" s="1498" t="e">
        <f t="shared" si="59"/>
        <v>#DIV/0!</v>
      </c>
      <c r="L133" s="1499">
        <f t="shared" si="60"/>
        <v>0</v>
      </c>
      <c r="M133" s="1453" t="e">
        <f t="shared" si="61"/>
        <v>#DIV/0!</v>
      </c>
      <c r="N133" s="1454" t="e">
        <f t="shared" si="62"/>
        <v>#DIV/0!</v>
      </c>
      <c r="P133" s="1536"/>
      <c r="Q133" s="1537"/>
      <c r="R133" s="1537"/>
      <c r="S133" s="1537"/>
      <c r="T133" s="1538"/>
      <c r="U133" s="1538"/>
      <c r="V133" s="1538"/>
      <c r="W133" s="1539"/>
      <c r="X133" s="1539"/>
      <c r="Y133" s="1539"/>
      <c r="Z133" s="1540"/>
      <c r="AA133" s="1541"/>
    </row>
    <row r="134" spans="2:27" x14ac:dyDescent="0.25">
      <c r="B134" s="1444">
        <v>14</v>
      </c>
      <c r="C134" s="1477">
        <f>TREND(C119:C120,B119:B120,B134)</f>
        <v>0</v>
      </c>
      <c r="D134" s="1495">
        <f>TREND(D119:D120,B119:B120,B134)</f>
        <v>0</v>
      </c>
      <c r="E134" s="1496">
        <f>TREND(E119:E120,B119:B120,B134)</f>
        <v>55</v>
      </c>
      <c r="F134" s="1497">
        <f>TREND(F119:F120,B119:B120,B134)</f>
        <v>55</v>
      </c>
      <c r="G134" s="1449" t="e">
        <f t="shared" si="55"/>
        <v>#DIV/0!</v>
      </c>
      <c r="H134" s="1450" t="e">
        <f t="shared" si="56"/>
        <v>#DIV/0!</v>
      </c>
      <c r="I134" s="1449" t="e">
        <f t="shared" si="57"/>
        <v>#DIV/0!</v>
      </c>
      <c r="J134" s="1450" t="e">
        <f t="shared" si="58"/>
        <v>#DIV/0!</v>
      </c>
      <c r="K134" s="1498" t="e">
        <f t="shared" si="59"/>
        <v>#DIV/0!</v>
      </c>
      <c r="L134" s="1499">
        <f t="shared" si="60"/>
        <v>0</v>
      </c>
      <c r="M134" s="1453" t="e">
        <f t="shared" si="61"/>
        <v>#DIV/0!</v>
      </c>
      <c r="N134" s="1454" t="e">
        <f t="shared" si="62"/>
        <v>#DIV/0!</v>
      </c>
      <c r="P134" s="1536"/>
      <c r="Q134" s="1537"/>
      <c r="R134" s="1537"/>
      <c r="S134" s="1537"/>
      <c r="T134" s="1538"/>
      <c r="U134" s="1538"/>
      <c r="V134" s="1538"/>
      <c r="W134" s="1539"/>
      <c r="X134" s="1539"/>
      <c r="Y134" s="1539"/>
      <c r="Z134" s="1540"/>
      <c r="AA134" s="1541"/>
    </row>
    <row r="135" spans="2:27" x14ac:dyDescent="0.25">
      <c r="B135" s="1444">
        <v>15</v>
      </c>
      <c r="C135" s="1477">
        <f>TREND(C119:C120,B119:B120,B135)</f>
        <v>0</v>
      </c>
      <c r="D135" s="1495">
        <f>TREND(D119:D120,B119:B120,B135)</f>
        <v>0</v>
      </c>
      <c r="E135" s="1496">
        <f>TREND(E119:E120,B119:B120,B135)</f>
        <v>55</v>
      </c>
      <c r="F135" s="1497">
        <f>TREND(F119:F120,B119:B120,B135)</f>
        <v>55</v>
      </c>
      <c r="G135" s="1449" t="e">
        <f t="shared" si="55"/>
        <v>#DIV/0!</v>
      </c>
      <c r="H135" s="1450" t="e">
        <f t="shared" si="56"/>
        <v>#DIV/0!</v>
      </c>
      <c r="I135" s="1449" t="e">
        <f t="shared" si="57"/>
        <v>#DIV/0!</v>
      </c>
      <c r="J135" s="1450" t="e">
        <f t="shared" si="58"/>
        <v>#DIV/0!</v>
      </c>
      <c r="K135" s="1498" t="e">
        <f t="shared" si="59"/>
        <v>#DIV/0!</v>
      </c>
      <c r="L135" s="1499">
        <f t="shared" si="60"/>
        <v>0</v>
      </c>
      <c r="M135" s="1453" t="e">
        <f t="shared" si="61"/>
        <v>#DIV/0!</v>
      </c>
      <c r="N135" s="1454" t="e">
        <f t="shared" si="62"/>
        <v>#DIV/0!</v>
      </c>
      <c r="P135" s="1536"/>
      <c r="Q135" s="1537"/>
      <c r="R135" s="1537"/>
      <c r="S135" s="1537"/>
      <c r="T135" s="1538"/>
      <c r="U135" s="1538"/>
      <c r="V135" s="1538"/>
      <c r="W135" s="1539"/>
      <c r="X135" s="1539"/>
      <c r="Y135" s="1539"/>
      <c r="Z135" s="1540"/>
      <c r="AA135" s="1541"/>
    </row>
    <row r="136" spans="2:27" x14ac:dyDescent="0.25">
      <c r="B136" s="1444">
        <v>16</v>
      </c>
      <c r="C136" s="1477">
        <f>TREND(C119:C120,B119:B120,B136)</f>
        <v>0</v>
      </c>
      <c r="D136" s="1495">
        <f>TREND(D119:D120,B119:B120,B136)</f>
        <v>0</v>
      </c>
      <c r="E136" s="1496">
        <f>TREND(E119:E120,B119:B120,B136)</f>
        <v>55</v>
      </c>
      <c r="F136" s="1497">
        <f>TREND(F119:F120,B119:B120,B136)</f>
        <v>55</v>
      </c>
      <c r="G136" s="1449" t="e">
        <f t="shared" si="55"/>
        <v>#DIV/0!</v>
      </c>
      <c r="H136" s="1450" t="e">
        <f t="shared" si="56"/>
        <v>#DIV/0!</v>
      </c>
      <c r="I136" s="1449" t="e">
        <f t="shared" si="57"/>
        <v>#DIV/0!</v>
      </c>
      <c r="J136" s="1450" t="e">
        <f t="shared" si="58"/>
        <v>#DIV/0!</v>
      </c>
      <c r="K136" s="1498" t="e">
        <f t="shared" si="59"/>
        <v>#DIV/0!</v>
      </c>
      <c r="L136" s="1499">
        <f t="shared" si="60"/>
        <v>0</v>
      </c>
      <c r="M136" s="1453" t="e">
        <f t="shared" si="61"/>
        <v>#DIV/0!</v>
      </c>
      <c r="N136" s="1454" t="e">
        <f t="shared" si="62"/>
        <v>#DIV/0!</v>
      </c>
      <c r="P136" s="1536"/>
      <c r="Q136" s="1537"/>
      <c r="R136" s="1537"/>
      <c r="S136" s="1537"/>
      <c r="T136" s="1538"/>
      <c r="U136" s="1538"/>
      <c r="V136" s="1538"/>
      <c r="W136" s="1539"/>
      <c r="X136" s="1539"/>
      <c r="Y136" s="1539"/>
      <c r="Z136" s="1540"/>
      <c r="AA136" s="1541"/>
    </row>
    <row r="137" spans="2:27" x14ac:dyDescent="0.25">
      <c r="B137" s="1444">
        <v>17</v>
      </c>
      <c r="C137" s="1477">
        <f>TREND(C119:C120,B119:B120,B137)</f>
        <v>0</v>
      </c>
      <c r="D137" s="1495">
        <f>TREND(D119:D120,B119:B120,B137)</f>
        <v>0</v>
      </c>
      <c r="E137" s="1496">
        <f>TREND(E119:E120,B119:B120,B137)</f>
        <v>55</v>
      </c>
      <c r="F137" s="1497">
        <f>TREND(F119:F120,B119:B120,B137)</f>
        <v>55</v>
      </c>
      <c r="G137" s="1449" t="e">
        <f t="shared" si="55"/>
        <v>#DIV/0!</v>
      </c>
      <c r="H137" s="1450" t="e">
        <f t="shared" si="56"/>
        <v>#DIV/0!</v>
      </c>
      <c r="I137" s="1449" t="e">
        <f t="shared" si="57"/>
        <v>#DIV/0!</v>
      </c>
      <c r="J137" s="1450" t="e">
        <f t="shared" si="58"/>
        <v>#DIV/0!</v>
      </c>
      <c r="K137" s="1498" t="e">
        <f t="shared" si="59"/>
        <v>#DIV/0!</v>
      </c>
      <c r="L137" s="1499">
        <f t="shared" si="60"/>
        <v>0</v>
      </c>
      <c r="M137" s="1453" t="e">
        <f t="shared" si="61"/>
        <v>#DIV/0!</v>
      </c>
      <c r="N137" s="1454" t="e">
        <f t="shared" si="62"/>
        <v>#DIV/0!</v>
      </c>
      <c r="P137" s="1536"/>
      <c r="Q137" s="1537"/>
      <c r="R137" s="1537"/>
      <c r="S137" s="1537"/>
      <c r="T137" s="1538"/>
      <c r="U137" s="1538"/>
      <c r="V137" s="1538"/>
      <c r="W137" s="1539"/>
      <c r="X137" s="1539"/>
      <c r="Y137" s="1539"/>
      <c r="Z137" s="1540"/>
      <c r="AA137" s="1541"/>
    </row>
    <row r="138" spans="2:27" x14ac:dyDescent="0.25">
      <c r="B138" s="1444">
        <v>18</v>
      </c>
      <c r="C138" s="1477">
        <f>TREND(C119:C120,B119:B120,B138)</f>
        <v>0</v>
      </c>
      <c r="D138" s="1495">
        <f>TREND(D119:D120,B119:B120,B138)</f>
        <v>0</v>
      </c>
      <c r="E138" s="1496">
        <f>TREND(E119:E120,B119:B120,B138)</f>
        <v>55</v>
      </c>
      <c r="F138" s="1497">
        <f>TREND(F119:F120,B119:B120,B138)</f>
        <v>55</v>
      </c>
      <c r="G138" s="1449" t="e">
        <f t="shared" si="55"/>
        <v>#DIV/0!</v>
      </c>
      <c r="H138" s="1450" t="e">
        <f t="shared" si="56"/>
        <v>#DIV/0!</v>
      </c>
      <c r="I138" s="1449" t="e">
        <f t="shared" si="57"/>
        <v>#DIV/0!</v>
      </c>
      <c r="J138" s="1450" t="e">
        <f t="shared" si="58"/>
        <v>#DIV/0!</v>
      </c>
      <c r="K138" s="1498" t="e">
        <f t="shared" si="59"/>
        <v>#DIV/0!</v>
      </c>
      <c r="L138" s="1499">
        <f t="shared" si="60"/>
        <v>0</v>
      </c>
      <c r="M138" s="1453" t="e">
        <f t="shared" si="61"/>
        <v>#DIV/0!</v>
      </c>
      <c r="N138" s="1454" t="e">
        <f t="shared" si="62"/>
        <v>#DIV/0!</v>
      </c>
      <c r="P138" s="1536"/>
      <c r="Q138" s="1537"/>
      <c r="R138" s="1537"/>
      <c r="S138" s="1537"/>
      <c r="T138" s="1538"/>
      <c r="U138" s="1538"/>
      <c r="V138" s="1538"/>
      <c r="W138" s="1539"/>
      <c r="X138" s="1539"/>
      <c r="Y138" s="1539"/>
      <c r="Z138" s="1540"/>
      <c r="AA138" s="1541"/>
    </row>
    <row r="139" spans="2:27" x14ac:dyDescent="0.25">
      <c r="B139" s="1504">
        <v>19</v>
      </c>
      <c r="C139" s="1505">
        <f>TREND(C119:C120,B119:B120,B139)</f>
        <v>0</v>
      </c>
      <c r="D139" s="1506">
        <f>TREND(D119:D120,B119:B120,B139)</f>
        <v>0</v>
      </c>
      <c r="E139" s="1507">
        <f>TREND(E119:E120,B119:B120,B139)</f>
        <v>55</v>
      </c>
      <c r="F139" s="1508">
        <f>TREND(F119:F120,B119:B120,B139)</f>
        <v>55</v>
      </c>
      <c r="G139" s="1449" t="e">
        <f t="shared" si="55"/>
        <v>#DIV/0!</v>
      </c>
      <c r="H139" s="1450" t="e">
        <f t="shared" si="56"/>
        <v>#DIV/0!</v>
      </c>
      <c r="I139" s="1449" t="e">
        <f t="shared" si="57"/>
        <v>#DIV/0!</v>
      </c>
      <c r="J139" s="1450" t="e">
        <f t="shared" si="58"/>
        <v>#DIV/0!</v>
      </c>
      <c r="K139" s="1471" t="e">
        <f t="shared" si="59"/>
        <v>#DIV/0!</v>
      </c>
      <c r="L139" s="1499">
        <f t="shared" si="60"/>
        <v>0</v>
      </c>
      <c r="M139" s="1453" t="e">
        <f t="shared" si="61"/>
        <v>#DIV/0!</v>
      </c>
      <c r="N139" s="1454" t="e">
        <f t="shared" si="62"/>
        <v>#DIV/0!</v>
      </c>
      <c r="P139" s="1547"/>
      <c r="Q139" s="1537"/>
      <c r="R139" s="1537"/>
      <c r="S139" s="1537"/>
      <c r="T139" s="1538"/>
      <c r="U139" s="1538"/>
      <c r="V139" s="1538"/>
      <c r="W139" s="1539"/>
      <c r="X139" s="1539"/>
      <c r="Y139" s="1539"/>
      <c r="Z139" s="1540"/>
      <c r="AA139" s="1541"/>
    </row>
    <row r="140" spans="2:27" x14ac:dyDescent="0.25">
      <c r="B140" s="1480"/>
      <c r="C140" s="1481"/>
      <c r="D140" s="1481"/>
      <c r="E140" s="1481"/>
      <c r="F140" s="1481"/>
      <c r="G140" s="1481"/>
      <c r="H140" s="1481"/>
      <c r="I140" s="1486"/>
      <c r="J140" s="1486"/>
      <c r="K140" s="1486"/>
      <c r="L140" s="1486"/>
      <c r="M140" s="1486"/>
      <c r="N140" s="1487"/>
      <c r="P140" s="1548"/>
      <c r="Q140" s="1537"/>
      <c r="R140" s="1537"/>
      <c r="S140" s="1537"/>
      <c r="T140" s="1537"/>
      <c r="U140" s="1537"/>
      <c r="V140" s="1537"/>
      <c r="W140" s="1539"/>
      <c r="X140" s="1539"/>
      <c r="Y140" s="1539"/>
      <c r="Z140" s="1539"/>
      <c r="AA140" s="1489"/>
    </row>
    <row r="141" spans="2:27" ht="13" x14ac:dyDescent="0.25">
      <c r="B141" s="329" t="s">
        <v>172</v>
      </c>
      <c r="C141" s="1513"/>
      <c r="D141" s="1514"/>
      <c r="E141" s="1514"/>
      <c r="F141" s="1514"/>
      <c r="G141" s="1514"/>
      <c r="H141" s="1514"/>
      <c r="I141" s="1514"/>
      <c r="J141" s="1514"/>
      <c r="K141" s="1514"/>
      <c r="L141" s="1514"/>
      <c r="M141" s="1514"/>
      <c r="N141" s="342" t="e">
        <f>SUM(N119:N139)</f>
        <v>#DIV/0!</v>
      </c>
      <c r="P141" s="1533"/>
      <c r="Q141" s="1543"/>
      <c r="R141" s="1386"/>
      <c r="S141" s="1386"/>
      <c r="T141" s="1386"/>
      <c r="U141" s="1386"/>
      <c r="V141" s="1386"/>
      <c r="W141" s="1386"/>
      <c r="X141" s="1386"/>
      <c r="Y141" s="1540"/>
      <c r="Z141" s="1386"/>
      <c r="AA141" s="477"/>
    </row>
    <row r="142" spans="2:27" x14ac:dyDescent="0.25">
      <c r="G142" s="1383"/>
      <c r="H142" s="1383"/>
      <c r="I142" s="1384"/>
      <c r="K142" s="1366"/>
    </row>
    <row r="143" spans="2:27" x14ac:dyDescent="0.25">
      <c r="G143" s="1383"/>
      <c r="H143" s="1383"/>
      <c r="I143" s="1384"/>
      <c r="K143" s="1366"/>
    </row>
    <row r="144" spans="2:27" ht="13" x14ac:dyDescent="0.25">
      <c r="B144" s="350" t="s">
        <v>254</v>
      </c>
      <c r="C144" s="1386"/>
      <c r="D144" s="1386"/>
      <c r="E144" s="1386"/>
      <c r="F144" s="1386"/>
      <c r="G144" s="1386"/>
      <c r="H144" s="1386"/>
      <c r="I144" s="1422"/>
      <c r="J144" s="1422"/>
      <c r="K144" s="1386"/>
      <c r="L144" s="1422"/>
      <c r="M144" s="1386"/>
      <c r="N144" s="1386"/>
    </row>
    <row r="145" spans="2:26" ht="13" x14ac:dyDescent="0.25">
      <c r="B145" s="1386"/>
      <c r="C145" s="1386"/>
      <c r="D145" s="1427"/>
      <c r="E145" s="1427"/>
      <c r="F145" s="1427"/>
      <c r="G145" s="1549"/>
      <c r="H145" s="1427"/>
      <c r="I145" s="90"/>
      <c r="J145" s="1386"/>
      <c r="K145" s="90"/>
      <c r="L145" s="1386"/>
      <c r="M145" s="1386"/>
      <c r="N145" s="1425"/>
    </row>
    <row r="146" spans="2:26" ht="15.5" x14ac:dyDescent="0.25">
      <c r="B146" s="1428"/>
      <c r="C146" s="320" t="s">
        <v>230</v>
      </c>
      <c r="D146" s="1429"/>
      <c r="E146" s="320" t="s">
        <v>231</v>
      </c>
      <c r="F146" s="1429"/>
      <c r="G146" s="320" t="s">
        <v>808</v>
      </c>
      <c r="H146" s="1430"/>
      <c r="I146" s="335" t="s">
        <v>809</v>
      </c>
      <c r="J146" s="1429"/>
      <c r="K146" s="335" t="s">
        <v>810</v>
      </c>
      <c r="L146" s="321"/>
      <c r="M146" s="322"/>
      <c r="N146" s="1431"/>
    </row>
    <row r="147" spans="2:26" ht="15.5" x14ac:dyDescent="0.25">
      <c r="B147" s="1434"/>
      <c r="C147" s="1435" t="s">
        <v>812</v>
      </c>
      <c r="D147" s="362"/>
      <c r="E147" s="1435" t="s">
        <v>238</v>
      </c>
      <c r="F147" s="362"/>
      <c r="G147" s="1435" t="s">
        <v>813</v>
      </c>
      <c r="H147" s="1436"/>
      <c r="I147" s="1437" t="s">
        <v>814</v>
      </c>
      <c r="J147" s="362"/>
      <c r="K147" s="336" t="s">
        <v>552</v>
      </c>
      <c r="L147" s="288"/>
      <c r="M147" s="1438"/>
      <c r="N147" s="1439"/>
    </row>
    <row r="148" spans="2:26" ht="14" x14ac:dyDescent="0.25">
      <c r="B148" s="169" t="s">
        <v>135</v>
      </c>
      <c r="C148" s="1441"/>
      <c r="D148" s="283"/>
      <c r="E148" s="1441"/>
      <c r="F148" s="283"/>
      <c r="G148" s="1441"/>
      <c r="H148" s="283"/>
      <c r="I148" s="1435" t="s">
        <v>818</v>
      </c>
      <c r="J148" s="362"/>
      <c r="K148" s="1441" t="s">
        <v>151</v>
      </c>
      <c r="L148" s="283" t="s">
        <v>152</v>
      </c>
      <c r="M148" s="286" t="s">
        <v>242</v>
      </c>
      <c r="N148" s="345" t="s">
        <v>139</v>
      </c>
      <c r="S148" s="1550"/>
    </row>
    <row r="149" spans="2:26" ht="14" x14ac:dyDescent="0.25">
      <c r="B149" s="319"/>
      <c r="C149" s="324" t="s">
        <v>0</v>
      </c>
      <c r="D149" s="325" t="s">
        <v>1</v>
      </c>
      <c r="E149" s="324" t="s">
        <v>0</v>
      </c>
      <c r="F149" s="325" t="s">
        <v>1</v>
      </c>
      <c r="G149" s="324" t="s">
        <v>0</v>
      </c>
      <c r="H149" s="325" t="s">
        <v>1</v>
      </c>
      <c r="I149" s="324" t="s">
        <v>0</v>
      </c>
      <c r="J149" s="325" t="s">
        <v>1</v>
      </c>
      <c r="K149" s="324" t="s">
        <v>244</v>
      </c>
      <c r="L149" s="325" t="s">
        <v>245</v>
      </c>
      <c r="M149" s="326" t="s">
        <v>148</v>
      </c>
      <c r="N149" s="346" t="s">
        <v>149</v>
      </c>
      <c r="V149" s="1382"/>
    </row>
    <row r="150" spans="2:26" x14ac:dyDescent="0.25">
      <c r="B150" s="1444">
        <v>1</v>
      </c>
      <c r="C150" s="1445">
        <f>NNV1NB</f>
        <v>0</v>
      </c>
      <c r="D150" s="1446">
        <f>NNV1B</f>
        <v>0</v>
      </c>
      <c r="E150" s="1447">
        <f>NNS1NB</f>
        <v>55</v>
      </c>
      <c r="F150" s="1448">
        <f>NNS1B</f>
        <v>55</v>
      </c>
      <c r="G150" s="1449" t="e">
        <f>MAX(1/E150-1/FFSpeedNB, 0)</f>
        <v>#DIV/0!</v>
      </c>
      <c r="H150" s="1450" t="e">
        <f>MAX(1/F150-1/FFSpeedB, 0)</f>
        <v>#DIV/0!</v>
      </c>
      <c r="I150" s="1544" t="e">
        <f>AlphaSTD*MAX(AlphaTTI*(1+FFSpeedNB*G150)^BetaTTI-1,0)^BetaSTD*ImpactedNB/FFSpeedNB*NNRAdj</f>
        <v>#DIV/0!</v>
      </c>
      <c r="J150" s="1545" t="e">
        <f>AlphaSTD*MAX(AlphaTTI*(1+FFSpeedB*H150)^BetaTTI-1,0)^BetaSTD*ImpactedB/FFSpeedB*NNRAdj</f>
        <v>#DIV/0!</v>
      </c>
      <c r="K150" s="1451" t="e">
        <f>IF(OR(TruckLane,Bypass,HOV2to3,HOTConv,OnRamp,RM,AM,IM,TI), C150*AVONonNB*I150-D150*AVONonB*J150, MIN(C150*AVONonNB,D150*AVONonB)*(I150-J150))*AnnualFactor</f>
        <v>#DIV/0!</v>
      </c>
      <c r="L150" s="1452">
        <f>IF(AND(D150*AVONonB&gt;C150*AVONonNB, NOT(OR(TruckLane,Bypass,HOV2to3,HOTConv,OnRamp,RM,AM,IM,TI)),Induced="Y"), (D150*AVONonB-C150*AVONonNB)*(I150-J150)*0.5*AnnualFactor, 0)</f>
        <v>0</v>
      </c>
      <c r="M150" s="1453" t="e">
        <f>(K150+L150)*ValTimeAuto*ValRelAuto*IF(IM,ValTimeIMFactor,1)*(1+TTUprater)^($B150+Construct-1)</f>
        <v>#DIV/0!</v>
      </c>
      <c r="N150" s="1454" t="e">
        <f>$M150/(1+DiscRate)^($B150+Construct-1)</f>
        <v>#DIV/0!</v>
      </c>
      <c r="P150" s="1551"/>
      <c r="S150" s="1551"/>
      <c r="T150" s="1551"/>
      <c r="U150" s="1551"/>
      <c r="V150" s="1382"/>
      <c r="W150" s="1383"/>
      <c r="X150" s="1551"/>
      <c r="Y150" s="1552"/>
      <c r="Z150" s="1552"/>
    </row>
    <row r="151" spans="2:26" x14ac:dyDescent="0.25">
      <c r="B151" s="1466">
        <v>20</v>
      </c>
      <c r="C151" s="1467">
        <f>NNV20NB</f>
        <v>0</v>
      </c>
      <c r="D151" s="1468">
        <f>NNV20B</f>
        <v>0</v>
      </c>
      <c r="E151" s="1469">
        <f>NNS20NB</f>
        <v>55</v>
      </c>
      <c r="F151" s="1470">
        <f>NNS20B</f>
        <v>55</v>
      </c>
      <c r="G151" s="1449" t="e">
        <f>MAX(1/E151-1/FFSpeedNB, 0)</f>
        <v>#DIV/0!</v>
      </c>
      <c r="H151" s="1450" t="e">
        <f>MAX(1/F151-1/FFSpeedB, 0)</f>
        <v>#DIV/0!</v>
      </c>
      <c r="I151" s="1544" t="e">
        <f>AlphaSTD*MAX(AlphaTTI*(1+FFSpeedNB*G151)^BetaTTI-1,0)^BetaSTD*ImpactedNB/FFSpeedNB*NNRAdj</f>
        <v>#DIV/0!</v>
      </c>
      <c r="J151" s="1546" t="e">
        <f>AlphaSTD*MAX(AlphaTTI*(1+FFSpeedB*H151)^BetaTTI-1,0)^BetaSTD*ImpactedB/FFSpeedB*NNRAdj</f>
        <v>#DIV/0!</v>
      </c>
      <c r="K151" s="1471" t="e">
        <f>IF(OR(TruckLane,Bypass,HOV2to3,HOTConv,OnRamp,RM,AM,IM,TI), C151*AVONonNB*I151-D151*AVONonB*J151, MIN(C151*AVONonNB,D151*AVONonB)*(I151-J151))*AnnualFactor</f>
        <v>#DIV/0!</v>
      </c>
      <c r="L151" s="1472">
        <f>IF(AND(D151*AVONonB&gt;C151*AVONonNB, NOT(OR(TruckLane,Bypass,HOV2to3,HOTConv,OnRamp,RM,AM,IM,TI)),Induced="Y"), (D151*AVONonB-C151*AVONonNB)*(I151-J151)*0.5*AnnualFactor, 0)</f>
        <v>0</v>
      </c>
      <c r="M151" s="1453" t="e">
        <f>(K151+L151)*ValTimeAuto*ValRelAuto*IF(IM,ValTimeIMFactor,1)*(1+TTUprater)^($B151+Construct-1)</f>
        <v>#DIV/0!</v>
      </c>
      <c r="N151" s="1454" t="e">
        <f>$M151/(1+DiscRate)^($B151+Construct-1)</f>
        <v>#DIV/0!</v>
      </c>
      <c r="P151" s="1551"/>
      <c r="S151" s="1551"/>
      <c r="T151" s="1551"/>
      <c r="V151" s="1382"/>
      <c r="W151" s="1383"/>
      <c r="X151" s="1551"/>
      <c r="Y151" s="1552"/>
      <c r="Z151" s="1552"/>
    </row>
    <row r="152" spans="2:26" x14ac:dyDescent="0.25">
      <c r="B152" s="1480"/>
      <c r="C152" s="1481"/>
      <c r="D152" s="1481"/>
      <c r="E152" s="1481"/>
      <c r="F152" s="1481"/>
      <c r="G152" s="1482"/>
      <c r="H152" s="1482"/>
      <c r="I152" s="1486"/>
      <c r="J152" s="1486"/>
      <c r="K152" s="1485"/>
      <c r="L152" s="1485"/>
      <c r="M152" s="1486"/>
      <c r="N152" s="1487"/>
      <c r="P152" s="1551"/>
      <c r="S152" s="1551"/>
      <c r="T152" s="1551"/>
      <c r="V152" s="1382"/>
      <c r="W152" s="1383"/>
      <c r="X152" s="1551"/>
      <c r="Y152" s="1552"/>
      <c r="Z152" s="1552"/>
    </row>
    <row r="153" spans="2:26" x14ac:dyDescent="0.25">
      <c r="B153" s="1490">
        <v>2</v>
      </c>
      <c r="C153" s="1460">
        <f>TREND(C150:C151,B150:B151,B153)</f>
        <v>0</v>
      </c>
      <c r="D153" s="1491">
        <f>TREND(D150:D151,B150:B151,B153)</f>
        <v>0</v>
      </c>
      <c r="E153" s="1492">
        <f>TREND(E150:E151,B150:B151,B153)</f>
        <v>55</v>
      </c>
      <c r="F153" s="1493">
        <f>TREND(F150:F151,B150:B151,B153)</f>
        <v>55</v>
      </c>
      <c r="G153" s="1449" t="e">
        <f t="shared" ref="G153:G170" si="63">MAX(1/E153-1/FFSpeedNB, 0)</f>
        <v>#DIV/0!</v>
      </c>
      <c r="H153" s="1450" t="e">
        <f t="shared" ref="H153:H170" si="64">MAX(1/F153-1/FFSpeedB, 0)</f>
        <v>#DIV/0!</v>
      </c>
      <c r="I153" s="1449" t="e">
        <f t="shared" ref="I153:I170" si="65">AlphaSTD*MAX(AlphaTTI*(1+FFSpeedNB*G153)^BetaTTI-1,0)^BetaSTD*ImpactedNB/FFSpeedNB*NNRAdj</f>
        <v>#DIV/0!</v>
      </c>
      <c r="J153" s="1450" t="e">
        <f t="shared" ref="J153:J170" si="66">AlphaSTD*MAX(AlphaTTI*(1+FFSpeedB*H153)^BetaTTI-1,0)^BetaSTD*ImpactedB/FFSpeedB*NNRAdj</f>
        <v>#DIV/0!</v>
      </c>
      <c r="K153" s="1451" t="e">
        <f t="shared" ref="K153:K170" si="67">IF(OR(TruckLane,Bypass,HOV2to3,HOTConv,OnRamp,RM,AM,IM,TI), C153*AVONonNB*I153-D153*AVONonB*J153, MIN(C153*AVONonNB,D153*AVONonB)*(I153-J153))*AnnualFactor</f>
        <v>#DIV/0!</v>
      </c>
      <c r="L153" s="1452">
        <f t="shared" ref="L153:L170" si="68">IF(AND(D153*AVONonB&gt;C153*AVONonNB, NOT(OR(TruckLane,Bypass,HOV2to3,HOTConv,OnRamp,RM,AM,IM,TI)),Induced="Y"), (D153*AVONonB-C153*AVONonNB)*(I153-J153)*0.5*AnnualFactor, 0)</f>
        <v>0</v>
      </c>
      <c r="M153" s="1453" t="e">
        <f t="shared" ref="M153:M170" si="69">(K153+L153)*ValTimeAuto*ValRelAuto*IF(IM,ValTimeIMFactor,1)*(1+TTUprater)^($B153+Construct-1)</f>
        <v>#DIV/0!</v>
      </c>
      <c r="N153" s="1454" t="e">
        <f t="shared" ref="N153:N170" si="70">$M153/(1+DiscRate)^($B153+Construct-1)</f>
        <v>#DIV/0!</v>
      </c>
      <c r="P153" s="1551"/>
      <c r="S153" s="1551"/>
      <c r="T153" s="1551"/>
      <c r="V153" s="1382"/>
      <c r="W153" s="1383"/>
      <c r="X153" s="1551"/>
      <c r="Y153" s="1552"/>
      <c r="Z153" s="1552"/>
    </row>
    <row r="154" spans="2:26" x14ac:dyDescent="0.25">
      <c r="B154" s="1444">
        <v>3</v>
      </c>
      <c r="C154" s="1477">
        <f>TREND(C150:C151,B150:B151,B154)</f>
        <v>0</v>
      </c>
      <c r="D154" s="1495">
        <f>TREND(D150:D151,B150:B151,B154)</f>
        <v>0</v>
      </c>
      <c r="E154" s="1496">
        <f>TREND(E150:E151,B150:B151,B154)</f>
        <v>55</v>
      </c>
      <c r="F154" s="1497">
        <f>TREND(F150:F151,B150:B151,B154)</f>
        <v>55</v>
      </c>
      <c r="G154" s="1449" t="e">
        <f t="shared" si="63"/>
        <v>#DIV/0!</v>
      </c>
      <c r="H154" s="1450" t="e">
        <f t="shared" si="64"/>
        <v>#DIV/0!</v>
      </c>
      <c r="I154" s="1449" t="e">
        <f t="shared" si="65"/>
        <v>#DIV/0!</v>
      </c>
      <c r="J154" s="1450" t="e">
        <f t="shared" si="66"/>
        <v>#DIV/0!</v>
      </c>
      <c r="K154" s="1498" t="e">
        <f t="shared" si="67"/>
        <v>#DIV/0!</v>
      </c>
      <c r="L154" s="1499">
        <f t="shared" si="68"/>
        <v>0</v>
      </c>
      <c r="M154" s="1453" t="e">
        <f t="shared" si="69"/>
        <v>#DIV/0!</v>
      </c>
      <c r="N154" s="1454" t="e">
        <f t="shared" si="70"/>
        <v>#DIV/0!</v>
      </c>
      <c r="P154" s="1551"/>
      <c r="S154" s="1551"/>
      <c r="T154" s="1551"/>
      <c r="V154" s="1382"/>
      <c r="W154" s="1383"/>
      <c r="X154" s="1551"/>
      <c r="Y154" s="1552"/>
      <c r="Z154" s="1552"/>
    </row>
    <row r="155" spans="2:26" x14ac:dyDescent="0.25">
      <c r="B155" s="1444">
        <v>4</v>
      </c>
      <c r="C155" s="1477">
        <f>TREND(C150:C151,B150:B151,B155)</f>
        <v>0</v>
      </c>
      <c r="D155" s="1495">
        <f>TREND(D150:D151,B150:B151,B155)</f>
        <v>0</v>
      </c>
      <c r="E155" s="1496">
        <f>TREND(E150:E151,B150:B151,B155)</f>
        <v>55</v>
      </c>
      <c r="F155" s="1497">
        <f>TREND(F150:F151,B150:B151,B155)</f>
        <v>55</v>
      </c>
      <c r="G155" s="1449" t="e">
        <f t="shared" si="63"/>
        <v>#DIV/0!</v>
      </c>
      <c r="H155" s="1450" t="e">
        <f t="shared" si="64"/>
        <v>#DIV/0!</v>
      </c>
      <c r="I155" s="1449" t="e">
        <f t="shared" si="65"/>
        <v>#DIV/0!</v>
      </c>
      <c r="J155" s="1450" t="e">
        <f t="shared" si="66"/>
        <v>#DIV/0!</v>
      </c>
      <c r="K155" s="1498" t="e">
        <f t="shared" si="67"/>
        <v>#DIV/0!</v>
      </c>
      <c r="L155" s="1499">
        <f t="shared" si="68"/>
        <v>0</v>
      </c>
      <c r="M155" s="1453" t="e">
        <f t="shared" si="69"/>
        <v>#DIV/0!</v>
      </c>
      <c r="N155" s="1454" t="e">
        <f t="shared" si="70"/>
        <v>#DIV/0!</v>
      </c>
      <c r="P155" s="1551"/>
      <c r="S155" s="1551"/>
      <c r="T155" s="1551"/>
      <c r="V155" s="1382"/>
      <c r="W155" s="1383"/>
      <c r="X155" s="1551"/>
      <c r="Y155" s="1552"/>
      <c r="Z155" s="1552"/>
    </row>
    <row r="156" spans="2:26" x14ac:dyDescent="0.25">
      <c r="B156" s="1444">
        <v>5</v>
      </c>
      <c r="C156" s="1477">
        <f>TREND(C150:C151,B150:B151,B156)</f>
        <v>0</v>
      </c>
      <c r="D156" s="1495">
        <f>TREND(D150:D151,B150:B151,B156)</f>
        <v>0</v>
      </c>
      <c r="E156" s="1496">
        <f>TREND(E150:E151,B150:B151,B156)</f>
        <v>55</v>
      </c>
      <c r="F156" s="1497">
        <f>TREND(F150:F151,B150:B151,B156)</f>
        <v>55</v>
      </c>
      <c r="G156" s="1449" t="e">
        <f t="shared" si="63"/>
        <v>#DIV/0!</v>
      </c>
      <c r="H156" s="1450" t="e">
        <f t="shared" si="64"/>
        <v>#DIV/0!</v>
      </c>
      <c r="I156" s="1449" t="e">
        <f t="shared" si="65"/>
        <v>#DIV/0!</v>
      </c>
      <c r="J156" s="1450" t="e">
        <f t="shared" si="66"/>
        <v>#DIV/0!</v>
      </c>
      <c r="K156" s="1498" t="e">
        <f t="shared" si="67"/>
        <v>#DIV/0!</v>
      </c>
      <c r="L156" s="1499">
        <f t="shared" si="68"/>
        <v>0</v>
      </c>
      <c r="M156" s="1453" t="e">
        <f t="shared" si="69"/>
        <v>#DIV/0!</v>
      </c>
      <c r="N156" s="1454" t="e">
        <f t="shared" si="70"/>
        <v>#DIV/0!</v>
      </c>
      <c r="P156" s="1551"/>
      <c r="S156" s="1551"/>
      <c r="T156" s="1551"/>
      <c r="V156" s="1382"/>
      <c r="W156" s="1383"/>
      <c r="X156" s="1551"/>
      <c r="Y156" s="1552"/>
      <c r="Z156" s="1552"/>
    </row>
    <row r="157" spans="2:26" x14ac:dyDescent="0.25">
      <c r="B157" s="1444">
        <v>6</v>
      </c>
      <c r="C157" s="1477">
        <f>TREND(C150:C151,B150:B151,B157)</f>
        <v>0</v>
      </c>
      <c r="D157" s="1495">
        <f>TREND(D150:D151,B150:B151,B157)</f>
        <v>0</v>
      </c>
      <c r="E157" s="1496">
        <f>TREND(E150:E151,B150:B151,B157)</f>
        <v>55</v>
      </c>
      <c r="F157" s="1497">
        <f>TREND(F150:F151,B150:B151,B157)</f>
        <v>55</v>
      </c>
      <c r="G157" s="1449" t="e">
        <f t="shared" si="63"/>
        <v>#DIV/0!</v>
      </c>
      <c r="H157" s="1450" t="e">
        <f t="shared" si="64"/>
        <v>#DIV/0!</v>
      </c>
      <c r="I157" s="1449" t="e">
        <f t="shared" si="65"/>
        <v>#DIV/0!</v>
      </c>
      <c r="J157" s="1450" t="e">
        <f t="shared" si="66"/>
        <v>#DIV/0!</v>
      </c>
      <c r="K157" s="1498" t="e">
        <f t="shared" si="67"/>
        <v>#DIV/0!</v>
      </c>
      <c r="L157" s="1499">
        <f t="shared" si="68"/>
        <v>0</v>
      </c>
      <c r="M157" s="1453" t="e">
        <f t="shared" si="69"/>
        <v>#DIV/0!</v>
      </c>
      <c r="N157" s="1454" t="e">
        <f t="shared" si="70"/>
        <v>#DIV/0!</v>
      </c>
      <c r="P157" s="1551"/>
      <c r="S157" s="1551"/>
      <c r="T157" s="1551"/>
      <c r="V157" s="1382"/>
      <c r="W157" s="1383"/>
      <c r="X157" s="1551"/>
      <c r="Y157" s="1552"/>
      <c r="Z157" s="1552"/>
    </row>
    <row r="158" spans="2:26" x14ac:dyDescent="0.25">
      <c r="B158" s="1444">
        <v>7</v>
      </c>
      <c r="C158" s="1477">
        <f>TREND(C150:C151,B150:B151,B158)</f>
        <v>0</v>
      </c>
      <c r="D158" s="1495">
        <f>TREND(D150:D151,B150:B151,B158)</f>
        <v>0</v>
      </c>
      <c r="E158" s="1496">
        <f>TREND(E150:E151,B150:B151,B158)</f>
        <v>55</v>
      </c>
      <c r="F158" s="1497">
        <f>TREND(F150:F151,B150:B151,B158)</f>
        <v>55</v>
      </c>
      <c r="G158" s="1449" t="e">
        <f t="shared" si="63"/>
        <v>#DIV/0!</v>
      </c>
      <c r="H158" s="1450" t="e">
        <f t="shared" si="64"/>
        <v>#DIV/0!</v>
      </c>
      <c r="I158" s="1449" t="e">
        <f t="shared" si="65"/>
        <v>#DIV/0!</v>
      </c>
      <c r="J158" s="1450" t="e">
        <f t="shared" si="66"/>
        <v>#DIV/0!</v>
      </c>
      <c r="K158" s="1498" t="e">
        <f t="shared" si="67"/>
        <v>#DIV/0!</v>
      </c>
      <c r="L158" s="1499">
        <f t="shared" si="68"/>
        <v>0</v>
      </c>
      <c r="M158" s="1453" t="e">
        <f t="shared" si="69"/>
        <v>#DIV/0!</v>
      </c>
      <c r="N158" s="1454" t="e">
        <f t="shared" si="70"/>
        <v>#DIV/0!</v>
      </c>
      <c r="P158" s="1551"/>
      <c r="S158" s="1551"/>
      <c r="T158" s="1551"/>
      <c r="V158" s="1382"/>
      <c r="W158" s="1383"/>
      <c r="X158" s="1551"/>
      <c r="Y158" s="1552"/>
      <c r="Z158" s="1552"/>
    </row>
    <row r="159" spans="2:26" x14ac:dyDescent="0.25">
      <c r="B159" s="1444">
        <v>8</v>
      </c>
      <c r="C159" s="1477">
        <f>TREND(C150:C151,B150:B151,B159)</f>
        <v>0</v>
      </c>
      <c r="D159" s="1495">
        <f>TREND(D150:D151,B150:B151,B159)</f>
        <v>0</v>
      </c>
      <c r="E159" s="1496">
        <f>TREND(E150:E151,B150:B151,B159)</f>
        <v>55</v>
      </c>
      <c r="F159" s="1497">
        <f>TREND(F150:F151,B150:B151,B159)</f>
        <v>55</v>
      </c>
      <c r="G159" s="1449" t="e">
        <f t="shared" si="63"/>
        <v>#DIV/0!</v>
      </c>
      <c r="H159" s="1450" t="e">
        <f t="shared" si="64"/>
        <v>#DIV/0!</v>
      </c>
      <c r="I159" s="1449" t="e">
        <f t="shared" si="65"/>
        <v>#DIV/0!</v>
      </c>
      <c r="J159" s="1450" t="e">
        <f t="shared" si="66"/>
        <v>#DIV/0!</v>
      </c>
      <c r="K159" s="1498" t="e">
        <f t="shared" si="67"/>
        <v>#DIV/0!</v>
      </c>
      <c r="L159" s="1499">
        <f t="shared" si="68"/>
        <v>0</v>
      </c>
      <c r="M159" s="1453" t="e">
        <f t="shared" si="69"/>
        <v>#DIV/0!</v>
      </c>
      <c r="N159" s="1454" t="e">
        <f t="shared" si="70"/>
        <v>#DIV/0!</v>
      </c>
      <c r="P159" s="1551"/>
      <c r="S159" s="1551"/>
      <c r="T159" s="1551"/>
      <c r="V159" s="1382"/>
      <c r="W159" s="1383"/>
      <c r="X159" s="1551"/>
      <c r="Y159" s="1552"/>
      <c r="Z159" s="1552"/>
    </row>
    <row r="160" spans="2:26" x14ac:dyDescent="0.25">
      <c r="B160" s="1444">
        <v>9</v>
      </c>
      <c r="C160" s="1477">
        <f>TREND(C150:C151,B150:B151,B160)</f>
        <v>0</v>
      </c>
      <c r="D160" s="1495">
        <f>TREND(D150:D151,B150:B151,B160)</f>
        <v>0</v>
      </c>
      <c r="E160" s="1496">
        <f>TREND(E150:E151,B150:B151,B160)</f>
        <v>55</v>
      </c>
      <c r="F160" s="1497">
        <f>TREND(F150:F151,B150:B151,B160)</f>
        <v>55</v>
      </c>
      <c r="G160" s="1449" t="e">
        <f t="shared" si="63"/>
        <v>#DIV/0!</v>
      </c>
      <c r="H160" s="1450" t="e">
        <f t="shared" si="64"/>
        <v>#DIV/0!</v>
      </c>
      <c r="I160" s="1449" t="e">
        <f t="shared" si="65"/>
        <v>#DIV/0!</v>
      </c>
      <c r="J160" s="1450" t="e">
        <f t="shared" si="66"/>
        <v>#DIV/0!</v>
      </c>
      <c r="K160" s="1498" t="e">
        <f t="shared" si="67"/>
        <v>#DIV/0!</v>
      </c>
      <c r="L160" s="1499">
        <f t="shared" si="68"/>
        <v>0</v>
      </c>
      <c r="M160" s="1453" t="e">
        <f t="shared" si="69"/>
        <v>#DIV/0!</v>
      </c>
      <c r="N160" s="1454" t="e">
        <f t="shared" si="70"/>
        <v>#DIV/0!</v>
      </c>
      <c r="P160" s="1551"/>
      <c r="S160" s="1551"/>
      <c r="T160" s="1551"/>
      <c r="V160" s="1382"/>
      <c r="W160" s="1383"/>
      <c r="X160" s="1551"/>
      <c r="Y160" s="1552"/>
      <c r="Z160" s="1552"/>
    </row>
    <row r="161" spans="2:27" x14ac:dyDescent="0.25">
      <c r="B161" s="1444">
        <v>10</v>
      </c>
      <c r="C161" s="1477">
        <f>TREND(C150:C151,B150:B151,B161)</f>
        <v>0</v>
      </c>
      <c r="D161" s="1495">
        <f>TREND(D150:D151,B150:B151,B161)</f>
        <v>0</v>
      </c>
      <c r="E161" s="1496">
        <f>TREND(E150:E151,B150:B151,B161)</f>
        <v>55</v>
      </c>
      <c r="F161" s="1497">
        <f>TREND(F150:F151,B150:B151,B161)</f>
        <v>55</v>
      </c>
      <c r="G161" s="1449" t="e">
        <f t="shared" si="63"/>
        <v>#DIV/0!</v>
      </c>
      <c r="H161" s="1450" t="e">
        <f t="shared" si="64"/>
        <v>#DIV/0!</v>
      </c>
      <c r="I161" s="1449" t="e">
        <f t="shared" si="65"/>
        <v>#DIV/0!</v>
      </c>
      <c r="J161" s="1450" t="e">
        <f t="shared" si="66"/>
        <v>#DIV/0!</v>
      </c>
      <c r="K161" s="1498" t="e">
        <f t="shared" si="67"/>
        <v>#DIV/0!</v>
      </c>
      <c r="L161" s="1499">
        <f t="shared" si="68"/>
        <v>0</v>
      </c>
      <c r="M161" s="1453" t="e">
        <f t="shared" si="69"/>
        <v>#DIV/0!</v>
      </c>
      <c r="N161" s="1454" t="e">
        <f t="shared" si="70"/>
        <v>#DIV/0!</v>
      </c>
      <c r="P161" s="1551"/>
      <c r="S161" s="1551"/>
      <c r="T161" s="1551"/>
      <c r="V161" s="1382"/>
      <c r="W161" s="1383"/>
      <c r="X161" s="1551"/>
      <c r="Y161" s="1552"/>
      <c r="Z161" s="1552"/>
    </row>
    <row r="162" spans="2:27" x14ac:dyDescent="0.25">
      <c r="B162" s="1444">
        <v>11</v>
      </c>
      <c r="C162" s="1477">
        <f>TREND(C150:C151,B150:B151,B162)</f>
        <v>0</v>
      </c>
      <c r="D162" s="1495">
        <f>TREND(D150:D151,B150:B151,B162)</f>
        <v>0</v>
      </c>
      <c r="E162" s="1496">
        <f>TREND(E150:E151,B150:B151,B162)</f>
        <v>55</v>
      </c>
      <c r="F162" s="1497">
        <f>TREND(F150:F151,B150:B151,B162)</f>
        <v>55</v>
      </c>
      <c r="G162" s="1449" t="e">
        <f t="shared" si="63"/>
        <v>#DIV/0!</v>
      </c>
      <c r="H162" s="1450" t="e">
        <f t="shared" si="64"/>
        <v>#DIV/0!</v>
      </c>
      <c r="I162" s="1449" t="e">
        <f t="shared" si="65"/>
        <v>#DIV/0!</v>
      </c>
      <c r="J162" s="1450" t="e">
        <f t="shared" si="66"/>
        <v>#DIV/0!</v>
      </c>
      <c r="K162" s="1498" t="e">
        <f t="shared" si="67"/>
        <v>#DIV/0!</v>
      </c>
      <c r="L162" s="1499">
        <f t="shared" si="68"/>
        <v>0</v>
      </c>
      <c r="M162" s="1453" t="e">
        <f t="shared" si="69"/>
        <v>#DIV/0!</v>
      </c>
      <c r="N162" s="1454" t="e">
        <f t="shared" si="70"/>
        <v>#DIV/0!</v>
      </c>
      <c r="P162" s="1551"/>
      <c r="S162" s="1551"/>
      <c r="T162" s="1551"/>
      <c r="V162" s="1382"/>
      <c r="W162" s="1383"/>
      <c r="X162" s="1551"/>
      <c r="Y162" s="1552"/>
      <c r="Z162" s="1552"/>
    </row>
    <row r="163" spans="2:27" x14ac:dyDescent="0.25">
      <c r="B163" s="1444">
        <v>12</v>
      </c>
      <c r="C163" s="1477">
        <f>TREND(C150:C151,B150:B151,B163)</f>
        <v>0</v>
      </c>
      <c r="D163" s="1495">
        <f>TREND(D150:D151,B150:B151,B163)</f>
        <v>0</v>
      </c>
      <c r="E163" s="1496">
        <f>TREND(E150:E151,B150:B151,B163)</f>
        <v>55</v>
      </c>
      <c r="F163" s="1497">
        <f>TREND(F150:F151,B150:B151,B163)</f>
        <v>55</v>
      </c>
      <c r="G163" s="1449" t="e">
        <f t="shared" si="63"/>
        <v>#DIV/0!</v>
      </c>
      <c r="H163" s="1450" t="e">
        <f t="shared" si="64"/>
        <v>#DIV/0!</v>
      </c>
      <c r="I163" s="1449" t="e">
        <f t="shared" si="65"/>
        <v>#DIV/0!</v>
      </c>
      <c r="J163" s="1450" t="e">
        <f t="shared" si="66"/>
        <v>#DIV/0!</v>
      </c>
      <c r="K163" s="1498" t="e">
        <f t="shared" si="67"/>
        <v>#DIV/0!</v>
      </c>
      <c r="L163" s="1499">
        <f t="shared" si="68"/>
        <v>0</v>
      </c>
      <c r="M163" s="1453" t="e">
        <f t="shared" si="69"/>
        <v>#DIV/0!</v>
      </c>
      <c r="N163" s="1454" t="e">
        <f t="shared" si="70"/>
        <v>#DIV/0!</v>
      </c>
      <c r="P163" s="1551"/>
      <c r="S163" s="1551"/>
      <c r="T163" s="1551"/>
      <c r="V163" s="1382"/>
      <c r="W163" s="1383"/>
      <c r="X163" s="1551"/>
      <c r="Y163" s="1552"/>
      <c r="Z163" s="1552"/>
    </row>
    <row r="164" spans="2:27" x14ac:dyDescent="0.25">
      <c r="B164" s="1444">
        <v>13</v>
      </c>
      <c r="C164" s="1477">
        <f>TREND(C150:C151,B150:B151,B164)</f>
        <v>0</v>
      </c>
      <c r="D164" s="1495">
        <f>TREND(D150:D151,B150:B151,B164)</f>
        <v>0</v>
      </c>
      <c r="E164" s="1496">
        <f>TREND(E150:E151,B150:B151,B164)</f>
        <v>55</v>
      </c>
      <c r="F164" s="1497">
        <f>TREND(F150:F151,B150:B151,B164)</f>
        <v>55</v>
      </c>
      <c r="G164" s="1449" t="e">
        <f t="shared" si="63"/>
        <v>#DIV/0!</v>
      </c>
      <c r="H164" s="1450" t="e">
        <f t="shared" si="64"/>
        <v>#DIV/0!</v>
      </c>
      <c r="I164" s="1449" t="e">
        <f t="shared" si="65"/>
        <v>#DIV/0!</v>
      </c>
      <c r="J164" s="1450" t="e">
        <f t="shared" si="66"/>
        <v>#DIV/0!</v>
      </c>
      <c r="K164" s="1498" t="e">
        <f t="shared" si="67"/>
        <v>#DIV/0!</v>
      </c>
      <c r="L164" s="1499">
        <f t="shared" si="68"/>
        <v>0</v>
      </c>
      <c r="M164" s="1453" t="e">
        <f t="shared" si="69"/>
        <v>#DIV/0!</v>
      </c>
      <c r="N164" s="1454" t="e">
        <f t="shared" si="70"/>
        <v>#DIV/0!</v>
      </c>
      <c r="P164" s="1551"/>
      <c r="S164" s="1551"/>
      <c r="T164" s="1551"/>
      <c r="V164" s="1382"/>
      <c r="W164" s="1383"/>
      <c r="X164" s="1551"/>
      <c r="Y164" s="1552"/>
      <c r="Z164" s="1552"/>
    </row>
    <row r="165" spans="2:27" x14ac:dyDescent="0.25">
      <c r="B165" s="1444">
        <v>14</v>
      </c>
      <c r="C165" s="1477">
        <f>TREND(C150:C151,B150:B151,B165)</f>
        <v>0</v>
      </c>
      <c r="D165" s="1495">
        <f>TREND(D150:D151,B150:B151,B165)</f>
        <v>0</v>
      </c>
      <c r="E165" s="1496">
        <f>TREND(E150:E151,B150:B151,B165)</f>
        <v>55</v>
      </c>
      <c r="F165" s="1497">
        <f>TREND(F150:F151,B150:B151,B165)</f>
        <v>55</v>
      </c>
      <c r="G165" s="1449" t="e">
        <f t="shared" si="63"/>
        <v>#DIV/0!</v>
      </c>
      <c r="H165" s="1450" t="e">
        <f t="shared" si="64"/>
        <v>#DIV/0!</v>
      </c>
      <c r="I165" s="1449" t="e">
        <f t="shared" si="65"/>
        <v>#DIV/0!</v>
      </c>
      <c r="J165" s="1450" t="e">
        <f t="shared" si="66"/>
        <v>#DIV/0!</v>
      </c>
      <c r="K165" s="1498" t="e">
        <f t="shared" si="67"/>
        <v>#DIV/0!</v>
      </c>
      <c r="L165" s="1499">
        <f t="shared" si="68"/>
        <v>0</v>
      </c>
      <c r="M165" s="1453" t="e">
        <f t="shared" si="69"/>
        <v>#DIV/0!</v>
      </c>
      <c r="N165" s="1454" t="e">
        <f t="shared" si="70"/>
        <v>#DIV/0!</v>
      </c>
      <c r="P165" s="1551"/>
      <c r="S165" s="1551"/>
      <c r="T165" s="1551"/>
      <c r="V165" s="1382"/>
      <c r="W165" s="1383"/>
      <c r="X165" s="1551"/>
      <c r="Y165" s="1552"/>
      <c r="Z165" s="1552"/>
    </row>
    <row r="166" spans="2:27" x14ac:dyDescent="0.25">
      <c r="B166" s="1444">
        <v>15</v>
      </c>
      <c r="C166" s="1477">
        <f>TREND(C150:C151,B150:B151,B166)</f>
        <v>0</v>
      </c>
      <c r="D166" s="1495">
        <f>TREND(D150:D151,B150:B151,B166)</f>
        <v>0</v>
      </c>
      <c r="E166" s="1496">
        <f>TREND(E150:E151,B150:B151,B166)</f>
        <v>55</v>
      </c>
      <c r="F166" s="1497">
        <f>TREND(F150:F151,B150:B151,B166)</f>
        <v>55</v>
      </c>
      <c r="G166" s="1449" t="e">
        <f t="shared" si="63"/>
        <v>#DIV/0!</v>
      </c>
      <c r="H166" s="1450" t="e">
        <f t="shared" si="64"/>
        <v>#DIV/0!</v>
      </c>
      <c r="I166" s="1449" t="e">
        <f t="shared" si="65"/>
        <v>#DIV/0!</v>
      </c>
      <c r="J166" s="1450" t="e">
        <f t="shared" si="66"/>
        <v>#DIV/0!</v>
      </c>
      <c r="K166" s="1498" t="e">
        <f t="shared" si="67"/>
        <v>#DIV/0!</v>
      </c>
      <c r="L166" s="1499">
        <f t="shared" si="68"/>
        <v>0</v>
      </c>
      <c r="M166" s="1453" t="e">
        <f t="shared" si="69"/>
        <v>#DIV/0!</v>
      </c>
      <c r="N166" s="1454" t="e">
        <f t="shared" si="70"/>
        <v>#DIV/0!</v>
      </c>
      <c r="P166" s="1551"/>
      <c r="S166" s="1551"/>
      <c r="T166" s="1551"/>
      <c r="V166" s="1382"/>
      <c r="W166" s="1383"/>
      <c r="X166" s="1551"/>
      <c r="Y166" s="1552"/>
      <c r="Z166" s="1552"/>
    </row>
    <row r="167" spans="2:27" x14ac:dyDescent="0.25">
      <c r="B167" s="1444">
        <v>16</v>
      </c>
      <c r="C167" s="1477">
        <f>TREND(C150:C151,B150:B151,B167)</f>
        <v>0</v>
      </c>
      <c r="D167" s="1495">
        <f>TREND(D150:D151,B150:B151,B167)</f>
        <v>0</v>
      </c>
      <c r="E167" s="1496">
        <f>TREND(E150:E151,B150:B151,B167)</f>
        <v>55</v>
      </c>
      <c r="F167" s="1497">
        <f>TREND(F150:F151,B150:B151,B167)</f>
        <v>55</v>
      </c>
      <c r="G167" s="1449" t="e">
        <f t="shared" si="63"/>
        <v>#DIV/0!</v>
      </c>
      <c r="H167" s="1450" t="e">
        <f t="shared" si="64"/>
        <v>#DIV/0!</v>
      </c>
      <c r="I167" s="1449" t="e">
        <f t="shared" si="65"/>
        <v>#DIV/0!</v>
      </c>
      <c r="J167" s="1450" t="e">
        <f t="shared" si="66"/>
        <v>#DIV/0!</v>
      </c>
      <c r="K167" s="1498" t="e">
        <f t="shared" si="67"/>
        <v>#DIV/0!</v>
      </c>
      <c r="L167" s="1499">
        <f t="shared" si="68"/>
        <v>0</v>
      </c>
      <c r="M167" s="1453" t="e">
        <f t="shared" si="69"/>
        <v>#DIV/0!</v>
      </c>
      <c r="N167" s="1454" t="e">
        <f t="shared" si="70"/>
        <v>#DIV/0!</v>
      </c>
      <c r="P167" s="1551"/>
      <c r="S167" s="1551"/>
      <c r="T167" s="1551"/>
      <c r="V167" s="1382"/>
      <c r="W167" s="1383"/>
      <c r="X167" s="1551"/>
      <c r="Y167" s="1552"/>
      <c r="Z167" s="1552"/>
    </row>
    <row r="168" spans="2:27" x14ac:dyDescent="0.25">
      <c r="B168" s="1444">
        <v>17</v>
      </c>
      <c r="C168" s="1477">
        <f>TREND(C150:C151,B150:B151,B168)</f>
        <v>0</v>
      </c>
      <c r="D168" s="1495">
        <f>TREND(D150:D151,B150:B151,B168)</f>
        <v>0</v>
      </c>
      <c r="E168" s="1496">
        <f>TREND(E150:E151,B150:B151,B168)</f>
        <v>55</v>
      </c>
      <c r="F168" s="1497">
        <f>TREND(F150:F151,B150:B151,B168)</f>
        <v>55</v>
      </c>
      <c r="G168" s="1449" t="e">
        <f t="shared" si="63"/>
        <v>#DIV/0!</v>
      </c>
      <c r="H168" s="1450" t="e">
        <f t="shared" si="64"/>
        <v>#DIV/0!</v>
      </c>
      <c r="I168" s="1449" t="e">
        <f t="shared" si="65"/>
        <v>#DIV/0!</v>
      </c>
      <c r="J168" s="1450" t="e">
        <f t="shared" si="66"/>
        <v>#DIV/0!</v>
      </c>
      <c r="K168" s="1498" t="e">
        <f t="shared" si="67"/>
        <v>#DIV/0!</v>
      </c>
      <c r="L168" s="1499">
        <f t="shared" si="68"/>
        <v>0</v>
      </c>
      <c r="M168" s="1453" t="e">
        <f t="shared" si="69"/>
        <v>#DIV/0!</v>
      </c>
      <c r="N168" s="1454" t="e">
        <f t="shared" si="70"/>
        <v>#DIV/0!</v>
      </c>
      <c r="P168" s="1551"/>
      <c r="S168" s="1551"/>
      <c r="T168" s="1551"/>
      <c r="V168" s="1382"/>
      <c r="W168" s="1383"/>
      <c r="X168" s="1551"/>
      <c r="Y168" s="1552"/>
      <c r="Z168" s="1552"/>
    </row>
    <row r="169" spans="2:27" x14ac:dyDescent="0.25">
      <c r="B169" s="1444">
        <v>18</v>
      </c>
      <c r="C169" s="1477">
        <f>TREND(C150:C151,B150:B151,B169)</f>
        <v>0</v>
      </c>
      <c r="D169" s="1495">
        <f>TREND(D150:D151,B150:B151,B169)</f>
        <v>0</v>
      </c>
      <c r="E169" s="1496">
        <f>TREND(E150:E151,B150:B151,B169)</f>
        <v>55</v>
      </c>
      <c r="F169" s="1497">
        <f>TREND(F150:F151,B150:B151,B169)</f>
        <v>55</v>
      </c>
      <c r="G169" s="1449" t="e">
        <f t="shared" si="63"/>
        <v>#DIV/0!</v>
      </c>
      <c r="H169" s="1450" t="e">
        <f t="shared" si="64"/>
        <v>#DIV/0!</v>
      </c>
      <c r="I169" s="1449" t="e">
        <f t="shared" si="65"/>
        <v>#DIV/0!</v>
      </c>
      <c r="J169" s="1450" t="e">
        <f t="shared" si="66"/>
        <v>#DIV/0!</v>
      </c>
      <c r="K169" s="1498" t="e">
        <f t="shared" si="67"/>
        <v>#DIV/0!</v>
      </c>
      <c r="L169" s="1499">
        <f t="shared" si="68"/>
        <v>0</v>
      </c>
      <c r="M169" s="1453" t="e">
        <f t="shared" si="69"/>
        <v>#DIV/0!</v>
      </c>
      <c r="N169" s="1454" t="e">
        <f t="shared" si="70"/>
        <v>#DIV/0!</v>
      </c>
      <c r="P169" s="1551"/>
      <c r="S169" s="1551"/>
      <c r="T169" s="1551"/>
      <c r="V169" s="1382"/>
      <c r="W169" s="1383"/>
      <c r="X169" s="1551"/>
      <c r="Y169" s="1552"/>
      <c r="Z169" s="1552"/>
    </row>
    <row r="170" spans="2:27" x14ac:dyDescent="0.25">
      <c r="B170" s="1504">
        <v>19</v>
      </c>
      <c r="C170" s="1505">
        <f>TREND(C150:C151,B150:B151,B170)</f>
        <v>0</v>
      </c>
      <c r="D170" s="1506">
        <f>TREND(D150:D151,B150:B151,B170)</f>
        <v>0</v>
      </c>
      <c r="E170" s="1507">
        <f>TREND(E150:E151,B150:B151,B170)</f>
        <v>55</v>
      </c>
      <c r="F170" s="1508">
        <f>TREND(F150:F151,B150:B151,B170)</f>
        <v>55</v>
      </c>
      <c r="G170" s="1449" t="e">
        <f t="shared" si="63"/>
        <v>#DIV/0!</v>
      </c>
      <c r="H170" s="1450" t="e">
        <f t="shared" si="64"/>
        <v>#DIV/0!</v>
      </c>
      <c r="I170" s="1449" t="e">
        <f t="shared" si="65"/>
        <v>#DIV/0!</v>
      </c>
      <c r="J170" s="1450" t="e">
        <f t="shared" si="66"/>
        <v>#DIV/0!</v>
      </c>
      <c r="K170" s="1471" t="e">
        <f t="shared" si="67"/>
        <v>#DIV/0!</v>
      </c>
      <c r="L170" s="1499">
        <f t="shared" si="68"/>
        <v>0</v>
      </c>
      <c r="M170" s="1453" t="e">
        <f t="shared" si="69"/>
        <v>#DIV/0!</v>
      </c>
      <c r="N170" s="1454" t="e">
        <f t="shared" si="70"/>
        <v>#DIV/0!</v>
      </c>
      <c r="P170" s="1551"/>
      <c r="S170" s="1551"/>
      <c r="T170" s="1551"/>
      <c r="V170" s="1382"/>
      <c r="W170" s="1383"/>
      <c r="X170" s="1551"/>
      <c r="Y170" s="1552"/>
      <c r="Z170" s="1552"/>
    </row>
    <row r="171" spans="2:27" x14ac:dyDescent="0.25">
      <c r="B171" s="1480"/>
      <c r="C171" s="1481"/>
      <c r="D171" s="1481"/>
      <c r="E171" s="1481"/>
      <c r="F171" s="1481"/>
      <c r="G171" s="1481"/>
      <c r="H171" s="1481"/>
      <c r="I171" s="1486"/>
      <c r="J171" s="1486"/>
      <c r="K171" s="1486"/>
      <c r="L171" s="1486"/>
      <c r="M171" s="1486"/>
      <c r="N171" s="1487"/>
      <c r="P171" s="1551"/>
      <c r="S171" s="1551"/>
      <c r="T171" s="1551"/>
      <c r="V171" s="1382"/>
      <c r="W171" s="1383"/>
      <c r="X171" s="1551"/>
      <c r="Y171" s="1552"/>
      <c r="Z171" s="1552"/>
    </row>
    <row r="172" spans="2:27" ht="13" x14ac:dyDescent="0.25">
      <c r="B172" s="329" t="s">
        <v>172</v>
      </c>
      <c r="C172" s="1513"/>
      <c r="D172" s="1514"/>
      <c r="E172" s="1514"/>
      <c r="F172" s="1514"/>
      <c r="G172" s="1514"/>
      <c r="H172" s="1514"/>
      <c r="I172" s="1514"/>
      <c r="J172" s="1514"/>
      <c r="K172" s="1514"/>
      <c r="L172" s="1514"/>
      <c r="M172" s="1514"/>
      <c r="N172" s="342" t="e">
        <f>SUM(N150:N170)</f>
        <v>#DIV/0!</v>
      </c>
      <c r="P172" s="1551"/>
      <c r="S172" s="1551"/>
      <c r="T172" s="1551"/>
      <c r="V172" s="1382"/>
      <c r="W172" s="1383"/>
      <c r="X172" s="1551"/>
      <c r="Y172" s="1552"/>
      <c r="Z172" s="1552"/>
    </row>
    <row r="173" spans="2:27" x14ac:dyDescent="0.25">
      <c r="G173" s="1383"/>
      <c r="H173" s="1383"/>
      <c r="I173" s="1384"/>
      <c r="K173" s="1366"/>
      <c r="P173" s="1384"/>
      <c r="Q173" s="1366"/>
      <c r="R173" s="1551"/>
      <c r="S173" s="1382"/>
      <c r="U173" s="1551"/>
      <c r="V173" s="1551"/>
      <c r="W173" s="1383"/>
      <c r="X173" s="1382"/>
      <c r="Y173" s="1383"/>
      <c r="Z173" s="1551"/>
      <c r="AA173" s="1552"/>
    </row>
    <row r="174" spans="2:27" x14ac:dyDescent="0.25">
      <c r="G174" s="1383"/>
      <c r="H174" s="1383"/>
      <c r="I174" s="1384"/>
      <c r="K174" s="1366"/>
      <c r="P174" s="1384"/>
      <c r="Q174" s="1366"/>
      <c r="R174" s="1382"/>
      <c r="S174" s="1382"/>
      <c r="T174" s="1553"/>
      <c r="W174" s="1383"/>
      <c r="X174" s="1383"/>
    </row>
    <row r="175" spans="2:27" ht="13" x14ac:dyDescent="0.25">
      <c r="B175" s="350" t="s">
        <v>506</v>
      </c>
      <c r="C175" s="1386"/>
      <c r="D175" s="1386"/>
      <c r="E175" s="1386"/>
      <c r="F175" s="1386"/>
      <c r="G175" s="1386"/>
      <c r="H175" s="1386"/>
      <c r="I175" s="1422"/>
      <c r="J175" s="1422"/>
      <c r="K175" s="1386"/>
      <c r="L175" s="1422"/>
      <c r="M175" s="1386"/>
      <c r="N175" s="1386"/>
      <c r="P175" s="1384"/>
      <c r="Q175" s="1366"/>
      <c r="R175" s="1382"/>
      <c r="S175" s="1552"/>
      <c r="V175" s="1551"/>
      <c r="W175" s="1383"/>
      <c r="X175" s="1383"/>
    </row>
    <row r="176" spans="2:27" x14ac:dyDescent="0.25">
      <c r="B176" s="1386"/>
      <c r="C176" s="1386"/>
      <c r="D176" s="1427"/>
      <c r="E176" s="1427"/>
      <c r="F176" s="1427"/>
      <c r="G176" s="1427"/>
      <c r="H176" s="1427"/>
      <c r="I176" s="1386"/>
      <c r="J176" s="1386"/>
      <c r="K176" s="1386"/>
      <c r="L176" s="1386"/>
      <c r="M176" s="1386"/>
      <c r="N176" s="1425"/>
      <c r="R176" s="1554"/>
      <c r="S176" s="1555"/>
      <c r="X176" s="1556"/>
    </row>
    <row r="177" spans="2:24" ht="15.5" x14ac:dyDescent="0.25">
      <c r="B177" s="1428"/>
      <c r="C177" s="320" t="s">
        <v>230</v>
      </c>
      <c r="D177" s="1429"/>
      <c r="E177" s="320" t="s">
        <v>231</v>
      </c>
      <c r="F177" s="1429"/>
      <c r="G177" s="320" t="s">
        <v>808</v>
      </c>
      <c r="H177" s="1430"/>
      <c r="I177" s="335" t="s">
        <v>809</v>
      </c>
      <c r="J177" s="1429"/>
      <c r="K177" s="335" t="s">
        <v>810</v>
      </c>
      <c r="L177" s="321"/>
      <c r="M177" s="322"/>
      <c r="N177" s="1431"/>
      <c r="X177" s="1551"/>
    </row>
    <row r="178" spans="2:24" ht="15.5" x14ac:dyDescent="0.25">
      <c r="B178" s="1434"/>
      <c r="C178" s="1435" t="s">
        <v>812</v>
      </c>
      <c r="D178" s="362"/>
      <c r="E178" s="1435" t="s">
        <v>238</v>
      </c>
      <c r="F178" s="362"/>
      <c r="G178" s="1435" t="s">
        <v>813</v>
      </c>
      <c r="H178" s="1436"/>
      <c r="I178" s="1437" t="s">
        <v>814</v>
      </c>
      <c r="J178" s="362"/>
      <c r="K178" s="336" t="s">
        <v>552</v>
      </c>
      <c r="L178" s="288"/>
      <c r="M178" s="1438"/>
      <c r="N178" s="1439"/>
      <c r="P178" s="1384"/>
      <c r="Q178" s="1366"/>
      <c r="R178" s="1382"/>
      <c r="S178" s="1382"/>
      <c r="W178" s="1383"/>
      <c r="X178" s="1383"/>
    </row>
    <row r="179" spans="2:24" ht="14" x14ac:dyDescent="0.25">
      <c r="B179" s="169" t="s">
        <v>135</v>
      </c>
      <c r="C179" s="1441"/>
      <c r="D179" s="283"/>
      <c r="E179" s="1441"/>
      <c r="F179" s="283"/>
      <c r="G179" s="1441"/>
      <c r="H179" s="283"/>
      <c r="I179" s="1435" t="s">
        <v>818</v>
      </c>
      <c r="J179" s="362"/>
      <c r="K179" s="1441" t="s">
        <v>151</v>
      </c>
      <c r="L179" s="283" t="s">
        <v>152</v>
      </c>
      <c r="M179" s="286" t="s">
        <v>242</v>
      </c>
      <c r="N179" s="345" t="s">
        <v>139</v>
      </c>
      <c r="P179" s="1384"/>
      <c r="Q179" s="1366"/>
      <c r="R179" s="1382"/>
      <c r="S179" s="1382"/>
      <c r="W179" s="1383"/>
      <c r="X179" s="1383"/>
    </row>
    <row r="180" spans="2:24" ht="14" x14ac:dyDescent="0.25">
      <c r="B180" s="319"/>
      <c r="C180" s="324" t="s">
        <v>0</v>
      </c>
      <c r="D180" s="325" t="s">
        <v>1</v>
      </c>
      <c r="E180" s="324" t="s">
        <v>0</v>
      </c>
      <c r="F180" s="325" t="s">
        <v>1</v>
      </c>
      <c r="G180" s="324" t="s">
        <v>0</v>
      </c>
      <c r="H180" s="325" t="s">
        <v>1</v>
      </c>
      <c r="I180" s="324" t="s">
        <v>0</v>
      </c>
      <c r="J180" s="325" t="s">
        <v>1</v>
      </c>
      <c r="K180" s="324" t="s">
        <v>244</v>
      </c>
      <c r="L180" s="325" t="s">
        <v>245</v>
      </c>
      <c r="M180" s="326" t="s">
        <v>148</v>
      </c>
      <c r="N180" s="346" t="s">
        <v>149</v>
      </c>
      <c r="P180" s="1384"/>
      <c r="Q180" s="1366"/>
      <c r="R180" s="1382"/>
      <c r="S180" s="1382"/>
      <c r="W180" s="1383"/>
      <c r="X180" s="1383"/>
    </row>
    <row r="181" spans="2:24" x14ac:dyDescent="0.25">
      <c r="B181" s="1444">
        <v>1</v>
      </c>
      <c r="C181" s="1445">
        <f>NWV1NB</f>
        <v>0</v>
      </c>
      <c r="D181" s="1446">
        <f>NWV1B</f>
        <v>0</v>
      </c>
      <c r="E181" s="1447">
        <f>NWS1NB</f>
        <v>55</v>
      </c>
      <c r="F181" s="1448">
        <f>NWS1B</f>
        <v>55</v>
      </c>
      <c r="G181" s="1449" t="e">
        <f>MAX(1/E181-1/FFSpeedNB, 0)</f>
        <v>#DIV/0!</v>
      </c>
      <c r="H181" s="1450" t="e">
        <f>MAX(1/F181-1/FFSpeedB, 0)</f>
        <v>#DIV/0!</v>
      </c>
      <c r="I181" s="1544" t="e">
        <f>AlphaSTD*MAX(AlphaTTI*(1+FFSpeedNB*G181)^BetaTTI-1,0)^BetaSTD*ImpactedNB/FFSpeedNB*NWRAdj</f>
        <v>#DIV/0!</v>
      </c>
      <c r="J181" s="1545" t="e">
        <f>AlphaSTD*MAX(AlphaTTI*(1+FFSpeedB*H181)^BetaTTI-1,0)^BetaSTD*ImpactedB/FFSpeedB*NWRAdj</f>
        <v>#DIV/0!</v>
      </c>
      <c r="K181" s="1451" t="e">
        <f>IF(OR(TruckLane,Bypass,HOV2to3,HOTConv,OnRamp,RM,AM,IM,TI), C181*AVONonNB*I181-D181*AVONonB*J181, MIN(C181*AVONonNB,D181*AVONonB)*(I181-J181))*AnnualFactor</f>
        <v>#DIV/0!</v>
      </c>
      <c r="L181" s="1452">
        <f>IF(AND(D181*AVONonB&gt;C181*AVONonNB, NOT(OR(TruckLane,Bypass,HOV2to3,HOTConv,OnRamp,RM,AM,IM,TI)),Induced="Y"), (D181*AVONonB-C181*AVONonNB)*(I181-J181)*0.5*AnnualFactor, 0)</f>
        <v>0</v>
      </c>
      <c r="M181" s="1453" t="e">
        <f>(K181+L181)*ValTimeAuto*ValRelAuto*IF(IM,ValTimeIMFactor,1)*(1+TTUprater)^($B181+Construct-1)</f>
        <v>#DIV/0!</v>
      </c>
      <c r="N181" s="1454" t="e">
        <f>$M181/(1+DiscRate)^($B181+Construct-1)</f>
        <v>#DIV/0!</v>
      </c>
      <c r="P181" s="1384"/>
      <c r="Q181" s="1366"/>
      <c r="R181" s="1382"/>
      <c r="S181" s="1382"/>
      <c r="W181" s="1383"/>
      <c r="X181" s="1383"/>
    </row>
    <row r="182" spans="2:24" x14ac:dyDescent="0.25">
      <c r="B182" s="1466">
        <v>20</v>
      </c>
      <c r="C182" s="1467">
        <f>NWV20NB</f>
        <v>0</v>
      </c>
      <c r="D182" s="1468">
        <f>NWV20B</f>
        <v>0</v>
      </c>
      <c r="E182" s="1469">
        <f>NWS20NB</f>
        <v>55</v>
      </c>
      <c r="F182" s="1470">
        <f>NWS20B</f>
        <v>55</v>
      </c>
      <c r="G182" s="1449" t="e">
        <f>MAX(1/E182-1/FFSpeedNB, 0)</f>
        <v>#DIV/0!</v>
      </c>
      <c r="H182" s="1450" t="e">
        <f>MAX(1/F182-1/FFSpeedB, 0)</f>
        <v>#DIV/0!</v>
      </c>
      <c r="I182" s="1544" t="e">
        <f>AlphaSTD*MAX(AlphaTTI*(1+FFSpeedNB*G182)^BetaTTI-1,0)^BetaSTD*ImpactedNB/FFSpeedNB*NWRAdj</f>
        <v>#DIV/0!</v>
      </c>
      <c r="J182" s="1546" t="e">
        <f>AlphaSTD*MAX(AlphaTTI*(1+FFSpeedB*H182)^BetaTTI-1,0)^BetaSTD*ImpactedB/FFSpeedB*NWRAdj</f>
        <v>#DIV/0!</v>
      </c>
      <c r="K182" s="1471" t="e">
        <f>IF(OR(TruckLane,Bypass,HOV2to3,HOTConv,OnRamp,RM,AM,IM,TI), C182*AVONonNB*I182-D182*AVONonB*J182, MIN(C182*AVONonNB,D182*AVONonB)*(I182-J182))*AnnualFactor</f>
        <v>#DIV/0!</v>
      </c>
      <c r="L182" s="1472">
        <f>IF(AND(D182*AVONonB&gt;C182*AVONonNB, NOT(OR(TruckLane,Bypass,HOV2to3,HOTConv,OnRamp,RM,AM,IM,TI)),Induced="Y"), (D182*AVONonB-C182*AVONonNB)*(I182-J182)*0.5*AnnualFactor, 0)</f>
        <v>0</v>
      </c>
      <c r="M182" s="1453" t="e">
        <f>(K182+L182)*ValTimeAuto*ValRelAuto*IF(IM,ValTimeIMFactor,1)*(1+TTUprater)^($B182+Construct-1)</f>
        <v>#DIV/0!</v>
      </c>
      <c r="N182" s="1454" t="e">
        <f>$M182/(1+DiscRate)^($B182+Construct-1)</f>
        <v>#DIV/0!</v>
      </c>
      <c r="P182" s="1384"/>
      <c r="Q182" s="1366"/>
      <c r="R182" s="1382"/>
      <c r="S182" s="1382"/>
      <c r="W182" s="1383"/>
      <c r="X182" s="1383"/>
    </row>
    <row r="183" spans="2:24" x14ac:dyDescent="0.25">
      <c r="B183" s="1480"/>
      <c r="C183" s="1481"/>
      <c r="D183" s="1481"/>
      <c r="E183" s="1481"/>
      <c r="F183" s="1481"/>
      <c r="G183" s="1482"/>
      <c r="H183" s="1482"/>
      <c r="I183" s="1486"/>
      <c r="J183" s="1486"/>
      <c r="K183" s="1485"/>
      <c r="L183" s="1485"/>
      <c r="M183" s="1486"/>
      <c r="N183" s="1487"/>
      <c r="P183" s="1384"/>
      <c r="Q183" s="1366"/>
      <c r="R183" s="1382"/>
      <c r="S183" s="1382"/>
      <c r="W183" s="1383"/>
      <c r="X183" s="1383"/>
    </row>
    <row r="184" spans="2:24" x14ac:dyDescent="0.25">
      <c r="B184" s="1490">
        <v>2</v>
      </c>
      <c r="C184" s="1460">
        <f>TREND(C181:C182,B181:B182,B184)</f>
        <v>0</v>
      </c>
      <c r="D184" s="1491">
        <f>TREND(D181:D182,B181:B182,B184)</f>
        <v>0</v>
      </c>
      <c r="E184" s="1492">
        <f>TREND(E181:E182,B181:B182,B184)</f>
        <v>55</v>
      </c>
      <c r="F184" s="1493">
        <f>TREND(F181:F182,B181:B182,B184)</f>
        <v>55</v>
      </c>
      <c r="G184" s="1449" t="e">
        <f t="shared" ref="G184:G201" si="71">MAX(1/E184-1/FFSpeedNB, 0)</f>
        <v>#DIV/0!</v>
      </c>
      <c r="H184" s="1450" t="e">
        <f t="shared" ref="H184:H201" si="72">MAX(1/F184-1/FFSpeedB, 0)</f>
        <v>#DIV/0!</v>
      </c>
      <c r="I184" s="1449" t="e">
        <f t="shared" ref="I184:I201" si="73">AlphaSTD*MAX(AlphaTTI*(1+FFSpeedNB*G184)^BetaTTI-1,0)^BetaSTD*ImpactedNB/FFSpeedNB*NWRAdj</f>
        <v>#DIV/0!</v>
      </c>
      <c r="J184" s="1450" t="e">
        <f t="shared" ref="J184:J201" si="74">AlphaSTD*MAX(AlphaTTI*(1+FFSpeedB*H184)^BetaTTI-1,0)^BetaSTD*ImpactedB/FFSpeedB*NWRAdj</f>
        <v>#DIV/0!</v>
      </c>
      <c r="K184" s="1451" t="e">
        <f t="shared" ref="K184:K201" si="75">IF(OR(TruckLane,Bypass,HOV2to3,HOTConv,OnRamp,RM,AM,IM,TI), C184*AVONonNB*I184-D184*AVONonB*J184, MIN(C184*AVONonNB,D184*AVONonB)*(I184-J184))*AnnualFactor</f>
        <v>#DIV/0!</v>
      </c>
      <c r="L184" s="1452">
        <f t="shared" ref="L184:L201" si="76">IF(AND(D184*AVONonB&gt;C184*AVONonNB, NOT(OR(TruckLane,Bypass,HOV2to3,HOTConv,OnRamp,RM,AM,IM,TI)),Induced="Y"), (D184*AVONonB-C184*AVONonNB)*(I184-J184)*0.5*AnnualFactor, 0)</f>
        <v>0</v>
      </c>
      <c r="M184" s="1453" t="e">
        <f t="shared" ref="M184:M201" si="77">(K184+L184)*ValTimeAuto*ValRelAuto*IF(IM,ValTimeIMFactor,1)*(1+TTUprater)^($B184+Construct-1)</f>
        <v>#DIV/0!</v>
      </c>
      <c r="N184" s="1454" t="e">
        <f t="shared" ref="N184:N201" si="78">$M184/(1+DiscRate)^($B184+Construct-1)</f>
        <v>#DIV/0!</v>
      </c>
      <c r="P184" s="1384"/>
      <c r="Q184" s="1366"/>
      <c r="R184" s="1382"/>
      <c r="S184" s="1382"/>
      <c r="W184" s="1383"/>
      <c r="X184" s="1383"/>
    </row>
    <row r="185" spans="2:24" x14ac:dyDescent="0.25">
      <c r="B185" s="1444">
        <v>3</v>
      </c>
      <c r="C185" s="1477">
        <f>TREND(C181:C182,B181:B182,B185)</f>
        <v>0</v>
      </c>
      <c r="D185" s="1495">
        <f>TREND(D181:D182,B181:B182,B185)</f>
        <v>0</v>
      </c>
      <c r="E185" s="1496">
        <f>TREND(E181:E182,B181:B182,B185)</f>
        <v>55</v>
      </c>
      <c r="F185" s="1497">
        <f>TREND(F181:F182,B181:B182,B185)</f>
        <v>55</v>
      </c>
      <c r="G185" s="1449" t="e">
        <f t="shared" si="71"/>
        <v>#DIV/0!</v>
      </c>
      <c r="H185" s="1450" t="e">
        <f t="shared" si="72"/>
        <v>#DIV/0!</v>
      </c>
      <c r="I185" s="1449" t="e">
        <f t="shared" si="73"/>
        <v>#DIV/0!</v>
      </c>
      <c r="J185" s="1450" t="e">
        <f t="shared" si="74"/>
        <v>#DIV/0!</v>
      </c>
      <c r="K185" s="1498" t="e">
        <f t="shared" si="75"/>
        <v>#DIV/0!</v>
      </c>
      <c r="L185" s="1499">
        <f t="shared" si="76"/>
        <v>0</v>
      </c>
      <c r="M185" s="1453" t="e">
        <f t="shared" si="77"/>
        <v>#DIV/0!</v>
      </c>
      <c r="N185" s="1454" t="e">
        <f t="shared" si="78"/>
        <v>#DIV/0!</v>
      </c>
      <c r="P185" s="1384"/>
      <c r="Q185" s="1366"/>
      <c r="R185" s="1382"/>
      <c r="S185" s="1382"/>
      <c r="W185" s="1383"/>
      <c r="X185" s="1383"/>
    </row>
    <row r="186" spans="2:24" x14ac:dyDescent="0.25">
      <c r="B186" s="1444">
        <v>4</v>
      </c>
      <c r="C186" s="1477">
        <f>TREND(C181:C182,B181:B182,B186)</f>
        <v>0</v>
      </c>
      <c r="D186" s="1495">
        <f>TREND(D181:D182,B181:B182,B186)</f>
        <v>0</v>
      </c>
      <c r="E186" s="1496">
        <f>TREND(E181:E182,B181:B182,B186)</f>
        <v>55</v>
      </c>
      <c r="F186" s="1497">
        <f>TREND(F181:F182,B181:B182,B186)</f>
        <v>55</v>
      </c>
      <c r="G186" s="1449" t="e">
        <f t="shared" si="71"/>
        <v>#DIV/0!</v>
      </c>
      <c r="H186" s="1450" t="e">
        <f t="shared" si="72"/>
        <v>#DIV/0!</v>
      </c>
      <c r="I186" s="1449" t="e">
        <f t="shared" si="73"/>
        <v>#DIV/0!</v>
      </c>
      <c r="J186" s="1450" t="e">
        <f t="shared" si="74"/>
        <v>#DIV/0!</v>
      </c>
      <c r="K186" s="1498" t="e">
        <f t="shared" si="75"/>
        <v>#DIV/0!</v>
      </c>
      <c r="L186" s="1499">
        <f t="shared" si="76"/>
        <v>0</v>
      </c>
      <c r="M186" s="1453" t="e">
        <f t="shared" si="77"/>
        <v>#DIV/0!</v>
      </c>
      <c r="N186" s="1454" t="e">
        <f t="shared" si="78"/>
        <v>#DIV/0!</v>
      </c>
      <c r="P186" s="1384"/>
      <c r="Q186" s="1366"/>
      <c r="R186" s="1382"/>
      <c r="S186" s="1382"/>
      <c r="W186" s="1383"/>
      <c r="X186" s="1383"/>
    </row>
    <row r="187" spans="2:24" x14ac:dyDescent="0.25">
      <c r="B187" s="1444">
        <v>5</v>
      </c>
      <c r="C187" s="1477">
        <f>TREND(C181:C182,B181:B182,B187)</f>
        <v>0</v>
      </c>
      <c r="D187" s="1495">
        <f>TREND(D181:D182,B181:B182,B187)</f>
        <v>0</v>
      </c>
      <c r="E187" s="1496">
        <f>TREND(E181:E182,B181:B182,B187)</f>
        <v>55</v>
      </c>
      <c r="F187" s="1497">
        <f>TREND(F181:F182,B181:B182,B187)</f>
        <v>55</v>
      </c>
      <c r="G187" s="1449" t="e">
        <f t="shared" si="71"/>
        <v>#DIV/0!</v>
      </c>
      <c r="H187" s="1450" t="e">
        <f t="shared" si="72"/>
        <v>#DIV/0!</v>
      </c>
      <c r="I187" s="1449" t="e">
        <f t="shared" si="73"/>
        <v>#DIV/0!</v>
      </c>
      <c r="J187" s="1450" t="e">
        <f t="shared" si="74"/>
        <v>#DIV/0!</v>
      </c>
      <c r="K187" s="1498" t="e">
        <f t="shared" si="75"/>
        <v>#DIV/0!</v>
      </c>
      <c r="L187" s="1499">
        <f t="shared" si="76"/>
        <v>0</v>
      </c>
      <c r="M187" s="1453" t="e">
        <f t="shared" si="77"/>
        <v>#DIV/0!</v>
      </c>
      <c r="N187" s="1454" t="e">
        <f t="shared" si="78"/>
        <v>#DIV/0!</v>
      </c>
      <c r="P187" s="1384"/>
      <c r="Q187" s="1366"/>
      <c r="R187" s="1382"/>
      <c r="S187" s="1382"/>
      <c r="W187" s="1383"/>
      <c r="X187" s="1383"/>
    </row>
    <row r="188" spans="2:24" x14ac:dyDescent="0.25">
      <c r="B188" s="1444">
        <v>6</v>
      </c>
      <c r="C188" s="1477">
        <f>TREND(C181:C182,B181:B182,B188)</f>
        <v>0</v>
      </c>
      <c r="D188" s="1495">
        <f>TREND(D181:D182,B181:B182,B188)</f>
        <v>0</v>
      </c>
      <c r="E188" s="1496">
        <f>TREND(E181:E182,B181:B182,B188)</f>
        <v>55</v>
      </c>
      <c r="F188" s="1497">
        <f>TREND(F181:F182,B181:B182,B188)</f>
        <v>55</v>
      </c>
      <c r="G188" s="1449" t="e">
        <f t="shared" si="71"/>
        <v>#DIV/0!</v>
      </c>
      <c r="H188" s="1450" t="e">
        <f t="shared" si="72"/>
        <v>#DIV/0!</v>
      </c>
      <c r="I188" s="1449" t="e">
        <f t="shared" si="73"/>
        <v>#DIV/0!</v>
      </c>
      <c r="J188" s="1450" t="e">
        <f t="shared" si="74"/>
        <v>#DIV/0!</v>
      </c>
      <c r="K188" s="1498" t="e">
        <f t="shared" si="75"/>
        <v>#DIV/0!</v>
      </c>
      <c r="L188" s="1499">
        <f t="shared" si="76"/>
        <v>0</v>
      </c>
      <c r="M188" s="1453" t="e">
        <f t="shared" si="77"/>
        <v>#DIV/0!</v>
      </c>
      <c r="N188" s="1454" t="e">
        <f t="shared" si="78"/>
        <v>#DIV/0!</v>
      </c>
      <c r="P188" s="1384"/>
      <c r="Q188" s="1366"/>
      <c r="R188" s="1382"/>
      <c r="S188" s="1382"/>
      <c r="W188" s="1383"/>
      <c r="X188" s="1383"/>
    </row>
    <row r="189" spans="2:24" x14ac:dyDescent="0.25">
      <c r="B189" s="1444">
        <v>7</v>
      </c>
      <c r="C189" s="1477">
        <f>TREND(C181:C182,B181:B182,B189)</f>
        <v>0</v>
      </c>
      <c r="D189" s="1495">
        <f>TREND(D181:D182,B181:B182,B189)</f>
        <v>0</v>
      </c>
      <c r="E189" s="1496">
        <f>TREND(E181:E182,B181:B182,B189)</f>
        <v>55</v>
      </c>
      <c r="F189" s="1497">
        <f>TREND(F181:F182,B181:B182,B189)</f>
        <v>55</v>
      </c>
      <c r="G189" s="1449" t="e">
        <f t="shared" si="71"/>
        <v>#DIV/0!</v>
      </c>
      <c r="H189" s="1450" t="e">
        <f t="shared" si="72"/>
        <v>#DIV/0!</v>
      </c>
      <c r="I189" s="1449" t="e">
        <f t="shared" si="73"/>
        <v>#DIV/0!</v>
      </c>
      <c r="J189" s="1450" t="e">
        <f t="shared" si="74"/>
        <v>#DIV/0!</v>
      </c>
      <c r="K189" s="1498" t="e">
        <f t="shared" si="75"/>
        <v>#DIV/0!</v>
      </c>
      <c r="L189" s="1499">
        <f t="shared" si="76"/>
        <v>0</v>
      </c>
      <c r="M189" s="1453" t="e">
        <f t="shared" si="77"/>
        <v>#DIV/0!</v>
      </c>
      <c r="N189" s="1454" t="e">
        <f t="shared" si="78"/>
        <v>#DIV/0!</v>
      </c>
      <c r="P189" s="1384"/>
      <c r="Q189" s="1366"/>
      <c r="R189" s="1382"/>
      <c r="S189" s="1382"/>
      <c r="W189" s="1383"/>
      <c r="X189" s="1383"/>
    </row>
    <row r="190" spans="2:24" x14ac:dyDescent="0.25">
      <c r="B190" s="1444">
        <v>8</v>
      </c>
      <c r="C190" s="1477">
        <f>TREND(C181:C182,B181:B182,B190)</f>
        <v>0</v>
      </c>
      <c r="D190" s="1495">
        <f>TREND(D181:D182,B181:B182,B190)</f>
        <v>0</v>
      </c>
      <c r="E190" s="1496">
        <f>TREND(E181:E182,B181:B182,B190)</f>
        <v>55</v>
      </c>
      <c r="F190" s="1497">
        <f>TREND(F181:F182,B181:B182,B190)</f>
        <v>55</v>
      </c>
      <c r="G190" s="1449" t="e">
        <f t="shared" si="71"/>
        <v>#DIV/0!</v>
      </c>
      <c r="H190" s="1450" t="e">
        <f t="shared" si="72"/>
        <v>#DIV/0!</v>
      </c>
      <c r="I190" s="1449" t="e">
        <f t="shared" si="73"/>
        <v>#DIV/0!</v>
      </c>
      <c r="J190" s="1450" t="e">
        <f t="shared" si="74"/>
        <v>#DIV/0!</v>
      </c>
      <c r="K190" s="1498" t="e">
        <f t="shared" si="75"/>
        <v>#DIV/0!</v>
      </c>
      <c r="L190" s="1499">
        <f t="shared" si="76"/>
        <v>0</v>
      </c>
      <c r="M190" s="1453" t="e">
        <f t="shared" si="77"/>
        <v>#DIV/0!</v>
      </c>
      <c r="N190" s="1454" t="e">
        <f t="shared" si="78"/>
        <v>#DIV/0!</v>
      </c>
      <c r="P190" s="1384"/>
      <c r="Q190" s="1366"/>
      <c r="R190" s="1382"/>
      <c r="S190" s="1382"/>
      <c r="W190" s="1383"/>
      <c r="X190" s="1383"/>
    </row>
    <row r="191" spans="2:24" x14ac:dyDescent="0.25">
      <c r="B191" s="1444">
        <v>9</v>
      </c>
      <c r="C191" s="1477">
        <f>TREND(C181:C182,B181:B182,B191)</f>
        <v>0</v>
      </c>
      <c r="D191" s="1495">
        <f>TREND(D181:D182,B181:B182,B191)</f>
        <v>0</v>
      </c>
      <c r="E191" s="1496">
        <f>TREND(E181:E182,B181:B182,B191)</f>
        <v>55</v>
      </c>
      <c r="F191" s="1497">
        <f>TREND(F181:F182,B181:B182,B191)</f>
        <v>55</v>
      </c>
      <c r="G191" s="1449" t="e">
        <f t="shared" si="71"/>
        <v>#DIV/0!</v>
      </c>
      <c r="H191" s="1450" t="e">
        <f t="shared" si="72"/>
        <v>#DIV/0!</v>
      </c>
      <c r="I191" s="1449" t="e">
        <f t="shared" si="73"/>
        <v>#DIV/0!</v>
      </c>
      <c r="J191" s="1450" t="e">
        <f t="shared" si="74"/>
        <v>#DIV/0!</v>
      </c>
      <c r="K191" s="1498" t="e">
        <f t="shared" si="75"/>
        <v>#DIV/0!</v>
      </c>
      <c r="L191" s="1499">
        <f t="shared" si="76"/>
        <v>0</v>
      </c>
      <c r="M191" s="1453" t="e">
        <f t="shared" si="77"/>
        <v>#DIV/0!</v>
      </c>
      <c r="N191" s="1454" t="e">
        <f t="shared" si="78"/>
        <v>#DIV/0!</v>
      </c>
      <c r="P191" s="1384"/>
      <c r="Q191" s="1366"/>
      <c r="R191" s="1382"/>
      <c r="S191" s="1382"/>
      <c r="W191" s="1383"/>
      <c r="X191" s="1383"/>
    </row>
    <row r="192" spans="2:24" x14ac:dyDescent="0.25">
      <c r="B192" s="1444">
        <v>10</v>
      </c>
      <c r="C192" s="1477">
        <f>TREND(C181:C182,B181:B182,B192)</f>
        <v>0</v>
      </c>
      <c r="D192" s="1495">
        <f>TREND(D181:D182,B181:B182,B192)</f>
        <v>0</v>
      </c>
      <c r="E192" s="1496">
        <f>TREND(E181:E182,B181:B182,B192)</f>
        <v>55</v>
      </c>
      <c r="F192" s="1497">
        <f>TREND(F181:F182,B181:B182,B192)</f>
        <v>55</v>
      </c>
      <c r="G192" s="1449" t="e">
        <f t="shared" si="71"/>
        <v>#DIV/0!</v>
      </c>
      <c r="H192" s="1450" t="e">
        <f t="shared" si="72"/>
        <v>#DIV/0!</v>
      </c>
      <c r="I192" s="1449" t="e">
        <f t="shared" si="73"/>
        <v>#DIV/0!</v>
      </c>
      <c r="J192" s="1450" t="e">
        <f t="shared" si="74"/>
        <v>#DIV/0!</v>
      </c>
      <c r="K192" s="1498" t="e">
        <f t="shared" si="75"/>
        <v>#DIV/0!</v>
      </c>
      <c r="L192" s="1499">
        <f t="shared" si="76"/>
        <v>0</v>
      </c>
      <c r="M192" s="1453" t="e">
        <f t="shared" si="77"/>
        <v>#DIV/0!</v>
      </c>
      <c r="N192" s="1454" t="e">
        <f t="shared" si="78"/>
        <v>#DIV/0!</v>
      </c>
      <c r="P192" s="1384"/>
      <c r="Q192" s="1366"/>
      <c r="R192" s="1382"/>
      <c r="S192" s="1382"/>
      <c r="W192" s="1383"/>
      <c r="X192" s="1383"/>
    </row>
    <row r="193" spans="2:24" x14ac:dyDescent="0.25">
      <c r="B193" s="1444">
        <v>11</v>
      </c>
      <c r="C193" s="1477">
        <f>TREND(C181:C182,B181:B182,B193)</f>
        <v>0</v>
      </c>
      <c r="D193" s="1495">
        <f>TREND(D181:D182,B181:B182,B193)</f>
        <v>0</v>
      </c>
      <c r="E193" s="1496">
        <f>TREND(E181:E182,B181:B182,B193)</f>
        <v>55</v>
      </c>
      <c r="F193" s="1497">
        <f>TREND(F181:F182,B181:B182,B193)</f>
        <v>55</v>
      </c>
      <c r="G193" s="1449" t="e">
        <f t="shared" si="71"/>
        <v>#DIV/0!</v>
      </c>
      <c r="H193" s="1450" t="e">
        <f t="shared" si="72"/>
        <v>#DIV/0!</v>
      </c>
      <c r="I193" s="1449" t="e">
        <f t="shared" si="73"/>
        <v>#DIV/0!</v>
      </c>
      <c r="J193" s="1450" t="e">
        <f t="shared" si="74"/>
        <v>#DIV/0!</v>
      </c>
      <c r="K193" s="1498" t="e">
        <f t="shared" si="75"/>
        <v>#DIV/0!</v>
      </c>
      <c r="L193" s="1499">
        <f t="shared" si="76"/>
        <v>0</v>
      </c>
      <c r="M193" s="1453" t="e">
        <f t="shared" si="77"/>
        <v>#DIV/0!</v>
      </c>
      <c r="N193" s="1454" t="e">
        <f t="shared" si="78"/>
        <v>#DIV/0!</v>
      </c>
      <c r="P193" s="1384"/>
      <c r="Q193" s="1366"/>
      <c r="R193" s="1382"/>
      <c r="S193" s="1382"/>
      <c r="W193" s="1383"/>
      <c r="X193" s="1383"/>
    </row>
    <row r="194" spans="2:24" x14ac:dyDescent="0.25">
      <c r="B194" s="1444">
        <v>12</v>
      </c>
      <c r="C194" s="1477">
        <f>TREND(C181:C182,B181:B182,B194)</f>
        <v>0</v>
      </c>
      <c r="D194" s="1495">
        <f>TREND(D181:D182,B181:B182,B194)</f>
        <v>0</v>
      </c>
      <c r="E194" s="1496">
        <f>TREND(E181:E182,B181:B182,B194)</f>
        <v>55</v>
      </c>
      <c r="F194" s="1497">
        <f>TREND(F181:F182,B181:B182,B194)</f>
        <v>55</v>
      </c>
      <c r="G194" s="1449" t="e">
        <f t="shared" si="71"/>
        <v>#DIV/0!</v>
      </c>
      <c r="H194" s="1450" t="e">
        <f t="shared" si="72"/>
        <v>#DIV/0!</v>
      </c>
      <c r="I194" s="1449" t="e">
        <f t="shared" si="73"/>
        <v>#DIV/0!</v>
      </c>
      <c r="J194" s="1450" t="e">
        <f t="shared" si="74"/>
        <v>#DIV/0!</v>
      </c>
      <c r="K194" s="1498" t="e">
        <f t="shared" si="75"/>
        <v>#DIV/0!</v>
      </c>
      <c r="L194" s="1499">
        <f t="shared" si="76"/>
        <v>0</v>
      </c>
      <c r="M194" s="1453" t="e">
        <f t="shared" si="77"/>
        <v>#DIV/0!</v>
      </c>
      <c r="N194" s="1454" t="e">
        <f t="shared" si="78"/>
        <v>#DIV/0!</v>
      </c>
      <c r="P194" s="1384"/>
      <c r="Q194" s="1366"/>
      <c r="R194" s="1382"/>
      <c r="S194" s="1382"/>
      <c r="W194" s="1383"/>
      <c r="X194" s="1383"/>
    </row>
    <row r="195" spans="2:24" x14ac:dyDescent="0.25">
      <c r="B195" s="1444">
        <v>13</v>
      </c>
      <c r="C195" s="1477">
        <f>TREND(C181:C182,B181:B182,B195)</f>
        <v>0</v>
      </c>
      <c r="D195" s="1495">
        <f>TREND(D181:D182,B181:B182,B195)</f>
        <v>0</v>
      </c>
      <c r="E195" s="1496">
        <f>TREND(E181:E182,B181:B182,B195)</f>
        <v>55</v>
      </c>
      <c r="F195" s="1497">
        <f>TREND(F181:F182,B181:B182,B195)</f>
        <v>55</v>
      </c>
      <c r="G195" s="1449" t="e">
        <f t="shared" si="71"/>
        <v>#DIV/0!</v>
      </c>
      <c r="H195" s="1450" t="e">
        <f t="shared" si="72"/>
        <v>#DIV/0!</v>
      </c>
      <c r="I195" s="1449" t="e">
        <f t="shared" si="73"/>
        <v>#DIV/0!</v>
      </c>
      <c r="J195" s="1450" t="e">
        <f t="shared" si="74"/>
        <v>#DIV/0!</v>
      </c>
      <c r="K195" s="1498" t="e">
        <f t="shared" si="75"/>
        <v>#DIV/0!</v>
      </c>
      <c r="L195" s="1499">
        <f t="shared" si="76"/>
        <v>0</v>
      </c>
      <c r="M195" s="1453" t="e">
        <f t="shared" si="77"/>
        <v>#DIV/0!</v>
      </c>
      <c r="N195" s="1454" t="e">
        <f t="shared" si="78"/>
        <v>#DIV/0!</v>
      </c>
      <c r="P195" s="1384"/>
      <c r="Q195" s="1366"/>
      <c r="R195" s="1382"/>
      <c r="S195" s="1382"/>
      <c r="W195" s="1383"/>
      <c r="X195" s="1383"/>
    </row>
    <row r="196" spans="2:24" x14ac:dyDescent="0.25">
      <c r="B196" s="1444">
        <v>14</v>
      </c>
      <c r="C196" s="1477">
        <f>TREND(C181:C182,B181:B182,B196)</f>
        <v>0</v>
      </c>
      <c r="D196" s="1495">
        <f>TREND(D181:D182,B181:B182,B196)</f>
        <v>0</v>
      </c>
      <c r="E196" s="1496">
        <f>TREND(E181:E182,B181:B182,B196)</f>
        <v>55</v>
      </c>
      <c r="F196" s="1497">
        <f>TREND(F181:F182,B181:B182,B196)</f>
        <v>55</v>
      </c>
      <c r="G196" s="1449" t="e">
        <f t="shared" si="71"/>
        <v>#DIV/0!</v>
      </c>
      <c r="H196" s="1450" t="e">
        <f t="shared" si="72"/>
        <v>#DIV/0!</v>
      </c>
      <c r="I196" s="1449" t="e">
        <f t="shared" si="73"/>
        <v>#DIV/0!</v>
      </c>
      <c r="J196" s="1450" t="e">
        <f t="shared" si="74"/>
        <v>#DIV/0!</v>
      </c>
      <c r="K196" s="1498" t="e">
        <f t="shared" si="75"/>
        <v>#DIV/0!</v>
      </c>
      <c r="L196" s="1499">
        <f t="shared" si="76"/>
        <v>0</v>
      </c>
      <c r="M196" s="1453" t="e">
        <f t="shared" si="77"/>
        <v>#DIV/0!</v>
      </c>
      <c r="N196" s="1454" t="e">
        <f t="shared" si="78"/>
        <v>#DIV/0!</v>
      </c>
      <c r="P196" s="1384"/>
      <c r="Q196" s="1366"/>
      <c r="R196" s="1382"/>
      <c r="S196" s="1382"/>
      <c r="W196" s="1383"/>
      <c r="X196" s="1383"/>
    </row>
    <row r="197" spans="2:24" x14ac:dyDescent="0.25">
      <c r="B197" s="1444">
        <v>15</v>
      </c>
      <c r="C197" s="1477">
        <f>TREND(C181:C182,B181:B182,B197)</f>
        <v>0</v>
      </c>
      <c r="D197" s="1495">
        <f>TREND(D181:D182,B181:B182,B197)</f>
        <v>0</v>
      </c>
      <c r="E197" s="1496">
        <f>TREND(E181:E182,B181:B182,B197)</f>
        <v>55</v>
      </c>
      <c r="F197" s="1497">
        <f>TREND(F181:F182,B181:B182,B197)</f>
        <v>55</v>
      </c>
      <c r="G197" s="1449" t="e">
        <f t="shared" si="71"/>
        <v>#DIV/0!</v>
      </c>
      <c r="H197" s="1450" t="e">
        <f t="shared" si="72"/>
        <v>#DIV/0!</v>
      </c>
      <c r="I197" s="1449" t="e">
        <f t="shared" si="73"/>
        <v>#DIV/0!</v>
      </c>
      <c r="J197" s="1450" t="e">
        <f t="shared" si="74"/>
        <v>#DIV/0!</v>
      </c>
      <c r="K197" s="1498" t="e">
        <f t="shared" si="75"/>
        <v>#DIV/0!</v>
      </c>
      <c r="L197" s="1499">
        <f t="shared" si="76"/>
        <v>0</v>
      </c>
      <c r="M197" s="1453" t="e">
        <f t="shared" si="77"/>
        <v>#DIV/0!</v>
      </c>
      <c r="N197" s="1454" t="e">
        <f t="shared" si="78"/>
        <v>#DIV/0!</v>
      </c>
      <c r="P197" s="1384"/>
      <c r="Q197" s="1366"/>
      <c r="R197" s="1382"/>
      <c r="S197" s="1382"/>
      <c r="W197" s="1383"/>
      <c r="X197" s="1383"/>
    </row>
    <row r="198" spans="2:24" x14ac:dyDescent="0.25">
      <c r="B198" s="1444">
        <v>16</v>
      </c>
      <c r="C198" s="1477">
        <f>TREND(C181:C182,B181:B182,B198)</f>
        <v>0</v>
      </c>
      <c r="D198" s="1495">
        <f>TREND(D181:D182,B181:B182,B198)</f>
        <v>0</v>
      </c>
      <c r="E198" s="1496">
        <f>TREND(E181:E182,B181:B182,B198)</f>
        <v>55</v>
      </c>
      <c r="F198" s="1497">
        <f>TREND(F181:F182,B181:B182,B198)</f>
        <v>55</v>
      </c>
      <c r="G198" s="1449" t="e">
        <f t="shared" si="71"/>
        <v>#DIV/0!</v>
      </c>
      <c r="H198" s="1450" t="e">
        <f t="shared" si="72"/>
        <v>#DIV/0!</v>
      </c>
      <c r="I198" s="1449" t="e">
        <f t="shared" si="73"/>
        <v>#DIV/0!</v>
      </c>
      <c r="J198" s="1450" t="e">
        <f t="shared" si="74"/>
        <v>#DIV/0!</v>
      </c>
      <c r="K198" s="1498" t="e">
        <f t="shared" si="75"/>
        <v>#DIV/0!</v>
      </c>
      <c r="L198" s="1499">
        <f t="shared" si="76"/>
        <v>0</v>
      </c>
      <c r="M198" s="1453" t="e">
        <f t="shared" si="77"/>
        <v>#DIV/0!</v>
      </c>
      <c r="N198" s="1454" t="e">
        <f t="shared" si="78"/>
        <v>#DIV/0!</v>
      </c>
      <c r="P198" s="1384"/>
      <c r="Q198" s="1366"/>
      <c r="R198" s="1382"/>
      <c r="S198" s="1382"/>
      <c r="W198" s="1383"/>
      <c r="X198" s="1383"/>
    </row>
    <row r="199" spans="2:24" x14ac:dyDescent="0.25">
      <c r="B199" s="1444">
        <v>17</v>
      </c>
      <c r="C199" s="1477">
        <f>TREND(C181:C182,B181:B182,B199)</f>
        <v>0</v>
      </c>
      <c r="D199" s="1495">
        <f>TREND(D181:D182,B181:B182,B199)</f>
        <v>0</v>
      </c>
      <c r="E199" s="1496">
        <f>TREND(E181:E182,B181:B182,B199)</f>
        <v>55</v>
      </c>
      <c r="F199" s="1497">
        <f>TREND(F181:F182,B181:B182,B199)</f>
        <v>55</v>
      </c>
      <c r="G199" s="1449" t="e">
        <f t="shared" si="71"/>
        <v>#DIV/0!</v>
      </c>
      <c r="H199" s="1450" t="e">
        <f t="shared" si="72"/>
        <v>#DIV/0!</v>
      </c>
      <c r="I199" s="1449" t="e">
        <f t="shared" si="73"/>
        <v>#DIV/0!</v>
      </c>
      <c r="J199" s="1450" t="e">
        <f t="shared" si="74"/>
        <v>#DIV/0!</v>
      </c>
      <c r="K199" s="1498" t="e">
        <f t="shared" si="75"/>
        <v>#DIV/0!</v>
      </c>
      <c r="L199" s="1499">
        <f t="shared" si="76"/>
        <v>0</v>
      </c>
      <c r="M199" s="1453" t="e">
        <f t="shared" si="77"/>
        <v>#DIV/0!</v>
      </c>
      <c r="N199" s="1454" t="e">
        <f t="shared" si="78"/>
        <v>#DIV/0!</v>
      </c>
      <c r="P199" s="1384"/>
      <c r="Q199" s="1366"/>
      <c r="R199" s="1382"/>
      <c r="S199" s="1382"/>
      <c r="W199" s="1383"/>
      <c r="X199" s="1383"/>
    </row>
    <row r="200" spans="2:24" x14ac:dyDescent="0.25">
      <c r="B200" s="1444">
        <v>18</v>
      </c>
      <c r="C200" s="1477">
        <f>TREND(C181:C182,B181:B182,B200)</f>
        <v>0</v>
      </c>
      <c r="D200" s="1495">
        <f>TREND(D181:D182,B181:B182,B200)</f>
        <v>0</v>
      </c>
      <c r="E200" s="1496">
        <f>TREND(E181:E182,B181:B182,B200)</f>
        <v>55</v>
      </c>
      <c r="F200" s="1497">
        <f>TREND(F181:F182,B181:B182,B200)</f>
        <v>55</v>
      </c>
      <c r="G200" s="1449" t="e">
        <f t="shared" si="71"/>
        <v>#DIV/0!</v>
      </c>
      <c r="H200" s="1450" t="e">
        <f t="shared" si="72"/>
        <v>#DIV/0!</v>
      </c>
      <c r="I200" s="1449" t="e">
        <f t="shared" si="73"/>
        <v>#DIV/0!</v>
      </c>
      <c r="J200" s="1450" t="e">
        <f t="shared" si="74"/>
        <v>#DIV/0!</v>
      </c>
      <c r="K200" s="1498" t="e">
        <f t="shared" si="75"/>
        <v>#DIV/0!</v>
      </c>
      <c r="L200" s="1499">
        <f t="shared" si="76"/>
        <v>0</v>
      </c>
      <c r="M200" s="1453" t="e">
        <f t="shared" si="77"/>
        <v>#DIV/0!</v>
      </c>
      <c r="N200" s="1454" t="e">
        <f t="shared" si="78"/>
        <v>#DIV/0!</v>
      </c>
      <c r="P200" s="1384"/>
      <c r="Q200" s="1366"/>
      <c r="R200" s="1382"/>
      <c r="S200" s="1382"/>
      <c r="W200" s="1383"/>
      <c r="X200" s="1383"/>
    </row>
    <row r="201" spans="2:24" x14ac:dyDescent="0.25">
      <c r="B201" s="1504">
        <v>19</v>
      </c>
      <c r="C201" s="1505">
        <f>TREND(C181:C182,B181:B182,B201)</f>
        <v>0</v>
      </c>
      <c r="D201" s="1506">
        <f>TREND(D181:D182,B181:B182,B201)</f>
        <v>0</v>
      </c>
      <c r="E201" s="1507">
        <f>TREND(E181:E182,B181:B182,B201)</f>
        <v>55</v>
      </c>
      <c r="F201" s="1508">
        <f>TREND(F181:F182,B181:B182,B201)</f>
        <v>55</v>
      </c>
      <c r="G201" s="1449" t="e">
        <f t="shared" si="71"/>
        <v>#DIV/0!</v>
      </c>
      <c r="H201" s="1450" t="e">
        <f t="shared" si="72"/>
        <v>#DIV/0!</v>
      </c>
      <c r="I201" s="1449" t="e">
        <f t="shared" si="73"/>
        <v>#DIV/0!</v>
      </c>
      <c r="J201" s="1450" t="e">
        <f t="shared" si="74"/>
        <v>#DIV/0!</v>
      </c>
      <c r="K201" s="1471" t="e">
        <f t="shared" si="75"/>
        <v>#DIV/0!</v>
      </c>
      <c r="L201" s="1499">
        <f t="shared" si="76"/>
        <v>0</v>
      </c>
      <c r="M201" s="1453" t="e">
        <f t="shared" si="77"/>
        <v>#DIV/0!</v>
      </c>
      <c r="N201" s="1454" t="e">
        <f t="shared" si="78"/>
        <v>#DIV/0!</v>
      </c>
      <c r="P201" s="1384"/>
      <c r="Q201" s="1366"/>
      <c r="R201" s="1382"/>
      <c r="S201" s="1382"/>
      <c r="W201" s="1383"/>
      <c r="X201" s="1383"/>
    </row>
    <row r="202" spans="2:24" x14ac:dyDescent="0.25">
      <c r="B202" s="1480"/>
      <c r="C202" s="1481"/>
      <c r="D202" s="1481"/>
      <c r="E202" s="1481"/>
      <c r="F202" s="1481"/>
      <c r="G202" s="1481"/>
      <c r="H202" s="1481"/>
      <c r="I202" s="1486"/>
      <c r="J202" s="1486"/>
      <c r="K202" s="1486"/>
      <c r="L202" s="1486"/>
      <c r="M202" s="1486"/>
      <c r="N202" s="1487"/>
      <c r="P202" s="1384"/>
      <c r="Q202" s="1366"/>
      <c r="R202" s="1382"/>
      <c r="S202" s="1382"/>
      <c r="W202" s="1383"/>
      <c r="X202" s="1383"/>
    </row>
    <row r="203" spans="2:24" ht="13" x14ac:dyDescent="0.25">
      <c r="B203" s="329" t="s">
        <v>172</v>
      </c>
      <c r="C203" s="1513"/>
      <c r="D203" s="1514"/>
      <c r="E203" s="1514"/>
      <c r="F203" s="1514"/>
      <c r="G203" s="1514"/>
      <c r="H203" s="1514"/>
      <c r="I203" s="1514"/>
      <c r="J203" s="1514"/>
      <c r="K203" s="1514"/>
      <c r="L203" s="1514"/>
      <c r="M203" s="1514"/>
      <c r="N203" s="342" t="e">
        <f>SUM(N181:N201)</f>
        <v>#DIV/0!</v>
      </c>
      <c r="P203" s="1384"/>
      <c r="Q203" s="1366"/>
      <c r="R203" s="1382"/>
      <c r="S203" s="1382"/>
      <c r="W203" s="1383"/>
      <c r="X203" s="1383"/>
    </row>
    <row r="204" spans="2:24" x14ac:dyDescent="0.25">
      <c r="G204" s="1383"/>
      <c r="H204" s="1383"/>
      <c r="I204" s="1384"/>
      <c r="K204" s="1366"/>
      <c r="P204" s="1384"/>
      <c r="Q204" s="1366"/>
      <c r="R204" s="1382"/>
      <c r="S204" s="1382"/>
      <c r="W204" s="1383"/>
      <c r="X204" s="1383"/>
    </row>
    <row r="205" spans="2:24" x14ac:dyDescent="0.25">
      <c r="G205" s="1383"/>
      <c r="H205" s="1383"/>
      <c r="I205" s="1384"/>
      <c r="K205" s="1366"/>
      <c r="P205" s="1384"/>
      <c r="Q205" s="1366"/>
      <c r="R205" s="1382"/>
      <c r="S205" s="1382"/>
      <c r="W205" s="1383"/>
      <c r="X205" s="1383"/>
    </row>
    <row r="206" spans="2:24" ht="13" x14ac:dyDescent="0.25">
      <c r="B206" s="350" t="s">
        <v>255</v>
      </c>
      <c r="C206" s="1386"/>
      <c r="D206" s="1386"/>
      <c r="E206" s="1386"/>
      <c r="F206" s="1386"/>
      <c r="G206" s="1386"/>
      <c r="H206" s="1386"/>
      <c r="I206" s="1422"/>
      <c r="J206" s="1422"/>
      <c r="K206" s="1386"/>
      <c r="L206" s="1422"/>
      <c r="M206" s="1386"/>
      <c r="N206" s="1386"/>
      <c r="P206" s="1384"/>
      <c r="Q206" s="1366"/>
      <c r="R206" s="1382"/>
      <c r="S206" s="1382"/>
      <c r="W206" s="1383"/>
      <c r="X206" s="1383"/>
    </row>
    <row r="207" spans="2:24" ht="13" x14ac:dyDescent="0.25">
      <c r="B207" s="1386"/>
      <c r="C207" s="1386"/>
      <c r="D207" s="1427"/>
      <c r="E207" s="1427"/>
      <c r="F207" s="1427"/>
      <c r="G207" s="1427"/>
      <c r="H207" s="1427"/>
      <c r="I207" s="90"/>
      <c r="J207" s="1386"/>
      <c r="K207" s="90"/>
      <c r="L207" s="1386"/>
      <c r="M207" s="1386"/>
      <c r="N207" s="1425"/>
      <c r="P207" s="1384"/>
      <c r="Q207" s="1366"/>
      <c r="R207" s="1382"/>
      <c r="S207" s="1382"/>
      <c r="W207" s="1383"/>
      <c r="X207" s="1383"/>
    </row>
    <row r="208" spans="2:24" ht="15.5" x14ac:dyDescent="0.25">
      <c r="B208" s="1428"/>
      <c r="C208" s="320" t="s">
        <v>230</v>
      </c>
      <c r="D208" s="1429"/>
      <c r="E208" s="320" t="s">
        <v>231</v>
      </c>
      <c r="F208" s="1429"/>
      <c r="G208" s="320" t="s">
        <v>808</v>
      </c>
      <c r="H208" s="1430"/>
      <c r="I208" s="335" t="s">
        <v>809</v>
      </c>
      <c r="J208" s="1429"/>
      <c r="K208" s="335" t="s">
        <v>810</v>
      </c>
      <c r="L208" s="321"/>
      <c r="M208" s="322"/>
      <c r="N208" s="1431"/>
      <c r="P208" s="1384"/>
      <c r="Q208" s="1366"/>
      <c r="R208" s="1382"/>
      <c r="S208" s="1382"/>
      <c r="W208" s="1383"/>
      <c r="X208" s="1383"/>
    </row>
    <row r="209" spans="2:24" ht="15.5" x14ac:dyDescent="0.25">
      <c r="B209" s="1434"/>
      <c r="C209" s="1435" t="s">
        <v>812</v>
      </c>
      <c r="D209" s="362"/>
      <c r="E209" s="1435" t="s">
        <v>238</v>
      </c>
      <c r="F209" s="362"/>
      <c r="G209" s="1435" t="s">
        <v>813</v>
      </c>
      <c r="H209" s="1436"/>
      <c r="I209" s="1437" t="s">
        <v>814</v>
      </c>
      <c r="J209" s="362"/>
      <c r="K209" s="336" t="s">
        <v>552</v>
      </c>
      <c r="L209" s="288"/>
      <c r="M209" s="1438"/>
      <c r="N209" s="1439"/>
      <c r="P209" s="1384"/>
      <c r="Q209" s="1366"/>
      <c r="R209" s="1382"/>
      <c r="S209" s="1382"/>
      <c r="W209" s="1383"/>
      <c r="X209" s="1383"/>
    </row>
    <row r="210" spans="2:24" ht="14" x14ac:dyDescent="0.25">
      <c r="B210" s="169" t="s">
        <v>135</v>
      </c>
      <c r="C210" s="1441"/>
      <c r="D210" s="283"/>
      <c r="E210" s="1441"/>
      <c r="F210" s="283"/>
      <c r="G210" s="1441"/>
      <c r="H210" s="283"/>
      <c r="I210" s="1435" t="s">
        <v>818</v>
      </c>
      <c r="J210" s="362"/>
      <c r="K210" s="1441" t="s">
        <v>151</v>
      </c>
      <c r="L210" s="283" t="s">
        <v>152</v>
      </c>
      <c r="M210" s="286" t="s">
        <v>242</v>
      </c>
      <c r="N210" s="345" t="s">
        <v>139</v>
      </c>
      <c r="P210" s="1384"/>
      <c r="Q210" s="1366"/>
      <c r="R210" s="1382"/>
      <c r="S210" s="1382"/>
      <c r="W210" s="1383"/>
      <c r="X210" s="1383"/>
    </row>
    <row r="211" spans="2:24" ht="14" x14ac:dyDescent="0.25">
      <c r="B211" s="319"/>
      <c r="C211" s="324" t="s">
        <v>0</v>
      </c>
      <c r="D211" s="325" t="s">
        <v>1</v>
      </c>
      <c r="E211" s="324" t="s">
        <v>0</v>
      </c>
      <c r="F211" s="325" t="s">
        <v>1</v>
      </c>
      <c r="G211" s="324" t="s">
        <v>0</v>
      </c>
      <c r="H211" s="325" t="s">
        <v>1</v>
      </c>
      <c r="I211" s="324" t="s">
        <v>0</v>
      </c>
      <c r="J211" s="325" t="s">
        <v>1</v>
      </c>
      <c r="K211" s="324" t="s">
        <v>244</v>
      </c>
      <c r="L211" s="325" t="s">
        <v>245</v>
      </c>
      <c r="M211" s="326" t="s">
        <v>148</v>
      </c>
      <c r="N211" s="346" t="s">
        <v>149</v>
      </c>
      <c r="P211" s="1384"/>
      <c r="Q211" s="1366"/>
      <c r="R211" s="1382"/>
      <c r="S211" s="1382"/>
      <c r="W211" s="1383"/>
      <c r="X211" s="1383"/>
    </row>
    <row r="212" spans="2:24" x14ac:dyDescent="0.25">
      <c r="B212" s="1444">
        <v>1</v>
      </c>
      <c r="C212" s="1445">
        <f>NTV1NB</f>
        <v>0</v>
      </c>
      <c r="D212" s="1446">
        <f>NTV1B</f>
        <v>0</v>
      </c>
      <c r="E212" s="1557">
        <f>NTS1NB</f>
        <v>55</v>
      </c>
      <c r="F212" s="1557">
        <f>NTS1B</f>
        <v>55</v>
      </c>
      <c r="G212" s="1449" t="e">
        <f>MAX(1/E212-1/FFSpeedNB, 0)</f>
        <v>#DIV/0!</v>
      </c>
      <c r="H212" s="1450" t="e">
        <f>MAX(1/F212-1/FFSpeedB, 0)</f>
        <v>#DIV/0!</v>
      </c>
      <c r="I212" s="1544" t="e">
        <f>AlphaSTD*MAX(AlphaTTI*(1+FFSpeedNB*G212)^BetaTTI-1,0)^BetaSTD*ImpactedNB/FFSpeedNB*NTRAdj</f>
        <v>#DIV/0!</v>
      </c>
      <c r="J212" s="1545" t="e">
        <f>AlphaSTD*MAX(AlphaTTI*(1+FFSpeedB*H212)^BetaTTI-1,0)^BetaSTD*ImpactedB/FFSpeedB*NTRAdj</f>
        <v>#DIV/0!</v>
      </c>
      <c r="K212" s="1451" t="e">
        <f>IF(OR(TruckLane,Bypass,HOV2to3,HOTConv,OnRamp,RM,AM,IM,TI), C212*I212-D212*J212, MIN(C212,D212)*(I212-J212))*AnnualFactor</f>
        <v>#DIV/0!</v>
      </c>
      <c r="L212" s="1452">
        <f>IF(AND(D212&gt;C212, NOT(OR(TruckLane,Bypass,HOV2to3,HOTConv,OnRamp,RM,AM,IM,TI)),Induced="Y"), (D212-C212)*(I212-J212)*0.5*AnnualFactor, 0)</f>
        <v>0</v>
      </c>
      <c r="M212" s="1453" t="e">
        <f>(K212+L212)*ValTimeTruck*ValRelTruck*IF(IM,ValTimeIMFactor,1)*(1+TTUprater)^($B212+Construct-1)</f>
        <v>#DIV/0!</v>
      </c>
      <c r="N212" s="1454" t="e">
        <f>$M212/(1+DiscRate)^($B212+Construct-1)</f>
        <v>#DIV/0!</v>
      </c>
      <c r="P212" s="1384"/>
      <c r="Q212" s="1366"/>
      <c r="R212" s="1382"/>
      <c r="S212" s="1382"/>
      <c r="W212" s="1383"/>
      <c r="X212" s="1383"/>
    </row>
    <row r="213" spans="2:24" x14ac:dyDescent="0.25">
      <c r="B213" s="1466">
        <v>20</v>
      </c>
      <c r="C213" s="1467">
        <f>NTV20NB</f>
        <v>0</v>
      </c>
      <c r="D213" s="1468">
        <f>NTV20B</f>
        <v>0</v>
      </c>
      <c r="E213" s="1558">
        <f>NTS20NB</f>
        <v>55</v>
      </c>
      <c r="F213" s="1558">
        <f>NTS20B</f>
        <v>55</v>
      </c>
      <c r="G213" s="1449" t="e">
        <f>MAX(1/E213-1/FFSpeedNB, 0)</f>
        <v>#DIV/0!</v>
      </c>
      <c r="H213" s="1450" t="e">
        <f>MAX(1/F213-1/FFSpeedB, 0)</f>
        <v>#DIV/0!</v>
      </c>
      <c r="I213" s="1544" t="e">
        <f>AlphaSTD*MAX(AlphaTTI*(1+FFSpeedNB*G213)^BetaTTI-1,0)^BetaSTD*ImpactedNB/FFSpeedNB*NTRAdj</f>
        <v>#DIV/0!</v>
      </c>
      <c r="J213" s="1546" t="e">
        <f>AlphaSTD*MAX(AlphaTTI*(1+FFSpeedB*H213)^BetaTTI-1,0)^BetaSTD*ImpactedB/FFSpeedB*NTRAdj</f>
        <v>#DIV/0!</v>
      </c>
      <c r="K213" s="1471" t="e">
        <f>IF(OR(TruckLane,Bypass,HOV2to3,HOTConv,OnRamp,RM,AM,IM,TI), C213*I213-D213*J213, MIN(C213,D213)*(I213-J213))*AnnualFactor</f>
        <v>#DIV/0!</v>
      </c>
      <c r="L213" s="1472">
        <f>IF(AND(D213&gt;C213, NOT(OR(TruckLane,Bypass,HOV2to3,HOTConv,OnRamp,RM,AM,IM,TI)),Induced="Y"), (D213-C213)*(I213-J213)*0.5*AnnualFactor, 0)</f>
        <v>0</v>
      </c>
      <c r="M213" s="1453" t="e">
        <f>(K213+L213)*ValTimeTruck*ValRelTruck*IF(IM,ValTimeIMFactor,1)*(1+TTUprater)^($B213+Construct-1)</f>
        <v>#DIV/0!</v>
      </c>
      <c r="N213" s="1454" t="e">
        <f>$M213/(1+DiscRate)^($B213+Construct-1)</f>
        <v>#DIV/0!</v>
      </c>
      <c r="P213" s="1384"/>
      <c r="Q213" s="1366"/>
      <c r="R213" s="1382"/>
      <c r="S213" s="1382"/>
      <c r="W213" s="1383"/>
      <c r="X213" s="1383"/>
    </row>
    <row r="214" spans="2:24" x14ac:dyDescent="0.25">
      <c r="B214" s="1480"/>
      <c r="C214" s="1481"/>
      <c r="D214" s="1481"/>
      <c r="E214" s="1481"/>
      <c r="F214" s="1481"/>
      <c r="G214" s="1482"/>
      <c r="H214" s="1482"/>
      <c r="I214" s="1486"/>
      <c r="J214" s="1486"/>
      <c r="K214" s="1485"/>
      <c r="L214" s="1485"/>
      <c r="M214" s="1486"/>
      <c r="N214" s="1487"/>
      <c r="P214" s="1384"/>
      <c r="Q214" s="1366"/>
      <c r="R214" s="1382"/>
      <c r="S214" s="1382"/>
      <c r="W214" s="1383"/>
      <c r="X214" s="1383"/>
    </row>
    <row r="215" spans="2:24" x14ac:dyDescent="0.25">
      <c r="B215" s="1490">
        <v>2</v>
      </c>
      <c r="C215" s="1460">
        <f>TREND(C212:C213,B212:B213,B215)</f>
        <v>0</v>
      </c>
      <c r="D215" s="1491">
        <f>TREND(D212:D213,B212:B213,B215)</f>
        <v>0</v>
      </c>
      <c r="E215" s="1492">
        <f>TREND(E212:E213,B212:B213,B215)</f>
        <v>55</v>
      </c>
      <c r="F215" s="1493">
        <f>TREND(F212:F213,B212:B213,B215)</f>
        <v>55</v>
      </c>
      <c r="G215" s="1449" t="e">
        <f t="shared" ref="G215:G232" si="79">MAX(1/E215-1/FFSpeedNB, 0)</f>
        <v>#DIV/0!</v>
      </c>
      <c r="H215" s="1450" t="e">
        <f t="shared" ref="H215:H232" si="80">MAX(1/F215-1/FFSpeedB, 0)</f>
        <v>#DIV/0!</v>
      </c>
      <c r="I215" s="1449" t="e">
        <f t="shared" ref="I215:I232" si="81">AlphaSTD*MAX(AlphaTTI*(1+FFSpeedNB*G215)^BetaTTI-1,0)^BetaSTD*ImpactedNB/FFSpeedNB*NTRAdj</f>
        <v>#DIV/0!</v>
      </c>
      <c r="J215" s="1450" t="e">
        <f t="shared" ref="J215:J232" si="82">AlphaSTD*MAX(AlphaTTI*(1+FFSpeedB*H215)^BetaTTI-1,0)^BetaSTD*ImpactedB/FFSpeedB*NTRAdj</f>
        <v>#DIV/0!</v>
      </c>
      <c r="K215" s="1451" t="e">
        <f t="shared" ref="K215:K232" si="83">IF(OR(TruckLane,Bypass,HOV2to3,HOTConv,OnRamp,RM,AM,IM,TI), C215*I215-D215*J215, MIN(C215,D215)*(I215-J215))*AnnualFactor</f>
        <v>#DIV/0!</v>
      </c>
      <c r="L215" s="1452">
        <f t="shared" ref="L215:L232" si="84">IF(AND(D215&gt;C215, NOT(OR(TruckLane,Bypass,HOV2to3,HOTConv,OnRamp,RM,AM,IM,TI)),Induced="Y"), (D215-C215)*(I215-J215)*0.5*AnnualFactor, 0)</f>
        <v>0</v>
      </c>
      <c r="M215" s="1453" t="e">
        <f t="shared" ref="M215:M232" si="85">(K215+L215)*ValTimeTruck*ValRelTruck*IF(IM,ValTimeIMFactor,1)*(1+TTUprater)^($B215+Construct-1)</f>
        <v>#DIV/0!</v>
      </c>
      <c r="N215" s="1454" t="e">
        <f t="shared" ref="N215:N232" si="86">$M215/(1+DiscRate)^($B215+Construct-1)</f>
        <v>#DIV/0!</v>
      </c>
      <c r="P215" s="1384"/>
      <c r="Q215" s="1366"/>
      <c r="R215" s="1382"/>
      <c r="S215" s="1382"/>
      <c r="W215" s="1383"/>
      <c r="X215" s="1383"/>
    </row>
    <row r="216" spans="2:24" x14ac:dyDescent="0.25">
      <c r="B216" s="1444">
        <v>3</v>
      </c>
      <c r="C216" s="1477">
        <f>TREND(C212:C213,B212:B213,B216)</f>
        <v>0</v>
      </c>
      <c r="D216" s="1495">
        <f>TREND(D212:D213,B212:B213,B216)</f>
        <v>0</v>
      </c>
      <c r="E216" s="1496">
        <f>TREND(E212:E213,B212:B213,B216)</f>
        <v>55</v>
      </c>
      <c r="F216" s="1497">
        <f>TREND(F212:F213,B212:B213,B216)</f>
        <v>55</v>
      </c>
      <c r="G216" s="1449" t="e">
        <f t="shared" si="79"/>
        <v>#DIV/0!</v>
      </c>
      <c r="H216" s="1450" t="e">
        <f t="shared" si="80"/>
        <v>#DIV/0!</v>
      </c>
      <c r="I216" s="1449" t="e">
        <f t="shared" si="81"/>
        <v>#DIV/0!</v>
      </c>
      <c r="J216" s="1450" t="e">
        <f t="shared" si="82"/>
        <v>#DIV/0!</v>
      </c>
      <c r="K216" s="1498" t="e">
        <f t="shared" si="83"/>
        <v>#DIV/0!</v>
      </c>
      <c r="L216" s="1499">
        <f t="shared" si="84"/>
        <v>0</v>
      </c>
      <c r="M216" s="1453" t="e">
        <f t="shared" si="85"/>
        <v>#DIV/0!</v>
      </c>
      <c r="N216" s="1454" t="e">
        <f t="shared" si="86"/>
        <v>#DIV/0!</v>
      </c>
      <c r="P216" s="1384"/>
      <c r="Q216" s="1366"/>
      <c r="R216" s="1382"/>
      <c r="S216" s="1382"/>
      <c r="W216" s="1383"/>
      <c r="X216" s="1383"/>
    </row>
    <row r="217" spans="2:24" x14ac:dyDescent="0.25">
      <c r="B217" s="1444">
        <v>4</v>
      </c>
      <c r="C217" s="1477">
        <f>TREND(C212:C213,B212:B213,B217)</f>
        <v>0</v>
      </c>
      <c r="D217" s="1495">
        <f>TREND(D212:D213,B212:B213,B217)</f>
        <v>0</v>
      </c>
      <c r="E217" s="1496">
        <f>TREND(E212:E213,B212:B213,B217)</f>
        <v>55</v>
      </c>
      <c r="F217" s="1497">
        <f>TREND(F212:F213,B212:B213,B217)</f>
        <v>55</v>
      </c>
      <c r="G217" s="1449" t="e">
        <f t="shared" si="79"/>
        <v>#DIV/0!</v>
      </c>
      <c r="H217" s="1450" t="e">
        <f t="shared" si="80"/>
        <v>#DIV/0!</v>
      </c>
      <c r="I217" s="1449" t="e">
        <f t="shared" si="81"/>
        <v>#DIV/0!</v>
      </c>
      <c r="J217" s="1450" t="e">
        <f t="shared" si="82"/>
        <v>#DIV/0!</v>
      </c>
      <c r="K217" s="1498" t="e">
        <f t="shared" si="83"/>
        <v>#DIV/0!</v>
      </c>
      <c r="L217" s="1499">
        <f t="shared" si="84"/>
        <v>0</v>
      </c>
      <c r="M217" s="1453" t="e">
        <f t="shared" si="85"/>
        <v>#DIV/0!</v>
      </c>
      <c r="N217" s="1454" t="e">
        <f t="shared" si="86"/>
        <v>#DIV/0!</v>
      </c>
      <c r="P217" s="1384"/>
      <c r="Q217" s="1366"/>
      <c r="R217" s="1382"/>
      <c r="S217" s="1382"/>
      <c r="W217" s="1383"/>
      <c r="X217" s="1383"/>
    </row>
    <row r="218" spans="2:24" x14ac:dyDescent="0.25">
      <c r="B218" s="1444">
        <v>5</v>
      </c>
      <c r="C218" s="1477">
        <f>TREND(C212:C213,B212:B213,B218)</f>
        <v>0</v>
      </c>
      <c r="D218" s="1495">
        <f>TREND(D212:D213,B212:B213,B218)</f>
        <v>0</v>
      </c>
      <c r="E218" s="1496">
        <f>TREND(E212:E213,B212:B213,B218)</f>
        <v>55</v>
      </c>
      <c r="F218" s="1497">
        <f>TREND(F212:F213,B212:B213,B218)</f>
        <v>55</v>
      </c>
      <c r="G218" s="1449" t="e">
        <f t="shared" si="79"/>
        <v>#DIV/0!</v>
      </c>
      <c r="H218" s="1450" t="e">
        <f t="shared" si="80"/>
        <v>#DIV/0!</v>
      </c>
      <c r="I218" s="1449" t="e">
        <f t="shared" si="81"/>
        <v>#DIV/0!</v>
      </c>
      <c r="J218" s="1450" t="e">
        <f t="shared" si="82"/>
        <v>#DIV/0!</v>
      </c>
      <c r="K218" s="1498" t="e">
        <f t="shared" si="83"/>
        <v>#DIV/0!</v>
      </c>
      <c r="L218" s="1499">
        <f t="shared" si="84"/>
        <v>0</v>
      </c>
      <c r="M218" s="1453" t="e">
        <f t="shared" si="85"/>
        <v>#DIV/0!</v>
      </c>
      <c r="N218" s="1454" t="e">
        <f t="shared" si="86"/>
        <v>#DIV/0!</v>
      </c>
      <c r="P218" s="1384"/>
      <c r="Q218" s="1366"/>
      <c r="R218" s="1382"/>
      <c r="S218" s="1382"/>
      <c r="W218" s="1383"/>
      <c r="X218" s="1383"/>
    </row>
    <row r="219" spans="2:24" x14ac:dyDescent="0.25">
      <c r="B219" s="1444">
        <v>6</v>
      </c>
      <c r="C219" s="1477">
        <f>TREND(C212:C213,B212:B213,B219)</f>
        <v>0</v>
      </c>
      <c r="D219" s="1495">
        <f>TREND(D212:D213,B212:B213,B219)</f>
        <v>0</v>
      </c>
      <c r="E219" s="1496">
        <f>TREND(E212:E213,B212:B213,B219)</f>
        <v>55</v>
      </c>
      <c r="F219" s="1497">
        <f>TREND(F212:F213,B212:B213,B219)</f>
        <v>55</v>
      </c>
      <c r="G219" s="1449" t="e">
        <f t="shared" si="79"/>
        <v>#DIV/0!</v>
      </c>
      <c r="H219" s="1450" t="e">
        <f t="shared" si="80"/>
        <v>#DIV/0!</v>
      </c>
      <c r="I219" s="1449" t="e">
        <f t="shared" si="81"/>
        <v>#DIV/0!</v>
      </c>
      <c r="J219" s="1450" t="e">
        <f t="shared" si="82"/>
        <v>#DIV/0!</v>
      </c>
      <c r="K219" s="1498" t="e">
        <f t="shared" si="83"/>
        <v>#DIV/0!</v>
      </c>
      <c r="L219" s="1499">
        <f t="shared" si="84"/>
        <v>0</v>
      </c>
      <c r="M219" s="1453" t="e">
        <f t="shared" si="85"/>
        <v>#DIV/0!</v>
      </c>
      <c r="N219" s="1454" t="e">
        <f t="shared" si="86"/>
        <v>#DIV/0!</v>
      </c>
      <c r="P219" s="1384"/>
      <c r="Q219" s="1366"/>
      <c r="R219" s="1382"/>
      <c r="S219" s="1382"/>
      <c r="W219" s="1383"/>
      <c r="X219" s="1383"/>
    </row>
    <row r="220" spans="2:24" x14ac:dyDescent="0.25">
      <c r="B220" s="1444">
        <v>7</v>
      </c>
      <c r="C220" s="1477">
        <f>TREND(C212:C213,B212:B213,B220)</f>
        <v>0</v>
      </c>
      <c r="D220" s="1495">
        <f>TREND(D212:D213,B212:B213,B220)</f>
        <v>0</v>
      </c>
      <c r="E220" s="1496">
        <f>TREND(E212:E213,B212:B213,B220)</f>
        <v>55</v>
      </c>
      <c r="F220" s="1497">
        <f>TREND(F212:F213,B212:B213,B220)</f>
        <v>55</v>
      </c>
      <c r="G220" s="1449" t="e">
        <f t="shared" si="79"/>
        <v>#DIV/0!</v>
      </c>
      <c r="H220" s="1450" t="e">
        <f t="shared" si="80"/>
        <v>#DIV/0!</v>
      </c>
      <c r="I220" s="1449" t="e">
        <f t="shared" si="81"/>
        <v>#DIV/0!</v>
      </c>
      <c r="J220" s="1450" t="e">
        <f t="shared" si="82"/>
        <v>#DIV/0!</v>
      </c>
      <c r="K220" s="1498" t="e">
        <f t="shared" si="83"/>
        <v>#DIV/0!</v>
      </c>
      <c r="L220" s="1499">
        <f t="shared" si="84"/>
        <v>0</v>
      </c>
      <c r="M220" s="1453" t="e">
        <f t="shared" si="85"/>
        <v>#DIV/0!</v>
      </c>
      <c r="N220" s="1454" t="e">
        <f t="shared" si="86"/>
        <v>#DIV/0!</v>
      </c>
      <c r="P220" s="1384"/>
      <c r="Q220" s="1366"/>
      <c r="R220" s="1382"/>
      <c r="S220" s="1382"/>
      <c r="W220" s="1383"/>
      <c r="X220" s="1383"/>
    </row>
    <row r="221" spans="2:24" x14ac:dyDescent="0.25">
      <c r="B221" s="1444">
        <v>8</v>
      </c>
      <c r="C221" s="1477">
        <f>TREND(C212:C213,B212:B213,B221)</f>
        <v>0</v>
      </c>
      <c r="D221" s="1495">
        <f>TREND(D212:D213,B212:B213,B221)</f>
        <v>0</v>
      </c>
      <c r="E221" s="1496">
        <f>TREND(E212:E213,B212:B213,B221)</f>
        <v>55</v>
      </c>
      <c r="F221" s="1497">
        <f>TREND(F212:F213,B212:B213,B221)</f>
        <v>55</v>
      </c>
      <c r="G221" s="1449" t="e">
        <f t="shared" si="79"/>
        <v>#DIV/0!</v>
      </c>
      <c r="H221" s="1450" t="e">
        <f t="shared" si="80"/>
        <v>#DIV/0!</v>
      </c>
      <c r="I221" s="1449" t="e">
        <f t="shared" si="81"/>
        <v>#DIV/0!</v>
      </c>
      <c r="J221" s="1450" t="e">
        <f t="shared" si="82"/>
        <v>#DIV/0!</v>
      </c>
      <c r="K221" s="1498" t="e">
        <f t="shared" si="83"/>
        <v>#DIV/0!</v>
      </c>
      <c r="L221" s="1499">
        <f t="shared" si="84"/>
        <v>0</v>
      </c>
      <c r="M221" s="1453" t="e">
        <f t="shared" si="85"/>
        <v>#DIV/0!</v>
      </c>
      <c r="N221" s="1454" t="e">
        <f t="shared" si="86"/>
        <v>#DIV/0!</v>
      </c>
      <c r="P221" s="1384"/>
      <c r="Q221" s="1366"/>
      <c r="R221" s="1382"/>
      <c r="S221" s="1382"/>
      <c r="W221" s="1383"/>
      <c r="X221" s="1383"/>
    </row>
    <row r="222" spans="2:24" x14ac:dyDescent="0.25">
      <c r="B222" s="1444">
        <v>9</v>
      </c>
      <c r="C222" s="1477">
        <f>TREND(C212:C213,B212:B213,B222)</f>
        <v>0</v>
      </c>
      <c r="D222" s="1495">
        <f>TREND(D212:D213,B212:B213,B222)</f>
        <v>0</v>
      </c>
      <c r="E222" s="1496">
        <f>TREND(E212:E213,B212:B213,B222)</f>
        <v>55</v>
      </c>
      <c r="F222" s="1497">
        <f>TREND(F212:F213,B212:B213,B222)</f>
        <v>55</v>
      </c>
      <c r="G222" s="1449" t="e">
        <f t="shared" si="79"/>
        <v>#DIV/0!</v>
      </c>
      <c r="H222" s="1450" t="e">
        <f t="shared" si="80"/>
        <v>#DIV/0!</v>
      </c>
      <c r="I222" s="1449" t="e">
        <f t="shared" si="81"/>
        <v>#DIV/0!</v>
      </c>
      <c r="J222" s="1450" t="e">
        <f t="shared" si="82"/>
        <v>#DIV/0!</v>
      </c>
      <c r="K222" s="1498" t="e">
        <f t="shared" si="83"/>
        <v>#DIV/0!</v>
      </c>
      <c r="L222" s="1499">
        <f t="shared" si="84"/>
        <v>0</v>
      </c>
      <c r="M222" s="1453" t="e">
        <f t="shared" si="85"/>
        <v>#DIV/0!</v>
      </c>
      <c r="N222" s="1454" t="e">
        <f t="shared" si="86"/>
        <v>#DIV/0!</v>
      </c>
      <c r="P222" s="1384"/>
      <c r="Q222" s="1366"/>
      <c r="R222" s="1382"/>
      <c r="S222" s="1382"/>
      <c r="W222" s="1383"/>
      <c r="X222" s="1383"/>
    </row>
    <row r="223" spans="2:24" x14ac:dyDescent="0.25">
      <c r="B223" s="1444">
        <v>10</v>
      </c>
      <c r="C223" s="1477">
        <f>TREND(C212:C213,B212:B213,B223)</f>
        <v>0</v>
      </c>
      <c r="D223" s="1495">
        <f>TREND(D212:D213,B212:B213,B223)</f>
        <v>0</v>
      </c>
      <c r="E223" s="1496">
        <f>TREND(E212:E213,B212:B213,B223)</f>
        <v>55</v>
      </c>
      <c r="F223" s="1497">
        <f>TREND(F212:F213,B212:B213,B223)</f>
        <v>55</v>
      </c>
      <c r="G223" s="1449" t="e">
        <f t="shared" si="79"/>
        <v>#DIV/0!</v>
      </c>
      <c r="H223" s="1450" t="e">
        <f t="shared" si="80"/>
        <v>#DIV/0!</v>
      </c>
      <c r="I223" s="1449" t="e">
        <f t="shared" si="81"/>
        <v>#DIV/0!</v>
      </c>
      <c r="J223" s="1450" t="e">
        <f t="shared" si="82"/>
        <v>#DIV/0!</v>
      </c>
      <c r="K223" s="1498" t="e">
        <f t="shared" si="83"/>
        <v>#DIV/0!</v>
      </c>
      <c r="L223" s="1499">
        <f t="shared" si="84"/>
        <v>0</v>
      </c>
      <c r="M223" s="1453" t="e">
        <f t="shared" si="85"/>
        <v>#DIV/0!</v>
      </c>
      <c r="N223" s="1454" t="e">
        <f t="shared" si="86"/>
        <v>#DIV/0!</v>
      </c>
      <c r="P223" s="1384"/>
      <c r="Q223" s="1366"/>
      <c r="R223" s="1382"/>
      <c r="S223" s="1382"/>
      <c r="W223" s="1383"/>
      <c r="X223" s="1383"/>
    </row>
    <row r="224" spans="2:24" x14ac:dyDescent="0.25">
      <c r="B224" s="1444">
        <v>11</v>
      </c>
      <c r="C224" s="1477">
        <f>TREND(C212:C213,B212:B213,B224)</f>
        <v>0</v>
      </c>
      <c r="D224" s="1495">
        <f>TREND(D212:D213,B212:B213,B224)</f>
        <v>0</v>
      </c>
      <c r="E224" s="1496">
        <f>TREND(E212:E213,B212:B213,B224)</f>
        <v>55</v>
      </c>
      <c r="F224" s="1497">
        <f>TREND(F212:F213,B212:B213,B224)</f>
        <v>55</v>
      </c>
      <c r="G224" s="1449" t="e">
        <f t="shared" si="79"/>
        <v>#DIV/0!</v>
      </c>
      <c r="H224" s="1450" t="e">
        <f t="shared" si="80"/>
        <v>#DIV/0!</v>
      </c>
      <c r="I224" s="1449" t="e">
        <f t="shared" si="81"/>
        <v>#DIV/0!</v>
      </c>
      <c r="J224" s="1450" t="e">
        <f t="shared" si="82"/>
        <v>#DIV/0!</v>
      </c>
      <c r="K224" s="1498" t="e">
        <f t="shared" si="83"/>
        <v>#DIV/0!</v>
      </c>
      <c r="L224" s="1499">
        <f t="shared" si="84"/>
        <v>0</v>
      </c>
      <c r="M224" s="1453" t="e">
        <f t="shared" si="85"/>
        <v>#DIV/0!</v>
      </c>
      <c r="N224" s="1454" t="e">
        <f t="shared" si="86"/>
        <v>#DIV/0!</v>
      </c>
      <c r="P224" s="1384"/>
      <c r="Q224" s="1366"/>
      <c r="R224" s="1382"/>
      <c r="S224" s="1382"/>
      <c r="W224" s="1383"/>
      <c r="X224" s="1383"/>
    </row>
    <row r="225" spans="2:29" x14ac:dyDescent="0.25">
      <c r="B225" s="1444">
        <v>12</v>
      </c>
      <c r="C225" s="1477">
        <f>TREND(C212:C213,B212:B213,B225)</f>
        <v>0</v>
      </c>
      <c r="D225" s="1495">
        <f>TREND(D212:D213,B212:B213,B225)</f>
        <v>0</v>
      </c>
      <c r="E225" s="1496">
        <f>TREND(E212:E213,B212:B213,B225)</f>
        <v>55</v>
      </c>
      <c r="F225" s="1497">
        <f>TREND(F212:F213,B212:B213,B225)</f>
        <v>55</v>
      </c>
      <c r="G225" s="1449" t="e">
        <f t="shared" si="79"/>
        <v>#DIV/0!</v>
      </c>
      <c r="H225" s="1450" t="e">
        <f t="shared" si="80"/>
        <v>#DIV/0!</v>
      </c>
      <c r="I225" s="1449" t="e">
        <f t="shared" si="81"/>
        <v>#DIV/0!</v>
      </c>
      <c r="J225" s="1450" t="e">
        <f t="shared" si="82"/>
        <v>#DIV/0!</v>
      </c>
      <c r="K225" s="1498" t="e">
        <f t="shared" si="83"/>
        <v>#DIV/0!</v>
      </c>
      <c r="L225" s="1499">
        <f t="shared" si="84"/>
        <v>0</v>
      </c>
      <c r="M225" s="1453" t="e">
        <f t="shared" si="85"/>
        <v>#DIV/0!</v>
      </c>
      <c r="N225" s="1454" t="e">
        <f t="shared" si="86"/>
        <v>#DIV/0!</v>
      </c>
      <c r="P225" s="1384"/>
      <c r="Q225" s="1366"/>
      <c r="R225" s="1382"/>
      <c r="S225" s="1382"/>
      <c r="W225" s="1383"/>
      <c r="X225" s="1383"/>
    </row>
    <row r="226" spans="2:29" x14ac:dyDescent="0.25">
      <c r="B226" s="1444">
        <v>13</v>
      </c>
      <c r="C226" s="1477">
        <f>TREND(C212:C213,B212:B213,B226)</f>
        <v>0</v>
      </c>
      <c r="D226" s="1495">
        <f>TREND(D212:D213,B212:B213,B226)</f>
        <v>0</v>
      </c>
      <c r="E226" s="1496">
        <f>TREND(E212:E213,B212:B213,B226)</f>
        <v>55</v>
      </c>
      <c r="F226" s="1497">
        <f>TREND(F212:F213,B212:B213,B226)</f>
        <v>55</v>
      </c>
      <c r="G226" s="1449" t="e">
        <f t="shared" si="79"/>
        <v>#DIV/0!</v>
      </c>
      <c r="H226" s="1450" t="e">
        <f t="shared" si="80"/>
        <v>#DIV/0!</v>
      </c>
      <c r="I226" s="1449" t="e">
        <f t="shared" si="81"/>
        <v>#DIV/0!</v>
      </c>
      <c r="J226" s="1450" t="e">
        <f t="shared" si="82"/>
        <v>#DIV/0!</v>
      </c>
      <c r="K226" s="1498" t="e">
        <f t="shared" si="83"/>
        <v>#DIV/0!</v>
      </c>
      <c r="L226" s="1499">
        <f t="shared" si="84"/>
        <v>0</v>
      </c>
      <c r="M226" s="1453" t="e">
        <f t="shared" si="85"/>
        <v>#DIV/0!</v>
      </c>
      <c r="N226" s="1454" t="e">
        <f t="shared" si="86"/>
        <v>#DIV/0!</v>
      </c>
      <c r="P226" s="1384"/>
      <c r="Q226" s="1366"/>
      <c r="R226" s="1382"/>
      <c r="S226" s="1382"/>
      <c r="W226" s="1383"/>
      <c r="X226" s="1383"/>
    </row>
    <row r="227" spans="2:29" x14ac:dyDescent="0.25">
      <c r="B227" s="1444">
        <v>14</v>
      </c>
      <c r="C227" s="1477">
        <f>TREND(C212:C213,B212:B213,B227)</f>
        <v>0</v>
      </c>
      <c r="D227" s="1495">
        <f>TREND(D212:D213,B212:B213,B227)</f>
        <v>0</v>
      </c>
      <c r="E227" s="1496">
        <f>TREND(E212:E213,B212:B213,B227)</f>
        <v>55</v>
      </c>
      <c r="F227" s="1497">
        <f>TREND(F212:F213,B212:B213,B227)</f>
        <v>55</v>
      </c>
      <c r="G227" s="1449" t="e">
        <f t="shared" si="79"/>
        <v>#DIV/0!</v>
      </c>
      <c r="H227" s="1450" t="e">
        <f t="shared" si="80"/>
        <v>#DIV/0!</v>
      </c>
      <c r="I227" s="1449" t="e">
        <f t="shared" si="81"/>
        <v>#DIV/0!</v>
      </c>
      <c r="J227" s="1450" t="e">
        <f t="shared" si="82"/>
        <v>#DIV/0!</v>
      </c>
      <c r="K227" s="1498" t="e">
        <f t="shared" si="83"/>
        <v>#DIV/0!</v>
      </c>
      <c r="L227" s="1499">
        <f t="shared" si="84"/>
        <v>0</v>
      </c>
      <c r="M227" s="1453" t="e">
        <f t="shared" si="85"/>
        <v>#DIV/0!</v>
      </c>
      <c r="N227" s="1454" t="e">
        <f t="shared" si="86"/>
        <v>#DIV/0!</v>
      </c>
      <c r="P227" s="1384"/>
      <c r="Q227" s="1366"/>
      <c r="R227" s="1382"/>
      <c r="S227" s="1382"/>
      <c r="W227" s="1383"/>
      <c r="X227" s="1383"/>
    </row>
    <row r="228" spans="2:29" x14ac:dyDescent="0.25">
      <c r="B228" s="1444">
        <v>15</v>
      </c>
      <c r="C228" s="1477">
        <f>TREND(C212:C213,B212:B213,B228)</f>
        <v>0</v>
      </c>
      <c r="D228" s="1495">
        <f>TREND(D212:D213,B212:B213,B228)</f>
        <v>0</v>
      </c>
      <c r="E228" s="1496">
        <f>TREND(E212:E213,B212:B213,B228)</f>
        <v>55</v>
      </c>
      <c r="F228" s="1497">
        <f>TREND(F212:F213,B212:B213,B228)</f>
        <v>55</v>
      </c>
      <c r="G228" s="1449" t="e">
        <f t="shared" si="79"/>
        <v>#DIV/0!</v>
      </c>
      <c r="H228" s="1450" t="e">
        <f t="shared" si="80"/>
        <v>#DIV/0!</v>
      </c>
      <c r="I228" s="1449" t="e">
        <f t="shared" si="81"/>
        <v>#DIV/0!</v>
      </c>
      <c r="J228" s="1450" t="e">
        <f t="shared" si="82"/>
        <v>#DIV/0!</v>
      </c>
      <c r="K228" s="1498" t="e">
        <f t="shared" si="83"/>
        <v>#DIV/0!</v>
      </c>
      <c r="L228" s="1499">
        <f t="shared" si="84"/>
        <v>0</v>
      </c>
      <c r="M228" s="1453" t="e">
        <f t="shared" si="85"/>
        <v>#DIV/0!</v>
      </c>
      <c r="N228" s="1454" t="e">
        <f t="shared" si="86"/>
        <v>#DIV/0!</v>
      </c>
      <c r="P228" s="1384"/>
      <c r="Q228" s="1366"/>
      <c r="R228" s="1382"/>
      <c r="S228" s="1382"/>
      <c r="W228" s="1383"/>
      <c r="X228" s="1383"/>
    </row>
    <row r="229" spans="2:29" x14ac:dyDescent="0.25">
      <c r="B229" s="1444">
        <v>16</v>
      </c>
      <c r="C229" s="1477">
        <f>TREND(C212:C213,B212:B213,B229)</f>
        <v>0</v>
      </c>
      <c r="D229" s="1495">
        <f>TREND(D212:D213,B212:B213,B229)</f>
        <v>0</v>
      </c>
      <c r="E229" s="1496">
        <f>TREND(E212:E213,B212:B213,B229)</f>
        <v>55</v>
      </c>
      <c r="F229" s="1497">
        <f>TREND(F212:F213,B212:B213,B229)</f>
        <v>55</v>
      </c>
      <c r="G229" s="1449" t="e">
        <f t="shared" si="79"/>
        <v>#DIV/0!</v>
      </c>
      <c r="H229" s="1450" t="e">
        <f t="shared" si="80"/>
        <v>#DIV/0!</v>
      </c>
      <c r="I229" s="1449" t="e">
        <f t="shared" si="81"/>
        <v>#DIV/0!</v>
      </c>
      <c r="J229" s="1450" t="e">
        <f t="shared" si="82"/>
        <v>#DIV/0!</v>
      </c>
      <c r="K229" s="1498" t="e">
        <f t="shared" si="83"/>
        <v>#DIV/0!</v>
      </c>
      <c r="L229" s="1499">
        <f t="shared" si="84"/>
        <v>0</v>
      </c>
      <c r="M229" s="1453" t="e">
        <f t="shared" si="85"/>
        <v>#DIV/0!</v>
      </c>
      <c r="N229" s="1454" t="e">
        <f t="shared" si="86"/>
        <v>#DIV/0!</v>
      </c>
      <c r="P229" s="1384"/>
      <c r="Q229" s="1366"/>
      <c r="R229" s="1382"/>
      <c r="S229" s="1382"/>
      <c r="W229" s="1383"/>
      <c r="X229" s="1383"/>
    </row>
    <row r="230" spans="2:29" x14ac:dyDescent="0.25">
      <c r="B230" s="1444">
        <v>17</v>
      </c>
      <c r="C230" s="1477">
        <f>TREND(C212:C213,B212:B213,B230)</f>
        <v>0</v>
      </c>
      <c r="D230" s="1495">
        <f>TREND(D212:D213,B212:B213,B230)</f>
        <v>0</v>
      </c>
      <c r="E230" s="1496">
        <f>TREND(E212:E213,B212:B213,B230)</f>
        <v>55</v>
      </c>
      <c r="F230" s="1497">
        <f>TREND(F212:F213,B212:B213,B230)</f>
        <v>55</v>
      </c>
      <c r="G230" s="1449" t="e">
        <f t="shared" si="79"/>
        <v>#DIV/0!</v>
      </c>
      <c r="H230" s="1450" t="e">
        <f t="shared" si="80"/>
        <v>#DIV/0!</v>
      </c>
      <c r="I230" s="1449" t="e">
        <f t="shared" si="81"/>
        <v>#DIV/0!</v>
      </c>
      <c r="J230" s="1450" t="e">
        <f t="shared" si="82"/>
        <v>#DIV/0!</v>
      </c>
      <c r="K230" s="1498" t="e">
        <f t="shared" si="83"/>
        <v>#DIV/0!</v>
      </c>
      <c r="L230" s="1499">
        <f t="shared" si="84"/>
        <v>0</v>
      </c>
      <c r="M230" s="1453" t="e">
        <f t="shared" si="85"/>
        <v>#DIV/0!</v>
      </c>
      <c r="N230" s="1454" t="e">
        <f t="shared" si="86"/>
        <v>#DIV/0!</v>
      </c>
      <c r="P230" s="1384"/>
      <c r="Q230" s="1366"/>
      <c r="R230" s="1382"/>
      <c r="S230" s="1382"/>
      <c r="W230" s="1383"/>
      <c r="X230" s="1383"/>
    </row>
    <row r="231" spans="2:29" x14ac:dyDescent="0.25">
      <c r="B231" s="1444">
        <v>18</v>
      </c>
      <c r="C231" s="1477">
        <f>TREND(C212:C213,B212:B213,B231)</f>
        <v>0</v>
      </c>
      <c r="D231" s="1495">
        <f>TREND(D212:D213,B212:B213,B231)</f>
        <v>0</v>
      </c>
      <c r="E231" s="1496">
        <f>TREND(E212:E213,B212:B213,B231)</f>
        <v>55</v>
      </c>
      <c r="F231" s="1497">
        <f>TREND(F212:F213,B212:B213,B231)</f>
        <v>55</v>
      </c>
      <c r="G231" s="1449" t="e">
        <f t="shared" si="79"/>
        <v>#DIV/0!</v>
      </c>
      <c r="H231" s="1450" t="e">
        <f t="shared" si="80"/>
        <v>#DIV/0!</v>
      </c>
      <c r="I231" s="1449" t="e">
        <f t="shared" si="81"/>
        <v>#DIV/0!</v>
      </c>
      <c r="J231" s="1450" t="e">
        <f t="shared" si="82"/>
        <v>#DIV/0!</v>
      </c>
      <c r="K231" s="1498" t="e">
        <f t="shared" si="83"/>
        <v>#DIV/0!</v>
      </c>
      <c r="L231" s="1499">
        <f t="shared" si="84"/>
        <v>0</v>
      </c>
      <c r="M231" s="1453" t="e">
        <f t="shared" si="85"/>
        <v>#DIV/0!</v>
      </c>
      <c r="N231" s="1454" t="e">
        <f t="shared" si="86"/>
        <v>#DIV/0!</v>
      </c>
      <c r="P231" s="1384"/>
      <c r="Q231" s="1366"/>
      <c r="R231" s="1382"/>
      <c r="S231" s="1382"/>
      <c r="W231" s="1383"/>
      <c r="X231" s="1383"/>
    </row>
    <row r="232" spans="2:29" x14ac:dyDescent="0.25">
      <c r="B232" s="1504">
        <v>19</v>
      </c>
      <c r="C232" s="1505">
        <f>TREND(C212:C213,B212:B213,B232)</f>
        <v>0</v>
      </c>
      <c r="D232" s="1506">
        <f>TREND(D212:D213,B212:B213,B232)</f>
        <v>0</v>
      </c>
      <c r="E232" s="1507">
        <f>TREND(E212:E213,B212:B213,B232)</f>
        <v>55</v>
      </c>
      <c r="F232" s="1508">
        <f>TREND(F212:F213,B212:B213,B232)</f>
        <v>55</v>
      </c>
      <c r="G232" s="1449" t="e">
        <f t="shared" si="79"/>
        <v>#DIV/0!</v>
      </c>
      <c r="H232" s="1450" t="e">
        <f t="shared" si="80"/>
        <v>#DIV/0!</v>
      </c>
      <c r="I232" s="1449" t="e">
        <f t="shared" si="81"/>
        <v>#DIV/0!</v>
      </c>
      <c r="J232" s="1450" t="e">
        <f t="shared" si="82"/>
        <v>#DIV/0!</v>
      </c>
      <c r="K232" s="1471" t="e">
        <f t="shared" si="83"/>
        <v>#DIV/0!</v>
      </c>
      <c r="L232" s="1499">
        <f t="shared" si="84"/>
        <v>0</v>
      </c>
      <c r="M232" s="1453" t="e">
        <f t="shared" si="85"/>
        <v>#DIV/0!</v>
      </c>
      <c r="N232" s="1454" t="e">
        <f t="shared" si="86"/>
        <v>#DIV/0!</v>
      </c>
      <c r="P232" s="1384"/>
      <c r="Q232" s="1366"/>
      <c r="R232" s="1382"/>
      <c r="S232" s="1382"/>
      <c r="W232" s="1383"/>
      <c r="X232" s="1383"/>
    </row>
    <row r="233" spans="2:29" x14ac:dyDescent="0.25">
      <c r="B233" s="1480"/>
      <c r="C233" s="1481"/>
      <c r="D233" s="1481"/>
      <c r="E233" s="1481"/>
      <c r="F233" s="1481"/>
      <c r="G233" s="1481"/>
      <c r="H233" s="1481"/>
      <c r="I233" s="1486"/>
      <c r="J233" s="1486"/>
      <c r="K233" s="1486"/>
      <c r="L233" s="1486"/>
      <c r="M233" s="1486"/>
      <c r="N233" s="1487"/>
      <c r="P233" s="1384"/>
      <c r="Q233" s="1366"/>
      <c r="R233" s="1382"/>
      <c r="S233" s="1382"/>
      <c r="W233" s="1383"/>
      <c r="X233" s="1383"/>
    </row>
    <row r="234" spans="2:29" ht="13" x14ac:dyDescent="0.25">
      <c r="B234" s="329" t="s">
        <v>172</v>
      </c>
      <c r="C234" s="1513"/>
      <c r="D234" s="1514"/>
      <c r="E234" s="1514"/>
      <c r="F234" s="1514"/>
      <c r="G234" s="1514"/>
      <c r="H234" s="1514"/>
      <c r="I234" s="1514"/>
      <c r="J234" s="1514"/>
      <c r="K234" s="1514"/>
      <c r="L234" s="1514"/>
      <c r="M234" s="1514"/>
      <c r="N234" s="342" t="e">
        <f>SUM(N212:N232)</f>
        <v>#DIV/0!</v>
      </c>
      <c r="P234" s="1384"/>
      <c r="Q234" s="1366"/>
      <c r="R234" s="1382"/>
      <c r="S234" s="1382"/>
      <c r="W234" s="1383"/>
      <c r="X234" s="1383"/>
    </row>
    <row r="235" spans="2:29" x14ac:dyDescent="0.25">
      <c r="G235" s="1383"/>
      <c r="H235" s="1383"/>
      <c r="I235" s="1384"/>
      <c r="K235" s="1366"/>
      <c r="O235" s="1384"/>
      <c r="P235" s="1384"/>
      <c r="Q235" s="1366"/>
      <c r="R235" s="1382"/>
      <c r="S235" s="1382"/>
      <c r="W235" s="1383"/>
      <c r="X235" s="1383"/>
      <c r="AB235" s="1552"/>
      <c r="AC235" s="1384"/>
    </row>
    <row r="236" spans="2:29" x14ac:dyDescent="0.25">
      <c r="G236" s="1383"/>
      <c r="H236" s="1383"/>
      <c r="I236" s="1384"/>
      <c r="K236" s="1366"/>
      <c r="O236" s="1384"/>
      <c r="P236" s="1384"/>
      <c r="Q236" s="1366"/>
      <c r="R236" s="1382"/>
      <c r="S236" s="1382"/>
      <c r="W236" s="1383"/>
      <c r="X236" s="1383"/>
      <c r="AB236" s="1384"/>
      <c r="AC236" s="1384"/>
    </row>
    <row r="237" spans="2:29" x14ac:dyDescent="0.25">
      <c r="G237" s="1383"/>
      <c r="H237" s="1383"/>
      <c r="I237" s="1384"/>
      <c r="K237" s="1366"/>
      <c r="O237" s="1384"/>
      <c r="P237" s="1384"/>
      <c r="Q237" s="1366"/>
      <c r="R237" s="1382"/>
      <c r="S237" s="1382"/>
      <c r="W237" s="1383"/>
      <c r="X237" s="1383"/>
      <c r="AB237" s="1384"/>
      <c r="AC237" s="1384"/>
    </row>
    <row r="238" spans="2:29" x14ac:dyDescent="0.25">
      <c r="G238" s="1383"/>
      <c r="H238" s="1383"/>
      <c r="I238" s="1384"/>
      <c r="K238" s="1559" t="s">
        <v>176</v>
      </c>
      <c r="L238" s="1560"/>
      <c r="M238" s="194"/>
      <c r="N238" s="1561"/>
      <c r="P238" s="1384"/>
      <c r="Q238" s="1366"/>
      <c r="R238" s="1382"/>
      <c r="S238" s="1382"/>
      <c r="W238" s="1383"/>
      <c r="X238" s="1383"/>
    </row>
    <row r="239" spans="2:29" x14ac:dyDescent="0.25">
      <c r="G239" s="1383"/>
      <c r="H239" s="1383"/>
      <c r="I239" s="1384"/>
      <c r="K239" s="1562"/>
      <c r="L239" s="1563" t="s">
        <v>256</v>
      </c>
      <c r="M239" s="1563"/>
      <c r="N239" s="1564"/>
      <c r="P239" s="1384"/>
      <c r="Q239" s="1366"/>
      <c r="R239" s="1382"/>
      <c r="S239" s="1382"/>
      <c r="W239" s="1383"/>
      <c r="X239" s="1383"/>
    </row>
    <row r="240" spans="2:29" x14ac:dyDescent="0.25">
      <c r="G240" s="1383"/>
      <c r="H240" s="1383"/>
      <c r="I240" s="1384"/>
      <c r="K240" s="1366"/>
      <c r="O240" s="1384"/>
      <c r="P240" s="1384"/>
      <c r="Q240" s="1366"/>
      <c r="R240" s="1382"/>
      <c r="S240" s="1382"/>
      <c r="W240" s="1383"/>
      <c r="X240" s="1383"/>
      <c r="AB240" s="1384"/>
      <c r="AC240" s="1384"/>
    </row>
    <row r="241" spans="7:33" x14ac:dyDescent="0.25">
      <c r="G241" s="1383"/>
      <c r="H241" s="1383"/>
      <c r="I241" s="1383"/>
      <c r="J241" s="1383"/>
      <c r="K241" s="1383"/>
      <c r="L241" s="1383"/>
      <c r="P241" s="1384"/>
      <c r="Q241" s="1384"/>
      <c r="R241" s="1384"/>
      <c r="S241" s="1384"/>
      <c r="T241" s="1384"/>
      <c r="U241" s="1366"/>
      <c r="V241" s="1382"/>
      <c r="W241" s="1382"/>
      <c r="X241" s="1383"/>
      <c r="Y241" s="1383"/>
      <c r="Z241" s="1383"/>
      <c r="AA241" s="1383"/>
      <c r="AB241" s="1383"/>
      <c r="AC241" s="1384"/>
      <c r="AD241" s="1384"/>
      <c r="AE241" s="1384"/>
      <c r="AF241" s="1384"/>
      <c r="AG241" s="1384"/>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M268"/>
  <sheetViews>
    <sheetView showGridLines="0" zoomScale="65" zoomScaleNormal="65" workbookViewId="0"/>
  </sheetViews>
  <sheetFormatPr defaultColWidth="9.1796875" defaultRowHeight="12.5" x14ac:dyDescent="0.25"/>
  <cols>
    <col min="1" max="1" width="9.1796875" style="1"/>
    <col min="2" max="2" width="7.7265625" style="111" customWidth="1"/>
    <col min="3" max="3" width="14.7265625" style="111" customWidth="1"/>
    <col min="4" max="6" width="14.7265625" style="280" customWidth="1"/>
    <col min="7" max="7" width="14.7265625" style="1" customWidth="1"/>
    <col min="8" max="11" width="14.7265625" style="281" customWidth="1"/>
    <col min="12" max="12" width="15.7265625" style="281" customWidth="1"/>
    <col min="13" max="13" width="9.1796875" style="1"/>
    <col min="14" max="14" width="7.7265625" style="111" customWidth="1"/>
    <col min="15" max="15" width="14.7265625" style="111" customWidth="1"/>
    <col min="16" max="18" width="14.7265625" style="280" customWidth="1"/>
    <col min="19" max="19" width="14.7265625" style="1" customWidth="1"/>
    <col min="20" max="24" width="14.7265625" style="281" customWidth="1"/>
    <col min="25" max="25" width="9.1796875" style="1"/>
    <col min="26" max="26" width="7.54296875" style="1" customWidth="1"/>
    <col min="27" max="36" width="14.54296875" style="1" customWidth="1"/>
    <col min="37" max="37" width="16" style="1" customWidth="1"/>
    <col min="38" max="38" width="2.453125" style="36" customWidth="1"/>
    <col min="39" max="39" width="15.7265625" style="1" customWidth="1"/>
    <col min="40" max="16384" width="9.1796875" style="1"/>
  </cols>
  <sheetData>
    <row r="1" spans="1:39" ht="20" x14ac:dyDescent="0.4">
      <c r="B1" s="310" t="s">
        <v>257</v>
      </c>
      <c r="N1" s="447"/>
      <c r="O1" s="448"/>
      <c r="P1" s="449"/>
      <c r="Q1" s="449"/>
      <c r="R1" s="449"/>
      <c r="S1" s="36"/>
      <c r="T1" s="450"/>
      <c r="U1" s="450"/>
      <c r="V1" s="450"/>
      <c r="W1" s="450"/>
      <c r="X1" s="450"/>
    </row>
    <row r="2" spans="1:39" x14ac:dyDescent="0.25">
      <c r="N2" s="448"/>
      <c r="O2" s="448"/>
      <c r="P2" s="449"/>
      <c r="Q2" s="449"/>
      <c r="R2" s="449"/>
      <c r="S2" s="36"/>
      <c r="T2" s="450"/>
      <c r="U2" s="450"/>
      <c r="V2" s="450"/>
      <c r="W2" s="450"/>
      <c r="X2" s="450"/>
    </row>
    <row r="3" spans="1:39" ht="17.5" x14ac:dyDescent="0.25">
      <c r="B3" s="289" t="s">
        <v>258</v>
      </c>
      <c r="C3" s="1"/>
      <c r="D3" s="271"/>
      <c r="E3" s="271"/>
      <c r="F3" s="271"/>
      <c r="G3" s="272"/>
      <c r="H3" s="272"/>
      <c r="I3" s="272"/>
      <c r="J3" s="271"/>
      <c r="K3" s="271"/>
      <c r="L3" s="273"/>
      <c r="N3" s="289"/>
      <c r="O3" s="36"/>
      <c r="P3" s="271"/>
      <c r="Q3" s="271"/>
      <c r="R3" s="271"/>
      <c r="S3" s="272"/>
      <c r="T3" s="272"/>
      <c r="U3" s="272"/>
      <c r="V3" s="271"/>
      <c r="W3" s="271"/>
      <c r="X3" s="271"/>
    </row>
    <row r="4" spans="1:39" ht="17.5" x14ac:dyDescent="0.25">
      <c r="B4" s="289" t="s">
        <v>259</v>
      </c>
      <c r="C4" s="1"/>
      <c r="D4" s="271"/>
      <c r="E4" s="271"/>
      <c r="F4" s="271"/>
      <c r="G4" s="272"/>
      <c r="H4" s="272"/>
      <c r="I4" s="272"/>
      <c r="J4" s="271"/>
      <c r="K4" s="271"/>
      <c r="L4" s="273"/>
      <c r="N4" s="289"/>
      <c r="O4" s="36"/>
      <c r="P4" s="271"/>
      <c r="Q4" s="271"/>
      <c r="R4" s="271"/>
      <c r="S4" s="272"/>
      <c r="T4" s="272"/>
      <c r="U4" s="272"/>
      <c r="V4" s="271"/>
      <c r="W4" s="271"/>
      <c r="X4" s="271"/>
    </row>
    <row r="5" spans="1:39" ht="13" x14ac:dyDescent="0.25">
      <c r="B5" s="1"/>
      <c r="C5" s="1"/>
      <c r="D5" s="1"/>
      <c r="E5" s="1"/>
      <c r="F5" s="1"/>
      <c r="H5" s="1"/>
      <c r="I5" s="1"/>
      <c r="J5" s="1"/>
      <c r="K5" s="1"/>
      <c r="L5" s="1"/>
      <c r="N5" s="482"/>
      <c r="O5" s="36"/>
      <c r="P5" s="271"/>
      <c r="Q5" s="271"/>
      <c r="R5" s="271"/>
      <c r="S5" s="272"/>
      <c r="T5" s="272"/>
      <c r="U5" s="272"/>
      <c r="V5" s="271"/>
      <c r="W5" s="271"/>
      <c r="X5" s="271"/>
    </row>
    <row r="6" spans="1:39" ht="17.5" x14ac:dyDescent="0.25">
      <c r="B6" s="308" t="s">
        <v>216</v>
      </c>
      <c r="C6" s="55"/>
      <c r="D6" s="128"/>
      <c r="E6" s="128"/>
      <c r="F6" s="128"/>
      <c r="G6" s="298"/>
      <c r="H6" s="298"/>
      <c r="I6" s="298"/>
      <c r="J6" s="128"/>
      <c r="K6" s="128"/>
      <c r="L6" s="129"/>
      <c r="N6" s="452"/>
      <c r="O6" s="36"/>
      <c r="P6" s="271"/>
      <c r="Q6" s="271"/>
      <c r="R6" s="271"/>
      <c r="S6" s="272"/>
      <c r="T6" s="272"/>
      <c r="U6" s="272"/>
      <c r="V6" s="271"/>
      <c r="W6" s="271"/>
      <c r="X6" s="271"/>
    </row>
    <row r="7" spans="1:39" ht="13" x14ac:dyDescent="0.25">
      <c r="B7" s="299"/>
      <c r="C7" s="33"/>
      <c r="D7" s="290"/>
      <c r="E7" s="290"/>
      <c r="F7" s="290"/>
      <c r="G7" s="291"/>
      <c r="H7" s="291"/>
      <c r="I7" s="291"/>
      <c r="J7" s="290"/>
      <c r="K7" s="290"/>
      <c r="L7" s="300"/>
      <c r="N7" s="453"/>
      <c r="O7" s="271"/>
      <c r="P7" s="272"/>
      <c r="Q7" s="272"/>
      <c r="R7" s="36"/>
      <c r="S7" s="36"/>
      <c r="T7" s="453"/>
      <c r="U7" s="271"/>
      <c r="V7" s="271"/>
      <c r="W7" s="450"/>
      <c r="X7" s="271"/>
    </row>
    <row r="8" spans="1:39" x14ac:dyDescent="0.25">
      <c r="B8" s="292" t="s">
        <v>40</v>
      </c>
      <c r="C8" s="293"/>
      <c r="D8" s="294"/>
      <c r="E8" s="294"/>
      <c r="F8" s="295"/>
      <c r="G8" s="33"/>
      <c r="H8" s="443" t="s">
        <v>260</v>
      </c>
      <c r="I8" s="293"/>
      <c r="J8" s="293"/>
      <c r="K8" s="444"/>
      <c r="L8" s="300"/>
      <c r="N8" s="454"/>
      <c r="O8" s="36"/>
      <c r="P8" s="271"/>
      <c r="Q8" s="271"/>
      <c r="R8" s="271"/>
      <c r="S8" s="271"/>
      <c r="T8" s="455"/>
      <c r="U8" s="456"/>
      <c r="V8" s="271"/>
      <c r="W8" s="271"/>
      <c r="X8" s="271"/>
    </row>
    <row r="9" spans="1:39" x14ac:dyDescent="0.25">
      <c r="B9" s="301" t="s">
        <v>261</v>
      </c>
      <c r="C9" s="33"/>
      <c r="D9" s="689" t="s">
        <v>262</v>
      </c>
      <c r="E9" s="689" t="s">
        <v>263</v>
      </c>
      <c r="F9" s="290"/>
      <c r="G9" s="290"/>
      <c r="H9" s="691" t="s">
        <v>264</v>
      </c>
      <c r="I9" s="303" t="s">
        <v>265</v>
      </c>
      <c r="J9" s="446"/>
      <c r="K9" s="290"/>
      <c r="L9" s="300"/>
      <c r="N9" s="271"/>
      <c r="O9" s="271"/>
      <c r="P9" s="271"/>
      <c r="Q9" s="271"/>
      <c r="R9" s="271"/>
      <c r="S9" s="271"/>
      <c r="T9" s="36"/>
      <c r="U9" s="36"/>
      <c r="V9" s="36"/>
      <c r="W9" s="271"/>
      <c r="X9" s="271"/>
    </row>
    <row r="10" spans="1:39" x14ac:dyDescent="0.25">
      <c r="B10" s="11"/>
      <c r="C10" s="290"/>
      <c r="D10" s="290"/>
      <c r="E10" s="290"/>
      <c r="F10" s="290"/>
      <c r="G10" s="290"/>
      <c r="H10" s="33"/>
      <c r="I10" s="33"/>
      <c r="J10" s="28"/>
      <c r="K10" s="290"/>
      <c r="L10" s="300"/>
      <c r="N10" s="453"/>
      <c r="O10" s="271"/>
      <c r="P10" s="272"/>
      <c r="Q10" s="272"/>
      <c r="R10" s="271"/>
      <c r="S10" s="271"/>
      <c r="T10" s="457"/>
      <c r="U10" s="271"/>
      <c r="V10" s="36"/>
      <c r="W10" s="450"/>
      <c r="X10" s="271"/>
    </row>
    <row r="11" spans="1:39" x14ac:dyDescent="0.25">
      <c r="B11" s="292" t="s">
        <v>266</v>
      </c>
      <c r="C11" s="293"/>
      <c r="D11" s="294"/>
      <c r="E11" s="294"/>
      <c r="F11" s="296"/>
      <c r="G11" s="290"/>
      <c r="H11" s="297" t="s">
        <v>267</v>
      </c>
      <c r="I11" s="293"/>
      <c r="J11" s="445"/>
      <c r="K11" s="444"/>
      <c r="L11" s="300"/>
      <c r="N11" s="455"/>
      <c r="O11" s="271"/>
      <c r="P11" s="455"/>
      <c r="Q11" s="455"/>
      <c r="R11" s="458"/>
      <c r="S11" s="458"/>
      <c r="T11" s="271"/>
      <c r="U11" s="271"/>
      <c r="V11" s="36"/>
      <c r="W11" s="36"/>
      <c r="X11" s="36"/>
    </row>
    <row r="12" spans="1:39" x14ac:dyDescent="0.25">
      <c r="A12" s="277"/>
      <c r="B12" s="692" t="s">
        <v>264</v>
      </c>
      <c r="C12" s="305"/>
      <c r="D12" s="690" t="s">
        <v>268</v>
      </c>
      <c r="E12" s="690" t="s">
        <v>269</v>
      </c>
      <c r="F12" s="307"/>
      <c r="G12" s="307"/>
      <c r="H12" s="305"/>
      <c r="I12" s="305"/>
      <c r="J12" s="61"/>
      <c r="K12" s="61"/>
      <c r="L12" s="62"/>
      <c r="N12" s="271"/>
      <c r="O12" s="455"/>
      <c r="P12" s="458"/>
      <c r="Q12" s="458"/>
      <c r="R12" s="458"/>
      <c r="S12" s="271"/>
      <c r="T12" s="455"/>
      <c r="U12" s="455"/>
      <c r="V12" s="36"/>
      <c r="W12" s="36"/>
      <c r="X12" s="36"/>
    </row>
    <row r="13" spans="1:39" x14ac:dyDescent="0.25">
      <c r="A13" s="277"/>
      <c r="B13" s="88"/>
      <c r="C13" s="277"/>
      <c r="D13" s="278"/>
      <c r="E13" s="278"/>
      <c r="F13" s="278"/>
      <c r="G13" s="88"/>
      <c r="H13" s="277"/>
      <c r="I13" s="277"/>
      <c r="J13" s="1"/>
      <c r="K13" s="1"/>
      <c r="L13" s="1"/>
      <c r="N13" s="88"/>
      <c r="O13" s="277"/>
      <c r="P13" s="278"/>
      <c r="Q13" s="278"/>
      <c r="R13" s="278"/>
      <c r="S13" s="88"/>
      <c r="T13" s="277"/>
      <c r="U13" s="277"/>
      <c r="V13" s="1"/>
      <c r="W13" s="1"/>
      <c r="X13" s="1"/>
      <c r="Z13" s="88"/>
      <c r="AA13" s="277"/>
      <c r="AB13" s="278"/>
      <c r="AC13" s="278"/>
      <c r="AD13" s="278"/>
      <c r="AE13" s="278"/>
      <c r="AF13" s="278"/>
      <c r="AG13" s="278"/>
      <c r="AH13" s="88"/>
      <c r="AI13" s="277"/>
      <c r="AJ13" s="277"/>
      <c r="AK13" s="277"/>
      <c r="AL13" s="455"/>
    </row>
    <row r="14" spans="1:39" x14ac:dyDescent="0.25">
      <c r="A14" s="277"/>
      <c r="B14" s="88"/>
      <c r="C14" s="277"/>
      <c r="D14" s="278"/>
      <c r="E14" s="278"/>
      <c r="F14" s="278"/>
      <c r="G14" s="88"/>
      <c r="H14" s="277"/>
      <c r="I14" s="277"/>
      <c r="J14" s="1"/>
      <c r="K14" s="1"/>
      <c r="L14" s="1"/>
      <c r="N14" s="88"/>
      <c r="O14" s="277"/>
      <c r="P14" s="278"/>
      <c r="Q14" s="278"/>
      <c r="R14" s="278"/>
      <c r="S14" s="88"/>
      <c r="T14" s="277"/>
      <c r="U14" s="277"/>
      <c r="V14" s="1"/>
      <c r="W14" s="1"/>
      <c r="X14" s="1"/>
      <c r="Z14" s="88"/>
      <c r="AA14" s="277"/>
      <c r="AB14" s="278"/>
      <c r="AC14" s="278"/>
      <c r="AD14" s="278"/>
      <c r="AE14" s="278"/>
      <c r="AF14" s="278"/>
      <c r="AG14" s="278"/>
      <c r="AH14" s="88"/>
      <c r="AI14" s="277"/>
      <c r="AJ14" s="277"/>
      <c r="AK14" s="277"/>
      <c r="AL14" s="455"/>
    </row>
    <row r="15" spans="1:39" ht="20" x14ac:dyDescent="0.4">
      <c r="A15" s="277"/>
      <c r="B15" s="315" t="s">
        <v>223</v>
      </c>
      <c r="C15" s="314" t="s">
        <v>224</v>
      </c>
      <c r="D15" s="312"/>
      <c r="E15" s="312"/>
      <c r="F15" s="312"/>
      <c r="G15" s="312"/>
      <c r="H15" s="311"/>
      <c r="I15" s="311"/>
      <c r="J15" s="313"/>
      <c r="K15" s="313"/>
      <c r="L15" s="313"/>
      <c r="N15" s="315" t="s">
        <v>225</v>
      </c>
      <c r="O15" s="314" t="s">
        <v>226</v>
      </c>
      <c r="P15" s="312"/>
      <c r="Q15" s="312"/>
      <c r="R15" s="312"/>
      <c r="S15" s="312"/>
      <c r="T15" s="311"/>
      <c r="U15" s="311"/>
      <c r="V15" s="313"/>
      <c r="W15" s="313"/>
      <c r="X15" s="313"/>
      <c r="Z15" s="315" t="s">
        <v>227</v>
      </c>
      <c r="AA15" s="314" t="s">
        <v>271</v>
      </c>
      <c r="AB15" s="312"/>
      <c r="AC15" s="312"/>
      <c r="AD15" s="312"/>
      <c r="AE15" s="312"/>
      <c r="AF15" s="312"/>
      <c r="AG15" s="312"/>
      <c r="AH15" s="312"/>
      <c r="AI15" s="314"/>
      <c r="AJ15" s="312"/>
      <c r="AK15" s="312"/>
      <c r="AL15" s="312"/>
      <c r="AM15" s="312"/>
    </row>
    <row r="16" spans="1:39" x14ac:dyDescent="0.25">
      <c r="A16" s="277"/>
      <c r="B16" s="88"/>
      <c r="C16" s="277"/>
      <c r="D16" s="278"/>
      <c r="E16" s="278"/>
      <c r="F16" s="278"/>
      <c r="G16" s="88"/>
      <c r="H16" s="277"/>
      <c r="I16" s="277"/>
      <c r="J16" s="279"/>
      <c r="K16" s="88"/>
      <c r="L16" s="1"/>
      <c r="N16" s="88"/>
      <c r="O16" s="277"/>
      <c r="P16" s="278"/>
      <c r="Q16" s="278"/>
      <c r="R16" s="278"/>
      <c r="S16" s="88"/>
      <c r="T16" s="277"/>
      <c r="U16" s="277"/>
      <c r="V16" s="279"/>
      <c r="W16" s="88"/>
      <c r="X16" s="1"/>
      <c r="Z16" s="88"/>
      <c r="AA16" s="277"/>
      <c r="AB16" s="278"/>
      <c r="AC16" s="278"/>
      <c r="AD16" s="278"/>
      <c r="AE16" s="278"/>
      <c r="AF16" s="278"/>
      <c r="AG16" s="278"/>
      <c r="AH16" s="88"/>
      <c r="AI16" s="277"/>
      <c r="AJ16" s="277"/>
      <c r="AK16" s="277"/>
      <c r="AL16" s="455"/>
    </row>
    <row r="17" spans="1:39" x14ac:dyDescent="0.25">
      <c r="A17" s="516"/>
      <c r="B17" s="88"/>
      <c r="C17" s="516"/>
      <c r="D17" s="517"/>
      <c r="E17" s="517"/>
      <c r="F17" s="518"/>
      <c r="G17" s="88"/>
      <c r="H17" s="516"/>
      <c r="I17" s="516"/>
      <c r="J17" s="351"/>
      <c r="K17" s="88"/>
      <c r="L17" s="1"/>
      <c r="N17" s="271"/>
      <c r="P17" s="457"/>
      <c r="Q17" s="457"/>
      <c r="R17" s="457"/>
      <c r="S17" s="271"/>
      <c r="T17" s="519"/>
      <c r="U17" s="519"/>
      <c r="V17" s="460"/>
      <c r="W17" s="271"/>
      <c r="X17" s="36"/>
    </row>
    <row r="18" spans="1:39" ht="13" x14ac:dyDescent="0.25">
      <c r="B18" s="350" t="s">
        <v>229</v>
      </c>
      <c r="C18" s="88"/>
      <c r="D18" s="88"/>
      <c r="E18" s="88"/>
      <c r="F18" s="88"/>
      <c r="G18" s="88"/>
      <c r="H18" s="309"/>
      <c r="I18" s="309"/>
      <c r="J18" s="88"/>
      <c r="K18" s="88"/>
      <c r="L18" s="88"/>
      <c r="N18" s="459"/>
      <c r="O18" s="271"/>
      <c r="P18" s="271"/>
      <c r="Q18" s="271"/>
      <c r="R18" s="271"/>
      <c r="S18" s="271"/>
      <c r="T18" s="309"/>
      <c r="U18" s="309"/>
      <c r="V18" s="271"/>
      <c r="W18" s="271"/>
      <c r="X18" s="271"/>
    </row>
    <row r="19" spans="1:39" x14ac:dyDescent="0.25">
      <c r="B19" s="88"/>
      <c r="C19" s="88"/>
      <c r="D19" s="274"/>
      <c r="E19" s="274"/>
      <c r="F19" s="274"/>
      <c r="G19" s="88"/>
      <c r="H19" s="88"/>
      <c r="I19" s="88"/>
      <c r="J19" s="88"/>
      <c r="K19" s="88"/>
      <c r="L19" s="351"/>
      <c r="N19" s="271"/>
      <c r="O19" s="271"/>
      <c r="P19" s="486"/>
      <c r="Q19" s="487"/>
      <c r="R19" s="487"/>
      <c r="S19" s="128"/>
      <c r="T19" s="128"/>
      <c r="U19" s="128"/>
      <c r="V19" s="128"/>
      <c r="W19" s="129"/>
      <c r="X19" s="460"/>
    </row>
    <row r="20" spans="1:39" ht="15.5" x14ac:dyDescent="0.25">
      <c r="B20" s="317"/>
      <c r="C20" s="320" t="s">
        <v>230</v>
      </c>
      <c r="D20" s="361"/>
      <c r="E20" s="320" t="s">
        <v>231</v>
      </c>
      <c r="F20" s="333"/>
      <c r="G20" s="335" t="s">
        <v>272</v>
      </c>
      <c r="H20" s="321"/>
      <c r="I20" s="437" t="s">
        <v>273</v>
      </c>
      <c r="J20" s="438"/>
      <c r="K20" s="322"/>
      <c r="L20" s="343"/>
      <c r="N20" s="271"/>
      <c r="P20" s="488" t="s">
        <v>259</v>
      </c>
      <c r="Q20" s="489"/>
      <c r="R20" s="490"/>
      <c r="S20" s="491"/>
      <c r="T20" s="492"/>
      <c r="U20" s="491"/>
      <c r="V20" s="491"/>
      <c r="W20" s="493"/>
      <c r="X20" s="271"/>
      <c r="Z20" s="317"/>
      <c r="AA20" s="569" t="s">
        <v>235</v>
      </c>
      <c r="AB20" s="569"/>
      <c r="AC20" s="569"/>
      <c r="AD20" s="569"/>
      <c r="AE20" s="569"/>
      <c r="AF20" s="569"/>
      <c r="AG20" s="569"/>
      <c r="AH20" s="569"/>
      <c r="AI20" s="569" t="s">
        <v>236</v>
      </c>
      <c r="AJ20" s="569"/>
      <c r="AK20" s="480" t="s">
        <v>139</v>
      </c>
      <c r="AL20" s="587"/>
      <c r="AM20" s="480"/>
    </row>
    <row r="21" spans="1:39" ht="14" x14ac:dyDescent="0.25">
      <c r="B21" s="318"/>
      <c r="C21" s="287" t="s">
        <v>237</v>
      </c>
      <c r="D21" s="362"/>
      <c r="E21" s="287" t="s">
        <v>238</v>
      </c>
      <c r="F21" s="334"/>
      <c r="G21" s="336" t="s">
        <v>274</v>
      </c>
      <c r="H21" s="288"/>
      <c r="I21" s="439" t="s">
        <v>275</v>
      </c>
      <c r="J21" s="440"/>
      <c r="K21" s="284"/>
      <c r="L21" s="344"/>
      <c r="N21" s="36"/>
      <c r="O21" s="463"/>
      <c r="P21" s="494"/>
      <c r="Q21" s="495"/>
      <c r="R21" s="496"/>
      <c r="S21" s="495"/>
      <c r="T21" s="495"/>
      <c r="U21" s="495"/>
      <c r="V21" s="495"/>
      <c r="W21" s="497"/>
      <c r="X21" s="271"/>
      <c r="Z21" s="318"/>
      <c r="AA21" s="570"/>
      <c r="AB21" s="571"/>
      <c r="AC21" s="571"/>
      <c r="AD21" s="571"/>
      <c r="AE21" s="571"/>
      <c r="AF21" s="571"/>
      <c r="AG21" s="571"/>
      <c r="AH21" s="572"/>
      <c r="AI21" s="570"/>
      <c r="AJ21" s="572"/>
      <c r="AK21" s="345" t="s">
        <v>241</v>
      </c>
      <c r="AL21" s="587"/>
      <c r="AM21" s="345"/>
    </row>
    <row r="22" spans="1:39" ht="14" x14ac:dyDescent="0.25">
      <c r="B22" s="169" t="s">
        <v>135</v>
      </c>
      <c r="C22" s="316"/>
      <c r="D22" s="283"/>
      <c r="E22" s="316"/>
      <c r="F22" s="283"/>
      <c r="G22" s="316"/>
      <c r="H22" s="283"/>
      <c r="I22" s="432" t="s">
        <v>276</v>
      </c>
      <c r="J22" s="283" t="s">
        <v>277</v>
      </c>
      <c r="K22" s="286" t="s">
        <v>242</v>
      </c>
      <c r="L22" s="345" t="s">
        <v>139</v>
      </c>
      <c r="N22" s="465"/>
      <c r="O22" s="466"/>
      <c r="P22" s="466"/>
      <c r="Q22" s="466"/>
      <c r="R22" s="466"/>
      <c r="S22" s="466"/>
      <c r="T22" s="466"/>
      <c r="U22" s="466"/>
      <c r="V22" s="466"/>
      <c r="W22" s="465"/>
      <c r="X22" s="465"/>
      <c r="Z22" s="169" t="s">
        <v>135</v>
      </c>
      <c r="AA22" s="573" t="s">
        <v>173</v>
      </c>
      <c r="AB22" s="574" t="s">
        <v>173</v>
      </c>
      <c r="AC22" s="574" t="s">
        <v>173</v>
      </c>
      <c r="AD22" s="574" t="s">
        <v>173</v>
      </c>
      <c r="AE22" s="574" t="s">
        <v>173</v>
      </c>
      <c r="AF22" s="574" t="s">
        <v>171</v>
      </c>
      <c r="AG22" s="574" t="s">
        <v>171</v>
      </c>
      <c r="AH22" s="574" t="s">
        <v>171</v>
      </c>
      <c r="AI22" s="574" t="s">
        <v>173</v>
      </c>
      <c r="AJ22" s="574" t="s">
        <v>171</v>
      </c>
      <c r="AK22" s="345" t="s">
        <v>278</v>
      </c>
      <c r="AL22" s="587"/>
      <c r="AM22" s="345" t="s">
        <v>242</v>
      </c>
    </row>
    <row r="23" spans="1:39" ht="14" x14ac:dyDescent="0.25">
      <c r="B23" s="319"/>
      <c r="C23" s="324" t="s">
        <v>0</v>
      </c>
      <c r="D23" s="325" t="s">
        <v>1</v>
      </c>
      <c r="E23" s="324" t="s">
        <v>0</v>
      </c>
      <c r="F23" s="325" t="s">
        <v>1</v>
      </c>
      <c r="G23" s="324" t="s">
        <v>0</v>
      </c>
      <c r="H23" s="325" t="s">
        <v>1</v>
      </c>
      <c r="I23" s="441" t="s">
        <v>147</v>
      </c>
      <c r="J23" s="325" t="s">
        <v>147</v>
      </c>
      <c r="K23" s="326" t="s">
        <v>148</v>
      </c>
      <c r="L23" s="346" t="s">
        <v>149</v>
      </c>
      <c r="N23" s="467"/>
      <c r="O23" s="466"/>
      <c r="P23" s="466"/>
      <c r="Q23" s="466"/>
      <c r="R23" s="466"/>
      <c r="S23" s="466"/>
      <c r="T23" s="466"/>
      <c r="U23" s="466"/>
      <c r="V23" s="466"/>
      <c r="W23" s="465"/>
      <c r="X23" s="465"/>
      <c r="Z23" s="319"/>
      <c r="AA23" s="575" t="s">
        <v>247</v>
      </c>
      <c r="AB23" s="575" t="s">
        <v>248</v>
      </c>
      <c r="AC23" s="575" t="s">
        <v>501</v>
      </c>
      <c r="AD23" s="575" t="s">
        <v>249</v>
      </c>
      <c r="AE23" s="575" t="s">
        <v>556</v>
      </c>
      <c r="AF23" s="575" t="s">
        <v>248</v>
      </c>
      <c r="AG23" s="575" t="s">
        <v>501</v>
      </c>
      <c r="AH23" s="575" t="s">
        <v>249</v>
      </c>
      <c r="AI23" s="575" t="s">
        <v>250</v>
      </c>
      <c r="AJ23" s="575" t="s">
        <v>250</v>
      </c>
      <c r="AK23" s="346" t="str">
        <f>IF(VehOp&lt;&gt;"N","Benefits","Benefits*")</f>
        <v>Benefits</v>
      </c>
      <c r="AL23" s="587"/>
      <c r="AM23" s="346" t="s">
        <v>148</v>
      </c>
    </row>
    <row r="24" spans="1:39" x14ac:dyDescent="0.25">
      <c r="B24" s="327">
        <v>1</v>
      </c>
      <c r="C24" s="348">
        <f>PHV1NB*AnnualFactor</f>
        <v>0</v>
      </c>
      <c r="D24" s="349">
        <f>PHV1B*AnnualFactor</f>
        <v>0</v>
      </c>
      <c r="E24" s="363">
        <f>ROUND(PHS1NB,1)</f>
        <v>55</v>
      </c>
      <c r="F24" s="364">
        <f>ROUND(PHS1B,1)</f>
        <v>55</v>
      </c>
      <c r="G24" s="339">
        <f>ImpactedNB*C24</f>
        <v>0</v>
      </c>
      <c r="H24" s="434">
        <f>ImpactedB*D24</f>
        <v>0</v>
      </c>
      <c r="I24" s="515">
        <f>(G24*VLOOKUP(E24,FuelCon,2)*IF(Pavement,VLOOKUP(IRI1NB,FuelConPavAdj,2),1)-H24*VLOOKUP(F24,FuelCon,2)*IF(Pavement,VLOOKUP(IRI1B,FuelConPavAdj,2),1))*FuelAuto</f>
        <v>0</v>
      </c>
      <c r="J24" s="498">
        <f>(G24*IF(Pavement,VLOOKUP(IRI1NB,NonFuelPavAdj,2),1)-H24*IF(Pavement,VLOOKUP(IRI1B,NonFuelPavAdj,2),1))*NonFuelAuto</f>
        <v>0</v>
      </c>
      <c r="K24" s="285">
        <f>SUM($I24:$J24)</f>
        <v>0</v>
      </c>
      <c r="L24" s="323">
        <f>$K24/(1+DiscRate)^($B24+Construct-1)</f>
        <v>0</v>
      </c>
      <c r="N24" s="468"/>
      <c r="O24" s="469"/>
      <c r="P24" s="469"/>
      <c r="Q24" s="470"/>
      <c r="R24" s="470"/>
      <c r="S24" s="471"/>
      <c r="T24" s="471"/>
      <c r="U24" s="472"/>
      <c r="V24" s="472"/>
      <c r="W24" s="473"/>
      <c r="X24" s="474"/>
      <c r="Z24" s="327">
        <v>1</v>
      </c>
      <c r="AA24" s="478">
        <f>L24</f>
        <v>0</v>
      </c>
      <c r="AB24" s="478">
        <f>L55</f>
        <v>0</v>
      </c>
      <c r="AC24" s="478">
        <f>L86</f>
        <v>0</v>
      </c>
      <c r="AD24" s="478">
        <f>L117</f>
        <v>0</v>
      </c>
      <c r="AE24" s="478">
        <f>L148</f>
        <v>0</v>
      </c>
      <c r="AF24" s="478">
        <f>L179</f>
        <v>0</v>
      </c>
      <c r="AG24" s="478">
        <f>L210</f>
        <v>0</v>
      </c>
      <c r="AH24" s="478">
        <f>L241</f>
        <v>0</v>
      </c>
      <c r="AI24" s="484" t="s">
        <v>279</v>
      </c>
      <c r="AJ24" s="484" t="s">
        <v>279</v>
      </c>
      <c r="AK24" s="323">
        <f>IF(VehOp&lt;&gt;"N",SUM(AA24:AJ24),0)</f>
        <v>0</v>
      </c>
      <c r="AL24" s="588"/>
      <c r="AM24" s="323">
        <f>$AK24*(1+DiscRate)^($B24+Construct-1)</f>
        <v>0</v>
      </c>
    </row>
    <row r="25" spans="1:39" x14ac:dyDescent="0.25">
      <c r="B25" s="328">
        <v>20</v>
      </c>
      <c r="C25" s="353">
        <f>PHV20NB*AnnualFactor</f>
        <v>0</v>
      </c>
      <c r="D25" s="354">
        <f>PHV20B*AnnualFactor</f>
        <v>0</v>
      </c>
      <c r="E25" s="365">
        <f>ROUND(PHS20NB,1)</f>
        <v>55</v>
      </c>
      <c r="F25" s="366">
        <f>ROUND(PHS20B,1)</f>
        <v>55</v>
      </c>
      <c r="G25" s="339">
        <f>ImpactedNB*C25</f>
        <v>0</v>
      </c>
      <c r="H25" s="435">
        <f>ImpactedB*D25</f>
        <v>0</v>
      </c>
      <c r="I25" s="520">
        <f>(G25*VLOOKUP(E25,FuelCon,2)*IF(Pavement,VLOOKUP(IRI20NB,FuelConPavAdj,2),1)-H25*VLOOKUP(F25,FuelCon,2)*IF(Pavement,VLOOKUP(IRI20B,FuelConPavAdj,2),1))*FuelAuto</f>
        <v>0</v>
      </c>
      <c r="J25" s="499">
        <f>(G25*IF(Pavement,VLOOKUP(IRI20NB,NonFuelPavAdj,2),1)-H25*IF(Pavement,VLOOKUP(IRI20B,NonFuelPavAdj,2),1))*NonFuelAuto</f>
        <v>0</v>
      </c>
      <c r="K25" s="285">
        <f>SUM($I25:$J25)</f>
        <v>0</v>
      </c>
      <c r="L25" s="323">
        <f>$K25/(1+DiscRate)^($B25+Construct-1)</f>
        <v>0</v>
      </c>
      <c r="N25" s="468"/>
      <c r="O25" s="469"/>
      <c r="P25" s="469"/>
      <c r="Q25" s="470"/>
      <c r="R25" s="470"/>
      <c r="S25" s="471"/>
      <c r="T25" s="471"/>
      <c r="U25" s="472"/>
      <c r="V25" s="472"/>
      <c r="W25" s="473"/>
      <c r="X25" s="474"/>
      <c r="Z25" s="328">
        <v>20</v>
      </c>
      <c r="AA25" s="478">
        <f>L25</f>
        <v>0</v>
      </c>
      <c r="AB25" s="478">
        <f>L56</f>
        <v>0</v>
      </c>
      <c r="AC25" s="478">
        <f>L87</f>
        <v>0</v>
      </c>
      <c r="AD25" s="478">
        <f>L118</f>
        <v>0</v>
      </c>
      <c r="AE25" s="478">
        <f>L149</f>
        <v>0</v>
      </c>
      <c r="AF25" s="478">
        <f>L180</f>
        <v>0</v>
      </c>
      <c r="AG25" s="478">
        <f>L211</f>
        <v>0</v>
      </c>
      <c r="AH25" s="478">
        <f>L242</f>
        <v>0</v>
      </c>
      <c r="AI25" s="484" t="s">
        <v>279</v>
      </c>
      <c r="AJ25" s="484" t="s">
        <v>279</v>
      </c>
      <c r="AK25" s="323">
        <f>IF(VehOp&lt;&gt;"N",SUM(AA25:AJ25),0)</f>
        <v>0</v>
      </c>
      <c r="AL25" s="588"/>
      <c r="AM25" s="323">
        <f>$AK25*(1+DiscRate)^($B25+Construct-1)</f>
        <v>0</v>
      </c>
    </row>
    <row r="26" spans="1:39" x14ac:dyDescent="0.25">
      <c r="B26" s="357"/>
      <c r="C26" s="355"/>
      <c r="D26" s="355"/>
      <c r="E26" s="367"/>
      <c r="F26" s="367"/>
      <c r="G26" s="356"/>
      <c r="H26" s="356"/>
      <c r="I26" s="356"/>
      <c r="J26" s="356"/>
      <c r="K26" s="356"/>
      <c r="L26" s="358"/>
      <c r="N26" s="468"/>
      <c r="O26" s="469"/>
      <c r="P26" s="469"/>
      <c r="Q26" s="470"/>
      <c r="R26" s="470"/>
      <c r="S26" s="472"/>
      <c r="T26" s="472"/>
      <c r="U26" s="472"/>
      <c r="V26" s="472"/>
      <c r="W26" s="472"/>
      <c r="X26" s="475"/>
      <c r="Z26" s="357"/>
      <c r="AA26" s="358"/>
      <c r="AB26" s="358"/>
      <c r="AC26" s="358"/>
      <c r="AD26" s="358"/>
      <c r="AE26" s="358"/>
      <c r="AF26" s="358"/>
      <c r="AG26" s="358"/>
      <c r="AH26" s="358"/>
      <c r="AI26" s="358"/>
      <c r="AJ26" s="358"/>
      <c r="AK26" s="358"/>
      <c r="AL26" s="475"/>
      <c r="AM26" s="358"/>
    </row>
    <row r="27" spans="1:39" x14ac:dyDescent="0.25">
      <c r="B27" s="352">
        <v>2</v>
      </c>
      <c r="C27" s="368">
        <f>TREND(C24:C25,B24:B25,B27)</f>
        <v>0</v>
      </c>
      <c r="D27" s="629">
        <f>TREND(D24:D25,B24:B25,B27)</f>
        <v>0</v>
      </c>
      <c r="E27" s="632">
        <f>TREND(E24:E25,B24:B25,B27)</f>
        <v>55</v>
      </c>
      <c r="F27" s="371">
        <f>TREND(F24:F25,B24:B25,B27)</f>
        <v>55</v>
      </c>
      <c r="G27" s="339">
        <f t="shared" ref="G27:G44" si="0">ImpactedNB*C27</f>
        <v>0</v>
      </c>
      <c r="H27" s="434">
        <f t="shared" ref="H27:H44" si="1">ImpactedB*D27</f>
        <v>0</v>
      </c>
      <c r="I27" s="515">
        <f t="shared" ref="I27:I40" si="2">(G27*VLOOKUP(E27,FuelCon,2)*IF(Pavement,VLOOKUP(IRI1NB,FuelConPavAdj,2),1)-H27*VLOOKUP(F27,FuelCon,2)*IF(Pavement,VLOOKUP(IRI1B,FuelConPavAdj,2),1))*FuelAuto</f>
        <v>0</v>
      </c>
      <c r="J27" s="498">
        <f t="shared" ref="J27:J40" si="3">(G27*IF(Pavement,VLOOKUP(IRI1NB,NonFuelPavAdj,2),1)-H27*IF(Pavement,VLOOKUP(IRI1B,NonFuelPavAdj,2),1))*NonFuelAuto</f>
        <v>0</v>
      </c>
      <c r="K27" s="285">
        <f t="shared" ref="K27:K44" si="4">SUM($I27:$J27)</f>
        <v>0</v>
      </c>
      <c r="L27" s="323">
        <f t="shared" ref="L27:L44" si="5">$K27/(1+DiscRate)^($B27+Construct-1)</f>
        <v>0</v>
      </c>
      <c r="N27" s="468"/>
      <c r="O27" s="469"/>
      <c r="P27" s="469"/>
      <c r="Q27" s="470"/>
      <c r="R27" s="470"/>
      <c r="S27" s="471"/>
      <c r="T27" s="471"/>
      <c r="U27" s="472"/>
      <c r="V27" s="472"/>
      <c r="W27" s="473"/>
      <c r="X27" s="474"/>
      <c r="Z27" s="352">
        <v>2</v>
      </c>
      <c r="AA27" s="478">
        <f t="shared" ref="AA27:AA44" si="6">L27</f>
        <v>0</v>
      </c>
      <c r="AB27" s="478">
        <f t="shared" ref="AB27:AB44" si="7">L58</f>
        <v>0</v>
      </c>
      <c r="AC27" s="478">
        <f t="shared" ref="AC27:AC44" si="8">L89</f>
        <v>0</v>
      </c>
      <c r="AD27" s="478">
        <f t="shared" ref="AD27:AD44" si="9">L120</f>
        <v>0</v>
      </c>
      <c r="AE27" s="478">
        <f t="shared" ref="AE27:AE44" si="10">L151</f>
        <v>0</v>
      </c>
      <c r="AF27" s="478">
        <f t="shared" ref="AF27:AF44" si="11">L182</f>
        <v>0</v>
      </c>
      <c r="AG27" s="478">
        <f t="shared" ref="AG27:AG44" si="12">L213</f>
        <v>0</v>
      </c>
      <c r="AH27" s="478">
        <f t="shared" ref="AH27:AH44" si="13">L244</f>
        <v>0</v>
      </c>
      <c r="AI27" s="484" t="s">
        <v>279</v>
      </c>
      <c r="AJ27" s="484" t="s">
        <v>279</v>
      </c>
      <c r="AK27" s="323">
        <f t="shared" ref="AK27:AK44" si="14">IF(VehOp&lt;&gt;"N",SUM(AA27:AJ27),0)</f>
        <v>0</v>
      </c>
      <c r="AL27" s="588"/>
      <c r="AM27" s="323">
        <f t="shared" ref="AM27:AM44" si="15">$AK27*(1+DiscRate)^($B27+Construct-1)</f>
        <v>0</v>
      </c>
    </row>
    <row r="28" spans="1:39" x14ac:dyDescent="0.25">
      <c r="B28" s="327">
        <v>3</v>
      </c>
      <c r="C28" s="347">
        <f>TREND(C24:C25,B24:B25,B28)</f>
        <v>0</v>
      </c>
      <c r="D28" s="630">
        <f>TREND(D24:D25,B24:B25,B28)</f>
        <v>0</v>
      </c>
      <c r="E28" s="633">
        <f>TREND(E24:E25,B24:B25,B28)</f>
        <v>55</v>
      </c>
      <c r="F28" s="374">
        <f>TREND(F24:F25,B24:B25,B28)</f>
        <v>55</v>
      </c>
      <c r="G28" s="339">
        <f t="shared" si="0"/>
        <v>0</v>
      </c>
      <c r="H28" s="436">
        <f t="shared" si="1"/>
        <v>0</v>
      </c>
      <c r="I28" s="521">
        <f t="shared" si="2"/>
        <v>0</v>
      </c>
      <c r="J28" s="500">
        <f t="shared" si="3"/>
        <v>0</v>
      </c>
      <c r="K28" s="285">
        <f t="shared" si="4"/>
        <v>0</v>
      </c>
      <c r="L28" s="323">
        <f t="shared" si="5"/>
        <v>0</v>
      </c>
      <c r="N28" s="468"/>
      <c r="O28" s="469"/>
      <c r="P28" s="469"/>
      <c r="Q28" s="470"/>
      <c r="R28" s="470"/>
      <c r="S28" s="471"/>
      <c r="T28" s="471"/>
      <c r="U28" s="472"/>
      <c r="V28" s="472"/>
      <c r="W28" s="473"/>
      <c r="X28" s="474"/>
      <c r="Z28" s="327">
        <v>3</v>
      </c>
      <c r="AA28" s="478">
        <f t="shared" si="6"/>
        <v>0</v>
      </c>
      <c r="AB28" s="478">
        <f t="shared" si="7"/>
        <v>0</v>
      </c>
      <c r="AC28" s="478">
        <f t="shared" si="8"/>
        <v>0</v>
      </c>
      <c r="AD28" s="478">
        <f t="shared" si="9"/>
        <v>0</v>
      </c>
      <c r="AE28" s="478">
        <f t="shared" si="10"/>
        <v>0</v>
      </c>
      <c r="AF28" s="478">
        <f t="shared" si="11"/>
        <v>0</v>
      </c>
      <c r="AG28" s="478">
        <f t="shared" si="12"/>
        <v>0</v>
      </c>
      <c r="AH28" s="478">
        <f t="shared" si="13"/>
        <v>0</v>
      </c>
      <c r="AI28" s="484" t="s">
        <v>279</v>
      </c>
      <c r="AJ28" s="484" t="s">
        <v>279</v>
      </c>
      <c r="AK28" s="323">
        <f t="shared" si="14"/>
        <v>0</v>
      </c>
      <c r="AL28" s="588"/>
      <c r="AM28" s="323">
        <f t="shared" si="15"/>
        <v>0</v>
      </c>
    </row>
    <row r="29" spans="1:39" x14ac:dyDescent="0.25">
      <c r="B29" s="327">
        <v>4</v>
      </c>
      <c r="C29" s="347">
        <f>TREND(C24:C25,B24:B25,B29)</f>
        <v>0</v>
      </c>
      <c r="D29" s="630">
        <f>TREND(D24:D25,B24:B25,B29)</f>
        <v>0</v>
      </c>
      <c r="E29" s="633">
        <f>TREND(E24:E25,B24:B25,B29)</f>
        <v>55</v>
      </c>
      <c r="F29" s="374">
        <f>TREND(F24:F25,B24:B25,B29)</f>
        <v>55</v>
      </c>
      <c r="G29" s="339">
        <f t="shared" si="0"/>
        <v>0</v>
      </c>
      <c r="H29" s="436">
        <f t="shared" si="1"/>
        <v>0</v>
      </c>
      <c r="I29" s="521">
        <f t="shared" si="2"/>
        <v>0</v>
      </c>
      <c r="J29" s="500">
        <f t="shared" si="3"/>
        <v>0</v>
      </c>
      <c r="K29" s="285">
        <f t="shared" si="4"/>
        <v>0</v>
      </c>
      <c r="L29" s="323">
        <f t="shared" si="5"/>
        <v>0</v>
      </c>
      <c r="N29" s="468"/>
      <c r="O29" s="469"/>
      <c r="P29" s="469"/>
      <c r="Q29" s="470"/>
      <c r="R29" s="470"/>
      <c r="S29" s="471"/>
      <c r="T29" s="471"/>
      <c r="U29" s="472"/>
      <c r="V29" s="472"/>
      <c r="W29" s="473"/>
      <c r="X29" s="474"/>
      <c r="Z29" s="327">
        <v>4</v>
      </c>
      <c r="AA29" s="478">
        <f t="shared" si="6"/>
        <v>0</v>
      </c>
      <c r="AB29" s="478">
        <f t="shared" si="7"/>
        <v>0</v>
      </c>
      <c r="AC29" s="478">
        <f t="shared" si="8"/>
        <v>0</v>
      </c>
      <c r="AD29" s="478">
        <f t="shared" si="9"/>
        <v>0</v>
      </c>
      <c r="AE29" s="478">
        <f t="shared" si="10"/>
        <v>0</v>
      </c>
      <c r="AF29" s="478">
        <f t="shared" si="11"/>
        <v>0</v>
      </c>
      <c r="AG29" s="478">
        <f t="shared" si="12"/>
        <v>0</v>
      </c>
      <c r="AH29" s="478">
        <f t="shared" si="13"/>
        <v>0</v>
      </c>
      <c r="AI29" s="484" t="s">
        <v>279</v>
      </c>
      <c r="AJ29" s="484" t="s">
        <v>279</v>
      </c>
      <c r="AK29" s="323">
        <f t="shared" si="14"/>
        <v>0</v>
      </c>
      <c r="AL29" s="588"/>
      <c r="AM29" s="323">
        <f t="shared" si="15"/>
        <v>0</v>
      </c>
    </row>
    <row r="30" spans="1:39" x14ac:dyDescent="0.25">
      <c r="B30" s="327">
        <v>5</v>
      </c>
      <c r="C30" s="347">
        <f>TREND(C24:C25,B24:B25,B30)</f>
        <v>0</v>
      </c>
      <c r="D30" s="630">
        <f>TREND(D24:D25,B24:B25,B30)</f>
        <v>0</v>
      </c>
      <c r="E30" s="633">
        <f>TREND(E24:E25,B24:B25,B30)</f>
        <v>55</v>
      </c>
      <c r="F30" s="374">
        <f>TREND(F24:F25,B24:B25,B30)</f>
        <v>55</v>
      </c>
      <c r="G30" s="339">
        <f t="shared" si="0"/>
        <v>0</v>
      </c>
      <c r="H30" s="436">
        <f t="shared" si="1"/>
        <v>0</v>
      </c>
      <c r="I30" s="521">
        <f t="shared" si="2"/>
        <v>0</v>
      </c>
      <c r="J30" s="500">
        <f t="shared" si="3"/>
        <v>0</v>
      </c>
      <c r="K30" s="285">
        <f t="shared" si="4"/>
        <v>0</v>
      </c>
      <c r="L30" s="323">
        <f t="shared" si="5"/>
        <v>0</v>
      </c>
      <c r="N30" s="468"/>
      <c r="O30" s="469"/>
      <c r="P30" s="469"/>
      <c r="Q30" s="470"/>
      <c r="R30" s="470"/>
      <c r="S30" s="471"/>
      <c r="T30" s="471"/>
      <c r="U30" s="472"/>
      <c r="V30" s="472"/>
      <c r="W30" s="473"/>
      <c r="X30" s="474"/>
      <c r="Z30" s="327">
        <v>5</v>
      </c>
      <c r="AA30" s="478">
        <f t="shared" si="6"/>
        <v>0</v>
      </c>
      <c r="AB30" s="478">
        <f t="shared" si="7"/>
        <v>0</v>
      </c>
      <c r="AC30" s="478">
        <f t="shared" si="8"/>
        <v>0</v>
      </c>
      <c r="AD30" s="478">
        <f t="shared" si="9"/>
        <v>0</v>
      </c>
      <c r="AE30" s="478">
        <f t="shared" si="10"/>
        <v>0</v>
      </c>
      <c r="AF30" s="478">
        <f t="shared" si="11"/>
        <v>0</v>
      </c>
      <c r="AG30" s="478">
        <f t="shared" si="12"/>
        <v>0</v>
      </c>
      <c r="AH30" s="478">
        <f t="shared" si="13"/>
        <v>0</v>
      </c>
      <c r="AI30" s="484" t="s">
        <v>279</v>
      </c>
      <c r="AJ30" s="484" t="s">
        <v>279</v>
      </c>
      <c r="AK30" s="323">
        <f t="shared" si="14"/>
        <v>0</v>
      </c>
      <c r="AL30" s="588"/>
      <c r="AM30" s="323">
        <f t="shared" si="15"/>
        <v>0</v>
      </c>
    </row>
    <row r="31" spans="1:39" x14ac:dyDescent="0.25">
      <c r="B31" s="327">
        <v>6</v>
      </c>
      <c r="C31" s="347">
        <f>TREND(C24:C25,B24:B25,B31)</f>
        <v>0</v>
      </c>
      <c r="D31" s="630">
        <f>TREND(D24:D25,B24:B25,B31)</f>
        <v>0</v>
      </c>
      <c r="E31" s="633">
        <f>TREND(E24:E25,B24:B25,B31)</f>
        <v>55</v>
      </c>
      <c r="F31" s="374">
        <f>TREND(F24:F25,B24:B25,B31)</f>
        <v>55</v>
      </c>
      <c r="G31" s="339">
        <f t="shared" si="0"/>
        <v>0</v>
      </c>
      <c r="H31" s="436">
        <f t="shared" si="1"/>
        <v>0</v>
      </c>
      <c r="I31" s="521">
        <f t="shared" si="2"/>
        <v>0</v>
      </c>
      <c r="J31" s="500">
        <f t="shared" si="3"/>
        <v>0</v>
      </c>
      <c r="K31" s="285">
        <f t="shared" si="4"/>
        <v>0</v>
      </c>
      <c r="L31" s="323">
        <f t="shared" si="5"/>
        <v>0</v>
      </c>
      <c r="N31" s="468"/>
      <c r="O31" s="469"/>
      <c r="P31" s="469"/>
      <c r="Q31" s="470"/>
      <c r="R31" s="470"/>
      <c r="S31" s="471"/>
      <c r="T31" s="471"/>
      <c r="U31" s="472"/>
      <c r="V31" s="472"/>
      <c r="W31" s="473"/>
      <c r="X31" s="474"/>
      <c r="Z31" s="327">
        <v>6</v>
      </c>
      <c r="AA31" s="478">
        <f t="shared" si="6"/>
        <v>0</v>
      </c>
      <c r="AB31" s="478">
        <f t="shared" si="7"/>
        <v>0</v>
      </c>
      <c r="AC31" s="478">
        <f t="shared" si="8"/>
        <v>0</v>
      </c>
      <c r="AD31" s="478">
        <f t="shared" si="9"/>
        <v>0</v>
      </c>
      <c r="AE31" s="478">
        <f t="shared" si="10"/>
        <v>0</v>
      </c>
      <c r="AF31" s="478">
        <f t="shared" si="11"/>
        <v>0</v>
      </c>
      <c r="AG31" s="478">
        <f t="shared" si="12"/>
        <v>0</v>
      </c>
      <c r="AH31" s="478">
        <f t="shared" si="13"/>
        <v>0</v>
      </c>
      <c r="AI31" s="484" t="s">
        <v>279</v>
      </c>
      <c r="AJ31" s="484" t="s">
        <v>279</v>
      </c>
      <c r="AK31" s="323">
        <f t="shared" si="14"/>
        <v>0</v>
      </c>
      <c r="AL31" s="588"/>
      <c r="AM31" s="323">
        <f t="shared" si="15"/>
        <v>0</v>
      </c>
    </row>
    <row r="32" spans="1:39" x14ac:dyDescent="0.25">
      <c r="B32" s="327">
        <v>7</v>
      </c>
      <c r="C32" s="347">
        <f>TREND(C24:C25,B24:B25,B32)</f>
        <v>0</v>
      </c>
      <c r="D32" s="630">
        <f>TREND(D24:D25,B24:B25,B32)</f>
        <v>0</v>
      </c>
      <c r="E32" s="633">
        <f>TREND(E24:E25,B24:B25,B32)</f>
        <v>55</v>
      </c>
      <c r="F32" s="374">
        <f>TREND(F24:F25,B24:B25,B32)</f>
        <v>55</v>
      </c>
      <c r="G32" s="339">
        <f t="shared" si="0"/>
        <v>0</v>
      </c>
      <c r="H32" s="436">
        <f t="shared" si="1"/>
        <v>0</v>
      </c>
      <c r="I32" s="521">
        <f t="shared" si="2"/>
        <v>0</v>
      </c>
      <c r="J32" s="500">
        <f t="shared" si="3"/>
        <v>0</v>
      </c>
      <c r="K32" s="285">
        <f t="shared" si="4"/>
        <v>0</v>
      </c>
      <c r="L32" s="323">
        <f t="shared" si="5"/>
        <v>0</v>
      </c>
      <c r="N32" s="468"/>
      <c r="O32" s="469"/>
      <c r="P32" s="469"/>
      <c r="Q32" s="470"/>
      <c r="R32" s="470"/>
      <c r="S32" s="471"/>
      <c r="T32" s="471"/>
      <c r="U32" s="472"/>
      <c r="V32" s="472"/>
      <c r="W32" s="473"/>
      <c r="X32" s="474"/>
      <c r="Z32" s="327">
        <v>7</v>
      </c>
      <c r="AA32" s="478">
        <f t="shared" si="6"/>
        <v>0</v>
      </c>
      <c r="AB32" s="478">
        <f t="shared" si="7"/>
        <v>0</v>
      </c>
      <c r="AC32" s="478">
        <f t="shared" si="8"/>
        <v>0</v>
      </c>
      <c r="AD32" s="478">
        <f t="shared" si="9"/>
        <v>0</v>
      </c>
      <c r="AE32" s="478">
        <f t="shared" si="10"/>
        <v>0</v>
      </c>
      <c r="AF32" s="478">
        <f t="shared" si="11"/>
        <v>0</v>
      </c>
      <c r="AG32" s="478">
        <f t="shared" si="12"/>
        <v>0</v>
      </c>
      <c r="AH32" s="478">
        <f t="shared" si="13"/>
        <v>0</v>
      </c>
      <c r="AI32" s="484" t="s">
        <v>279</v>
      </c>
      <c r="AJ32" s="484" t="s">
        <v>279</v>
      </c>
      <c r="AK32" s="323">
        <f t="shared" si="14"/>
        <v>0</v>
      </c>
      <c r="AL32" s="588"/>
      <c r="AM32" s="323">
        <f t="shared" si="15"/>
        <v>0</v>
      </c>
    </row>
    <row r="33" spans="2:39" x14ac:dyDescent="0.25">
      <c r="B33" s="327">
        <v>8</v>
      </c>
      <c r="C33" s="347">
        <f>TREND(C24:C25,B24:B25,B33)</f>
        <v>0</v>
      </c>
      <c r="D33" s="630">
        <f>TREND(D24:D25,B24:B25,B33)</f>
        <v>0</v>
      </c>
      <c r="E33" s="633">
        <f>TREND(E24:E25,B24:B25,B33)</f>
        <v>55</v>
      </c>
      <c r="F33" s="374">
        <f>TREND(F24:F25,B24:B25,B33)</f>
        <v>55</v>
      </c>
      <c r="G33" s="339">
        <f t="shared" si="0"/>
        <v>0</v>
      </c>
      <c r="H33" s="436">
        <f t="shared" si="1"/>
        <v>0</v>
      </c>
      <c r="I33" s="521">
        <f t="shared" si="2"/>
        <v>0</v>
      </c>
      <c r="J33" s="500">
        <f t="shared" si="3"/>
        <v>0</v>
      </c>
      <c r="K33" s="285">
        <f t="shared" si="4"/>
        <v>0</v>
      </c>
      <c r="L33" s="323">
        <f t="shared" si="5"/>
        <v>0</v>
      </c>
      <c r="N33" s="468"/>
      <c r="O33" s="469"/>
      <c r="P33" s="469"/>
      <c r="Q33" s="470"/>
      <c r="R33" s="470"/>
      <c r="S33" s="471"/>
      <c r="T33" s="471"/>
      <c r="U33" s="472"/>
      <c r="V33" s="472"/>
      <c r="W33" s="473"/>
      <c r="X33" s="474"/>
      <c r="Z33" s="327">
        <v>8</v>
      </c>
      <c r="AA33" s="478">
        <f t="shared" si="6"/>
        <v>0</v>
      </c>
      <c r="AB33" s="478">
        <f t="shared" si="7"/>
        <v>0</v>
      </c>
      <c r="AC33" s="478">
        <f t="shared" si="8"/>
        <v>0</v>
      </c>
      <c r="AD33" s="478">
        <f t="shared" si="9"/>
        <v>0</v>
      </c>
      <c r="AE33" s="478">
        <f t="shared" si="10"/>
        <v>0</v>
      </c>
      <c r="AF33" s="478">
        <f t="shared" si="11"/>
        <v>0</v>
      </c>
      <c r="AG33" s="478">
        <f t="shared" si="12"/>
        <v>0</v>
      </c>
      <c r="AH33" s="478">
        <f t="shared" si="13"/>
        <v>0</v>
      </c>
      <c r="AI33" s="484" t="s">
        <v>279</v>
      </c>
      <c r="AJ33" s="484" t="s">
        <v>279</v>
      </c>
      <c r="AK33" s="323">
        <f t="shared" si="14"/>
        <v>0</v>
      </c>
      <c r="AL33" s="588"/>
      <c r="AM33" s="323">
        <f t="shared" si="15"/>
        <v>0</v>
      </c>
    </row>
    <row r="34" spans="2:39" x14ac:dyDescent="0.25">
      <c r="B34" s="327">
        <v>9</v>
      </c>
      <c r="C34" s="347">
        <f>TREND(C24:C25,B24:B25,B34)</f>
        <v>0</v>
      </c>
      <c r="D34" s="630">
        <f>TREND(D24:D25,B24:B25,B34)</f>
        <v>0</v>
      </c>
      <c r="E34" s="633">
        <f>TREND(E24:E25,B24:B25,B34)</f>
        <v>55</v>
      </c>
      <c r="F34" s="374">
        <f>TREND(F24:F25,B24:B25,B34)</f>
        <v>55</v>
      </c>
      <c r="G34" s="339">
        <f t="shared" si="0"/>
        <v>0</v>
      </c>
      <c r="H34" s="436">
        <f t="shared" si="1"/>
        <v>0</v>
      </c>
      <c r="I34" s="521">
        <f t="shared" si="2"/>
        <v>0</v>
      </c>
      <c r="J34" s="500">
        <f t="shared" si="3"/>
        <v>0</v>
      </c>
      <c r="K34" s="285">
        <f t="shared" si="4"/>
        <v>0</v>
      </c>
      <c r="L34" s="323">
        <f t="shared" si="5"/>
        <v>0</v>
      </c>
      <c r="N34" s="468"/>
      <c r="O34" s="469"/>
      <c r="P34" s="469"/>
      <c r="Q34" s="470"/>
      <c r="R34" s="470"/>
      <c r="S34" s="471"/>
      <c r="T34" s="471"/>
      <c r="U34" s="472"/>
      <c r="V34" s="472"/>
      <c r="W34" s="473"/>
      <c r="X34" s="474"/>
      <c r="Z34" s="327">
        <v>9</v>
      </c>
      <c r="AA34" s="478">
        <f t="shared" si="6"/>
        <v>0</v>
      </c>
      <c r="AB34" s="478">
        <f t="shared" si="7"/>
        <v>0</v>
      </c>
      <c r="AC34" s="478">
        <f t="shared" si="8"/>
        <v>0</v>
      </c>
      <c r="AD34" s="478">
        <f t="shared" si="9"/>
        <v>0</v>
      </c>
      <c r="AE34" s="478">
        <f t="shared" si="10"/>
        <v>0</v>
      </c>
      <c r="AF34" s="478">
        <f t="shared" si="11"/>
        <v>0</v>
      </c>
      <c r="AG34" s="478">
        <f t="shared" si="12"/>
        <v>0</v>
      </c>
      <c r="AH34" s="478">
        <f t="shared" si="13"/>
        <v>0</v>
      </c>
      <c r="AI34" s="484" t="s">
        <v>279</v>
      </c>
      <c r="AJ34" s="484" t="s">
        <v>279</v>
      </c>
      <c r="AK34" s="323">
        <f t="shared" si="14"/>
        <v>0</v>
      </c>
      <c r="AL34" s="588"/>
      <c r="AM34" s="323">
        <f t="shared" si="15"/>
        <v>0</v>
      </c>
    </row>
    <row r="35" spans="2:39" x14ac:dyDescent="0.25">
      <c r="B35" s="327">
        <v>10</v>
      </c>
      <c r="C35" s="347">
        <f>TREND(C24:C25,B24:B25,B35)</f>
        <v>0</v>
      </c>
      <c r="D35" s="630">
        <f>TREND(D24:D25,B24:B25,B35)</f>
        <v>0</v>
      </c>
      <c r="E35" s="633">
        <f>TREND(E24:E25,B24:B25,B35)</f>
        <v>55</v>
      </c>
      <c r="F35" s="374">
        <f>TREND(F24:F25,B24:B25,B35)</f>
        <v>55</v>
      </c>
      <c r="G35" s="339">
        <f t="shared" si="0"/>
        <v>0</v>
      </c>
      <c r="H35" s="436">
        <f t="shared" si="1"/>
        <v>0</v>
      </c>
      <c r="I35" s="521">
        <f t="shared" si="2"/>
        <v>0</v>
      </c>
      <c r="J35" s="500">
        <f t="shared" si="3"/>
        <v>0</v>
      </c>
      <c r="K35" s="285">
        <f t="shared" si="4"/>
        <v>0</v>
      </c>
      <c r="L35" s="323">
        <f t="shared" si="5"/>
        <v>0</v>
      </c>
      <c r="N35" s="468"/>
      <c r="O35" s="469"/>
      <c r="P35" s="469"/>
      <c r="Q35" s="470"/>
      <c r="R35" s="470"/>
      <c r="S35" s="471"/>
      <c r="T35" s="471"/>
      <c r="U35" s="472"/>
      <c r="V35" s="472"/>
      <c r="W35" s="473"/>
      <c r="X35" s="474"/>
      <c r="Z35" s="327">
        <v>10</v>
      </c>
      <c r="AA35" s="478">
        <f t="shared" si="6"/>
        <v>0</v>
      </c>
      <c r="AB35" s="478">
        <f t="shared" si="7"/>
        <v>0</v>
      </c>
      <c r="AC35" s="478">
        <f t="shared" si="8"/>
        <v>0</v>
      </c>
      <c r="AD35" s="478">
        <f t="shared" si="9"/>
        <v>0</v>
      </c>
      <c r="AE35" s="478">
        <f t="shared" si="10"/>
        <v>0</v>
      </c>
      <c r="AF35" s="478">
        <f t="shared" si="11"/>
        <v>0</v>
      </c>
      <c r="AG35" s="478">
        <f t="shared" si="12"/>
        <v>0</v>
      </c>
      <c r="AH35" s="478">
        <f t="shared" si="13"/>
        <v>0</v>
      </c>
      <c r="AI35" s="484" t="s">
        <v>279</v>
      </c>
      <c r="AJ35" s="484" t="s">
        <v>279</v>
      </c>
      <c r="AK35" s="323">
        <f t="shared" si="14"/>
        <v>0</v>
      </c>
      <c r="AL35" s="588"/>
      <c r="AM35" s="323">
        <f t="shared" si="15"/>
        <v>0</v>
      </c>
    </row>
    <row r="36" spans="2:39" x14ac:dyDescent="0.25">
      <c r="B36" s="327">
        <v>11</v>
      </c>
      <c r="C36" s="347">
        <f>TREND(C24:C25,B24:B25,B36)</f>
        <v>0</v>
      </c>
      <c r="D36" s="630">
        <f>TREND(D24:D25,B24:B25,B36)</f>
        <v>0</v>
      </c>
      <c r="E36" s="633">
        <f>TREND(E24:E25,B24:B25,B36)</f>
        <v>55</v>
      </c>
      <c r="F36" s="374">
        <f>TREND(F24:F25,B24:B25,B36)</f>
        <v>55</v>
      </c>
      <c r="G36" s="339">
        <f t="shared" si="0"/>
        <v>0</v>
      </c>
      <c r="H36" s="436">
        <f t="shared" si="1"/>
        <v>0</v>
      </c>
      <c r="I36" s="521">
        <f t="shared" si="2"/>
        <v>0</v>
      </c>
      <c r="J36" s="500">
        <f t="shared" si="3"/>
        <v>0</v>
      </c>
      <c r="K36" s="285">
        <f t="shared" si="4"/>
        <v>0</v>
      </c>
      <c r="L36" s="323">
        <f t="shared" si="5"/>
        <v>0</v>
      </c>
      <c r="N36" s="468"/>
      <c r="O36" s="469"/>
      <c r="P36" s="469"/>
      <c r="Q36" s="470"/>
      <c r="R36" s="470"/>
      <c r="S36" s="471"/>
      <c r="T36" s="471"/>
      <c r="U36" s="472"/>
      <c r="V36" s="472"/>
      <c r="W36" s="473"/>
      <c r="X36" s="474"/>
      <c r="Z36" s="327">
        <v>11</v>
      </c>
      <c r="AA36" s="478">
        <f t="shared" si="6"/>
        <v>0</v>
      </c>
      <c r="AB36" s="478">
        <f t="shared" si="7"/>
        <v>0</v>
      </c>
      <c r="AC36" s="478">
        <f t="shared" si="8"/>
        <v>0</v>
      </c>
      <c r="AD36" s="478">
        <f t="shared" si="9"/>
        <v>0</v>
      </c>
      <c r="AE36" s="478">
        <f t="shared" si="10"/>
        <v>0</v>
      </c>
      <c r="AF36" s="478">
        <f t="shared" si="11"/>
        <v>0</v>
      </c>
      <c r="AG36" s="478">
        <f t="shared" si="12"/>
        <v>0</v>
      </c>
      <c r="AH36" s="478">
        <f t="shared" si="13"/>
        <v>0</v>
      </c>
      <c r="AI36" s="484" t="s">
        <v>279</v>
      </c>
      <c r="AJ36" s="484" t="s">
        <v>279</v>
      </c>
      <c r="AK36" s="323">
        <f t="shared" si="14"/>
        <v>0</v>
      </c>
      <c r="AL36" s="588"/>
      <c r="AM36" s="323">
        <f t="shared" si="15"/>
        <v>0</v>
      </c>
    </row>
    <row r="37" spans="2:39" x14ac:dyDescent="0.25">
      <c r="B37" s="327">
        <v>12</v>
      </c>
      <c r="C37" s="347">
        <f>TREND(C24:C25,B24:B25,B37)</f>
        <v>0</v>
      </c>
      <c r="D37" s="630">
        <f>TREND(D24:D25,B24:B25,B37)</f>
        <v>0</v>
      </c>
      <c r="E37" s="633">
        <f>TREND(E24:E25,B24:B25,B37)</f>
        <v>55</v>
      </c>
      <c r="F37" s="374">
        <f>TREND(F24:F25,B24:B25,B37)</f>
        <v>55</v>
      </c>
      <c r="G37" s="339">
        <f t="shared" si="0"/>
        <v>0</v>
      </c>
      <c r="H37" s="436">
        <f t="shared" si="1"/>
        <v>0</v>
      </c>
      <c r="I37" s="521">
        <f t="shared" si="2"/>
        <v>0</v>
      </c>
      <c r="J37" s="500">
        <f t="shared" si="3"/>
        <v>0</v>
      </c>
      <c r="K37" s="285">
        <f t="shared" si="4"/>
        <v>0</v>
      </c>
      <c r="L37" s="323">
        <f t="shared" si="5"/>
        <v>0</v>
      </c>
      <c r="N37" s="468"/>
      <c r="O37" s="469"/>
      <c r="P37" s="469"/>
      <c r="Q37" s="470"/>
      <c r="R37" s="470"/>
      <c r="S37" s="471"/>
      <c r="T37" s="471"/>
      <c r="U37" s="472"/>
      <c r="V37" s="472"/>
      <c r="W37" s="473"/>
      <c r="X37" s="474"/>
      <c r="Z37" s="327">
        <v>12</v>
      </c>
      <c r="AA37" s="478">
        <f t="shared" si="6"/>
        <v>0</v>
      </c>
      <c r="AB37" s="478">
        <f t="shared" si="7"/>
        <v>0</v>
      </c>
      <c r="AC37" s="478">
        <f t="shared" si="8"/>
        <v>0</v>
      </c>
      <c r="AD37" s="478">
        <f t="shared" si="9"/>
        <v>0</v>
      </c>
      <c r="AE37" s="478">
        <f t="shared" si="10"/>
        <v>0</v>
      </c>
      <c r="AF37" s="478">
        <f t="shared" si="11"/>
        <v>0</v>
      </c>
      <c r="AG37" s="478">
        <f t="shared" si="12"/>
        <v>0</v>
      </c>
      <c r="AH37" s="478">
        <f t="shared" si="13"/>
        <v>0</v>
      </c>
      <c r="AI37" s="484" t="s">
        <v>279</v>
      </c>
      <c r="AJ37" s="484" t="s">
        <v>279</v>
      </c>
      <c r="AK37" s="323">
        <f t="shared" si="14"/>
        <v>0</v>
      </c>
      <c r="AL37" s="588"/>
      <c r="AM37" s="323">
        <f t="shared" si="15"/>
        <v>0</v>
      </c>
    </row>
    <row r="38" spans="2:39" x14ac:dyDescent="0.25">
      <c r="B38" s="327">
        <v>13</v>
      </c>
      <c r="C38" s="347">
        <f>TREND(C24:C25,B24:B25,B38)</f>
        <v>0</v>
      </c>
      <c r="D38" s="630">
        <f>TREND(D24:D25,B24:B25,B38)</f>
        <v>0</v>
      </c>
      <c r="E38" s="633">
        <f>TREND(E24:E25,B24:B25,B38)</f>
        <v>55</v>
      </c>
      <c r="F38" s="374">
        <f>TREND(F24:F25,B24:B25,B38)</f>
        <v>55</v>
      </c>
      <c r="G38" s="339">
        <f t="shared" si="0"/>
        <v>0</v>
      </c>
      <c r="H38" s="436">
        <f t="shared" si="1"/>
        <v>0</v>
      </c>
      <c r="I38" s="521">
        <f t="shared" si="2"/>
        <v>0</v>
      </c>
      <c r="J38" s="500">
        <f t="shared" si="3"/>
        <v>0</v>
      </c>
      <c r="K38" s="285">
        <f t="shared" si="4"/>
        <v>0</v>
      </c>
      <c r="L38" s="323">
        <f t="shared" si="5"/>
        <v>0</v>
      </c>
      <c r="N38" s="468"/>
      <c r="O38" s="469"/>
      <c r="P38" s="469"/>
      <c r="Q38" s="470"/>
      <c r="R38" s="470"/>
      <c r="S38" s="471"/>
      <c r="T38" s="471"/>
      <c r="U38" s="472"/>
      <c r="V38" s="472"/>
      <c r="W38" s="473"/>
      <c r="X38" s="474"/>
      <c r="Z38" s="327">
        <v>13</v>
      </c>
      <c r="AA38" s="478">
        <f t="shared" si="6"/>
        <v>0</v>
      </c>
      <c r="AB38" s="478">
        <f t="shared" si="7"/>
        <v>0</v>
      </c>
      <c r="AC38" s="478">
        <f t="shared" si="8"/>
        <v>0</v>
      </c>
      <c r="AD38" s="478">
        <f t="shared" si="9"/>
        <v>0</v>
      </c>
      <c r="AE38" s="478">
        <f t="shared" si="10"/>
        <v>0</v>
      </c>
      <c r="AF38" s="478">
        <f t="shared" si="11"/>
        <v>0</v>
      </c>
      <c r="AG38" s="478">
        <f t="shared" si="12"/>
        <v>0</v>
      </c>
      <c r="AH38" s="478">
        <f t="shared" si="13"/>
        <v>0</v>
      </c>
      <c r="AI38" s="484" t="s">
        <v>279</v>
      </c>
      <c r="AJ38" s="484" t="s">
        <v>279</v>
      </c>
      <c r="AK38" s="323">
        <f t="shared" si="14"/>
        <v>0</v>
      </c>
      <c r="AL38" s="588"/>
      <c r="AM38" s="323">
        <f t="shared" si="15"/>
        <v>0</v>
      </c>
    </row>
    <row r="39" spans="2:39" x14ac:dyDescent="0.25">
      <c r="B39" s="327">
        <v>14</v>
      </c>
      <c r="C39" s="347">
        <f>TREND(C24:C25,B24:B25,B39)</f>
        <v>0</v>
      </c>
      <c r="D39" s="630">
        <f>TREND(D24:D25,B24:B25,B39)</f>
        <v>0</v>
      </c>
      <c r="E39" s="633">
        <f>TREND(E24:E25,B24:B25,B39)</f>
        <v>55</v>
      </c>
      <c r="F39" s="374">
        <f>TREND(F24:F25,B24:B25,B39)</f>
        <v>55</v>
      </c>
      <c r="G39" s="339">
        <f t="shared" si="0"/>
        <v>0</v>
      </c>
      <c r="H39" s="436">
        <f t="shared" si="1"/>
        <v>0</v>
      </c>
      <c r="I39" s="521">
        <f t="shared" si="2"/>
        <v>0</v>
      </c>
      <c r="J39" s="500">
        <f t="shared" si="3"/>
        <v>0</v>
      </c>
      <c r="K39" s="285">
        <f t="shared" si="4"/>
        <v>0</v>
      </c>
      <c r="L39" s="323">
        <f t="shared" si="5"/>
        <v>0</v>
      </c>
      <c r="N39" s="468"/>
      <c r="O39" s="469"/>
      <c r="P39" s="469"/>
      <c r="Q39" s="470"/>
      <c r="R39" s="470"/>
      <c r="S39" s="471"/>
      <c r="T39" s="471"/>
      <c r="U39" s="472"/>
      <c r="V39" s="472"/>
      <c r="W39" s="473"/>
      <c r="X39" s="474"/>
      <c r="Z39" s="327">
        <v>14</v>
      </c>
      <c r="AA39" s="478">
        <f t="shared" si="6"/>
        <v>0</v>
      </c>
      <c r="AB39" s="478">
        <f t="shared" si="7"/>
        <v>0</v>
      </c>
      <c r="AC39" s="478">
        <f t="shared" si="8"/>
        <v>0</v>
      </c>
      <c r="AD39" s="478">
        <f t="shared" si="9"/>
        <v>0</v>
      </c>
      <c r="AE39" s="478">
        <f t="shared" si="10"/>
        <v>0</v>
      </c>
      <c r="AF39" s="478">
        <f t="shared" si="11"/>
        <v>0</v>
      </c>
      <c r="AG39" s="478">
        <f t="shared" si="12"/>
        <v>0</v>
      </c>
      <c r="AH39" s="478">
        <f t="shared" si="13"/>
        <v>0</v>
      </c>
      <c r="AI39" s="484" t="s">
        <v>279</v>
      </c>
      <c r="AJ39" s="484" t="s">
        <v>279</v>
      </c>
      <c r="AK39" s="323">
        <f t="shared" si="14"/>
        <v>0</v>
      </c>
      <c r="AL39" s="588"/>
      <c r="AM39" s="323">
        <f t="shared" si="15"/>
        <v>0</v>
      </c>
    </row>
    <row r="40" spans="2:39" x14ac:dyDescent="0.25">
      <c r="B40" s="327">
        <v>15</v>
      </c>
      <c r="C40" s="347">
        <f>TREND(C24:C25,B24:B25,B40)</f>
        <v>0</v>
      </c>
      <c r="D40" s="630">
        <f>TREND(D24:D25,B24:B25,B40)</f>
        <v>0</v>
      </c>
      <c r="E40" s="633">
        <f>TREND(E24:E25,B24:B25,B40)</f>
        <v>55</v>
      </c>
      <c r="F40" s="374">
        <f>TREND(F24:F25,B24:B25,B40)</f>
        <v>55</v>
      </c>
      <c r="G40" s="339">
        <f t="shared" si="0"/>
        <v>0</v>
      </c>
      <c r="H40" s="436">
        <f t="shared" si="1"/>
        <v>0</v>
      </c>
      <c r="I40" s="521">
        <f t="shared" si="2"/>
        <v>0</v>
      </c>
      <c r="J40" s="500">
        <f t="shared" si="3"/>
        <v>0</v>
      </c>
      <c r="K40" s="285">
        <f t="shared" si="4"/>
        <v>0</v>
      </c>
      <c r="L40" s="323">
        <f t="shared" si="5"/>
        <v>0</v>
      </c>
      <c r="N40" s="468"/>
      <c r="O40" s="469"/>
      <c r="P40" s="469"/>
      <c r="Q40" s="470"/>
      <c r="R40" s="470"/>
      <c r="S40" s="471"/>
      <c r="T40" s="471"/>
      <c r="U40" s="472"/>
      <c r="V40" s="472"/>
      <c r="W40" s="473"/>
      <c r="X40" s="474"/>
      <c r="Z40" s="327">
        <v>15</v>
      </c>
      <c r="AA40" s="478">
        <f t="shared" si="6"/>
        <v>0</v>
      </c>
      <c r="AB40" s="478">
        <f t="shared" si="7"/>
        <v>0</v>
      </c>
      <c r="AC40" s="478">
        <f t="shared" si="8"/>
        <v>0</v>
      </c>
      <c r="AD40" s="478">
        <f t="shared" si="9"/>
        <v>0</v>
      </c>
      <c r="AE40" s="478">
        <f t="shared" si="10"/>
        <v>0</v>
      </c>
      <c r="AF40" s="478">
        <f t="shared" si="11"/>
        <v>0</v>
      </c>
      <c r="AG40" s="478">
        <f t="shared" si="12"/>
        <v>0</v>
      </c>
      <c r="AH40" s="478">
        <f t="shared" si="13"/>
        <v>0</v>
      </c>
      <c r="AI40" s="484" t="s">
        <v>279</v>
      </c>
      <c r="AJ40" s="484" t="s">
        <v>279</v>
      </c>
      <c r="AK40" s="323">
        <f t="shared" si="14"/>
        <v>0</v>
      </c>
      <c r="AL40" s="588"/>
      <c r="AM40" s="323">
        <f t="shared" si="15"/>
        <v>0</v>
      </c>
    </row>
    <row r="41" spans="2:39" x14ac:dyDescent="0.25">
      <c r="B41" s="327">
        <v>16</v>
      </c>
      <c r="C41" s="347">
        <f>TREND(C24:C25,B24:B25,B41)</f>
        <v>0</v>
      </c>
      <c r="D41" s="630">
        <f>TREND(D24:D25,B24:B25,B41)</f>
        <v>0</v>
      </c>
      <c r="E41" s="633">
        <f>TREND(E24:E25,B24:B25,B41)</f>
        <v>55</v>
      </c>
      <c r="F41" s="374">
        <f>TREND(F24:F25,B24:B25,B41)</f>
        <v>55</v>
      </c>
      <c r="G41" s="339">
        <f t="shared" si="0"/>
        <v>0</v>
      </c>
      <c r="H41" s="436">
        <f t="shared" si="1"/>
        <v>0</v>
      </c>
      <c r="I41" s="521">
        <f>(G41*VLOOKUP(E41,FuelCon,2)*IF(Pavement,VLOOKUP(IRI20NB,FuelConPavAdj,2),1)-H41*VLOOKUP(F41,FuelCon,2)*IF(Pavement,VLOOKUP(IRI20B,FuelConPavAdj,2),1))*FuelAuto</f>
        <v>0</v>
      </c>
      <c r="J41" s="500">
        <f>(G41*IF(Pavement,VLOOKUP(IRI20NB,NonFuelPavAdj,2),1)-H41*IF(Pavement,VLOOKUP(IRI20B,NonFuelPavAdj,2),1))*NonFuelAuto</f>
        <v>0</v>
      </c>
      <c r="K41" s="285">
        <f t="shared" si="4"/>
        <v>0</v>
      </c>
      <c r="L41" s="323">
        <f t="shared" si="5"/>
        <v>0</v>
      </c>
      <c r="N41" s="468"/>
      <c r="O41" s="469"/>
      <c r="P41" s="469"/>
      <c r="Q41" s="470"/>
      <c r="R41" s="470"/>
      <c r="S41" s="471"/>
      <c r="T41" s="471"/>
      <c r="U41" s="472"/>
      <c r="V41" s="472"/>
      <c r="W41" s="473"/>
      <c r="X41" s="474"/>
      <c r="Z41" s="327">
        <v>16</v>
      </c>
      <c r="AA41" s="478">
        <f t="shared" si="6"/>
        <v>0</v>
      </c>
      <c r="AB41" s="478">
        <f t="shared" si="7"/>
        <v>0</v>
      </c>
      <c r="AC41" s="478">
        <f t="shared" si="8"/>
        <v>0</v>
      </c>
      <c r="AD41" s="478">
        <f t="shared" si="9"/>
        <v>0</v>
      </c>
      <c r="AE41" s="478">
        <f t="shared" si="10"/>
        <v>0</v>
      </c>
      <c r="AF41" s="478">
        <f t="shared" si="11"/>
        <v>0</v>
      </c>
      <c r="AG41" s="478">
        <f t="shared" si="12"/>
        <v>0</v>
      </c>
      <c r="AH41" s="478">
        <f t="shared" si="13"/>
        <v>0</v>
      </c>
      <c r="AI41" s="484" t="s">
        <v>279</v>
      </c>
      <c r="AJ41" s="484" t="s">
        <v>279</v>
      </c>
      <c r="AK41" s="323">
        <f t="shared" si="14"/>
        <v>0</v>
      </c>
      <c r="AL41" s="588"/>
      <c r="AM41" s="323">
        <f t="shared" si="15"/>
        <v>0</v>
      </c>
    </row>
    <row r="42" spans="2:39" x14ac:dyDescent="0.25">
      <c r="B42" s="327">
        <v>17</v>
      </c>
      <c r="C42" s="347">
        <f>TREND(C24:C25,B24:B25,B42)</f>
        <v>0</v>
      </c>
      <c r="D42" s="630">
        <f>TREND(D24:D25,B24:B25,B42)</f>
        <v>0</v>
      </c>
      <c r="E42" s="633">
        <f>TREND(E24:E25,B24:B25,B42)</f>
        <v>55</v>
      </c>
      <c r="F42" s="374">
        <f>TREND(F24:F25,B24:B25,B42)</f>
        <v>55</v>
      </c>
      <c r="G42" s="339">
        <f t="shared" si="0"/>
        <v>0</v>
      </c>
      <c r="H42" s="436">
        <f t="shared" si="1"/>
        <v>0</v>
      </c>
      <c r="I42" s="521">
        <f>(G42*VLOOKUP(E42,FuelCon,2)*IF(Pavement,VLOOKUP(IRI20NB,FuelConPavAdj,2),1)-H42*VLOOKUP(F42,FuelCon,2)*IF(Pavement,VLOOKUP(IRI20B,FuelConPavAdj,2),1))*FuelAuto</f>
        <v>0</v>
      </c>
      <c r="J42" s="500">
        <f>(G42*IF(Pavement,VLOOKUP(IRI20NB,NonFuelPavAdj,2),1)-H42*IF(Pavement,VLOOKUP(IRI20B,NonFuelPavAdj,2),1))*NonFuelAuto</f>
        <v>0</v>
      </c>
      <c r="K42" s="285">
        <f t="shared" si="4"/>
        <v>0</v>
      </c>
      <c r="L42" s="323">
        <f t="shared" si="5"/>
        <v>0</v>
      </c>
      <c r="N42" s="468"/>
      <c r="O42" s="469"/>
      <c r="P42" s="469"/>
      <c r="Q42" s="470"/>
      <c r="R42" s="470"/>
      <c r="S42" s="471"/>
      <c r="T42" s="471"/>
      <c r="U42" s="472"/>
      <c r="V42" s="472"/>
      <c r="W42" s="473"/>
      <c r="X42" s="474"/>
      <c r="Z42" s="327">
        <v>17</v>
      </c>
      <c r="AA42" s="478">
        <f t="shared" si="6"/>
        <v>0</v>
      </c>
      <c r="AB42" s="478">
        <f t="shared" si="7"/>
        <v>0</v>
      </c>
      <c r="AC42" s="478">
        <f t="shared" si="8"/>
        <v>0</v>
      </c>
      <c r="AD42" s="478">
        <f t="shared" si="9"/>
        <v>0</v>
      </c>
      <c r="AE42" s="478">
        <f t="shared" si="10"/>
        <v>0</v>
      </c>
      <c r="AF42" s="478">
        <f t="shared" si="11"/>
        <v>0</v>
      </c>
      <c r="AG42" s="478">
        <f t="shared" si="12"/>
        <v>0</v>
      </c>
      <c r="AH42" s="478">
        <f t="shared" si="13"/>
        <v>0</v>
      </c>
      <c r="AI42" s="484" t="s">
        <v>279</v>
      </c>
      <c r="AJ42" s="484" t="s">
        <v>279</v>
      </c>
      <c r="AK42" s="323">
        <f t="shared" si="14"/>
        <v>0</v>
      </c>
      <c r="AL42" s="588"/>
      <c r="AM42" s="323">
        <f t="shared" si="15"/>
        <v>0</v>
      </c>
    </row>
    <row r="43" spans="2:39" x14ac:dyDescent="0.25">
      <c r="B43" s="327">
        <v>18</v>
      </c>
      <c r="C43" s="347">
        <f>TREND(C24:C25,B24:B25,B43)</f>
        <v>0</v>
      </c>
      <c r="D43" s="630">
        <f>TREND(D24:D25,B24:B25,B43)</f>
        <v>0</v>
      </c>
      <c r="E43" s="633">
        <f>TREND(E24:E25,B24:B25,B43)</f>
        <v>55</v>
      </c>
      <c r="F43" s="374">
        <f>TREND(F24:F25,B24:B25,B43)</f>
        <v>55</v>
      </c>
      <c r="G43" s="339">
        <f t="shared" si="0"/>
        <v>0</v>
      </c>
      <c r="H43" s="436">
        <f t="shared" si="1"/>
        <v>0</v>
      </c>
      <c r="I43" s="521">
        <f>(G43*VLOOKUP(E43,FuelCon,2)*IF(Pavement,VLOOKUP(IRI20NB,FuelConPavAdj,2),1)-H43*VLOOKUP(F43,FuelCon,2)*IF(Pavement,VLOOKUP(IRI20B,FuelConPavAdj,2),1))*FuelAuto</f>
        <v>0</v>
      </c>
      <c r="J43" s="500">
        <f>(G43*IF(Pavement,VLOOKUP(IRI20NB,NonFuelPavAdj,2),1)-H43*IF(Pavement,VLOOKUP(IRI20B,NonFuelPavAdj,2),1))*NonFuelAuto</f>
        <v>0</v>
      </c>
      <c r="K43" s="285">
        <f t="shared" si="4"/>
        <v>0</v>
      </c>
      <c r="L43" s="323">
        <f t="shared" si="5"/>
        <v>0</v>
      </c>
      <c r="N43" s="468"/>
      <c r="O43" s="469"/>
      <c r="P43" s="469"/>
      <c r="Q43" s="470"/>
      <c r="R43" s="470"/>
      <c r="S43" s="471"/>
      <c r="T43" s="471"/>
      <c r="U43" s="472"/>
      <c r="V43" s="472"/>
      <c r="W43" s="473"/>
      <c r="X43" s="474"/>
      <c r="Z43" s="327">
        <v>18</v>
      </c>
      <c r="AA43" s="478">
        <f t="shared" si="6"/>
        <v>0</v>
      </c>
      <c r="AB43" s="478">
        <f t="shared" si="7"/>
        <v>0</v>
      </c>
      <c r="AC43" s="478">
        <f t="shared" si="8"/>
        <v>0</v>
      </c>
      <c r="AD43" s="478">
        <f t="shared" si="9"/>
        <v>0</v>
      </c>
      <c r="AE43" s="478">
        <f t="shared" si="10"/>
        <v>0</v>
      </c>
      <c r="AF43" s="478">
        <f t="shared" si="11"/>
        <v>0</v>
      </c>
      <c r="AG43" s="478">
        <f t="shared" si="12"/>
        <v>0</v>
      </c>
      <c r="AH43" s="478">
        <f t="shared" si="13"/>
        <v>0</v>
      </c>
      <c r="AI43" s="484" t="s">
        <v>279</v>
      </c>
      <c r="AJ43" s="484" t="s">
        <v>279</v>
      </c>
      <c r="AK43" s="323">
        <f t="shared" si="14"/>
        <v>0</v>
      </c>
      <c r="AL43" s="588"/>
      <c r="AM43" s="323">
        <f t="shared" si="15"/>
        <v>0</v>
      </c>
    </row>
    <row r="44" spans="2:39" x14ac:dyDescent="0.25">
      <c r="B44" s="359">
        <v>19</v>
      </c>
      <c r="C44" s="360">
        <f>TREND(C24:C25,B24:B25,B44)</f>
        <v>0</v>
      </c>
      <c r="D44" s="631">
        <f>TREND(D24:D25,B24:B25,B44)</f>
        <v>0</v>
      </c>
      <c r="E44" s="634">
        <f>TREND(E24:E25,B24:B25,B44)</f>
        <v>55</v>
      </c>
      <c r="F44" s="377">
        <f>TREND(F24:F25,B24:B25,B44)</f>
        <v>55</v>
      </c>
      <c r="G44" s="339">
        <f t="shared" si="0"/>
        <v>0</v>
      </c>
      <c r="H44" s="435">
        <f t="shared" si="1"/>
        <v>0</v>
      </c>
      <c r="I44" s="520">
        <f>(G44*VLOOKUP(E44,FuelCon,2)*IF(Pavement,VLOOKUP(IRI20NB,FuelConPavAdj,2),1)-H44*VLOOKUP(F44,FuelCon,2)*IF(Pavement,VLOOKUP(IRI20B,FuelConPavAdj,2),1))*FuelAuto</f>
        <v>0</v>
      </c>
      <c r="J44" s="499">
        <f>(G44*IF(Pavement,VLOOKUP(IRI20NB,NonFuelPavAdj,2),1)-H44*IF(Pavement,VLOOKUP(IRI20B,NonFuelPavAdj,2),1))*NonFuelAuto</f>
        <v>0</v>
      </c>
      <c r="K44" s="285">
        <f t="shared" si="4"/>
        <v>0</v>
      </c>
      <c r="L44" s="323">
        <f t="shared" si="5"/>
        <v>0</v>
      </c>
      <c r="N44" s="468"/>
      <c r="O44" s="469"/>
      <c r="P44" s="469"/>
      <c r="Q44" s="470"/>
      <c r="R44" s="470"/>
      <c r="S44" s="471"/>
      <c r="T44" s="471"/>
      <c r="U44" s="472"/>
      <c r="V44" s="472"/>
      <c r="W44" s="473"/>
      <c r="X44" s="474"/>
      <c r="Z44" s="359">
        <v>19</v>
      </c>
      <c r="AA44" s="478">
        <f t="shared" si="6"/>
        <v>0</v>
      </c>
      <c r="AB44" s="478">
        <f t="shared" si="7"/>
        <v>0</v>
      </c>
      <c r="AC44" s="478">
        <f t="shared" si="8"/>
        <v>0</v>
      </c>
      <c r="AD44" s="478">
        <f t="shared" si="9"/>
        <v>0</v>
      </c>
      <c r="AE44" s="478">
        <f t="shared" si="10"/>
        <v>0</v>
      </c>
      <c r="AF44" s="478">
        <f t="shared" si="11"/>
        <v>0</v>
      </c>
      <c r="AG44" s="478">
        <f t="shared" si="12"/>
        <v>0</v>
      </c>
      <c r="AH44" s="478">
        <f t="shared" si="13"/>
        <v>0</v>
      </c>
      <c r="AI44" s="484" t="s">
        <v>279</v>
      </c>
      <c r="AJ44" s="484" t="s">
        <v>279</v>
      </c>
      <c r="AK44" s="323">
        <f t="shared" si="14"/>
        <v>0</v>
      </c>
      <c r="AL44" s="588"/>
      <c r="AM44" s="323">
        <f t="shared" si="15"/>
        <v>0</v>
      </c>
    </row>
    <row r="45" spans="2:39" x14ac:dyDescent="0.25">
      <c r="B45" s="357"/>
      <c r="C45" s="355"/>
      <c r="D45" s="355"/>
      <c r="E45" s="355"/>
      <c r="F45" s="355"/>
      <c r="G45" s="356"/>
      <c r="H45" s="356"/>
      <c r="I45" s="356"/>
      <c r="J45" s="356"/>
      <c r="K45" s="356"/>
      <c r="L45" s="358"/>
      <c r="N45" s="468"/>
      <c r="O45" s="469"/>
      <c r="P45" s="469"/>
      <c r="Q45" s="469"/>
      <c r="R45" s="469"/>
      <c r="S45" s="472"/>
      <c r="T45" s="472"/>
      <c r="U45" s="472"/>
      <c r="V45" s="472"/>
      <c r="W45" s="472"/>
      <c r="X45" s="475"/>
      <c r="Z45" s="357"/>
      <c r="AA45" s="358"/>
      <c r="AB45" s="358"/>
      <c r="AC45" s="358"/>
      <c r="AD45" s="358"/>
      <c r="AE45" s="358"/>
      <c r="AF45" s="358"/>
      <c r="AG45" s="358"/>
      <c r="AH45" s="358"/>
      <c r="AI45" s="358"/>
      <c r="AJ45" s="358"/>
      <c r="AK45" s="358"/>
      <c r="AL45" s="475"/>
      <c r="AM45" s="358"/>
    </row>
    <row r="46" spans="2:39" ht="13" x14ac:dyDescent="0.25">
      <c r="B46" s="329" t="s">
        <v>172</v>
      </c>
      <c r="C46" s="330"/>
      <c r="D46" s="331"/>
      <c r="E46" s="331"/>
      <c r="F46" s="331"/>
      <c r="G46" s="331"/>
      <c r="H46" s="331"/>
      <c r="I46" s="331"/>
      <c r="J46" s="332"/>
      <c r="K46" s="341"/>
      <c r="L46" s="342">
        <f>SUM(L24:L44)</f>
        <v>0</v>
      </c>
      <c r="N46" s="465"/>
      <c r="O46" s="476"/>
      <c r="P46" s="271"/>
      <c r="Q46" s="271"/>
      <c r="R46" s="271"/>
      <c r="S46" s="271"/>
      <c r="T46" s="271"/>
      <c r="U46" s="271"/>
      <c r="V46" s="473"/>
      <c r="W46" s="271"/>
      <c r="X46" s="477"/>
      <c r="Z46" s="329" t="s">
        <v>172</v>
      </c>
      <c r="AA46" s="479">
        <f>SUM(AA24:AA44)</f>
        <v>0</v>
      </c>
      <c r="AB46" s="479">
        <f t="shared" ref="AB46:AK46" si="16">SUM(AB24:AB44)</f>
        <v>0</v>
      </c>
      <c r="AC46" s="479">
        <f t="shared" si="16"/>
        <v>0</v>
      </c>
      <c r="AD46" s="479">
        <f t="shared" si="16"/>
        <v>0</v>
      </c>
      <c r="AE46" s="479">
        <f t="shared" si="16"/>
        <v>0</v>
      </c>
      <c r="AF46" s="479">
        <f t="shared" si="16"/>
        <v>0</v>
      </c>
      <c r="AG46" s="479">
        <f t="shared" si="16"/>
        <v>0</v>
      </c>
      <c r="AH46" s="479">
        <f t="shared" si="16"/>
        <v>0</v>
      </c>
      <c r="AI46" s="485" t="s">
        <v>279</v>
      </c>
      <c r="AJ46" s="485" t="s">
        <v>279</v>
      </c>
      <c r="AK46" s="342">
        <f t="shared" si="16"/>
        <v>0</v>
      </c>
      <c r="AL46" s="589"/>
      <c r="AM46" s="342">
        <f>SUM(AM24:AM44)</f>
        <v>0</v>
      </c>
    </row>
    <row r="47" spans="2:39" x14ac:dyDescent="0.25">
      <c r="B47" s="275"/>
      <c r="C47" s="276"/>
      <c r="D47" s="275"/>
      <c r="E47" s="275"/>
      <c r="F47" s="275"/>
      <c r="G47" s="275"/>
      <c r="H47" s="275"/>
      <c r="I47" s="275"/>
      <c r="J47" s="275"/>
      <c r="K47" s="275"/>
      <c r="L47" s="275"/>
      <c r="N47" s="271"/>
      <c r="O47" s="483"/>
      <c r="P47" s="271"/>
      <c r="Q47" s="271"/>
      <c r="R47" s="271"/>
      <c r="S47" s="271"/>
      <c r="T47" s="271"/>
      <c r="U47" s="271"/>
      <c r="V47" s="271"/>
      <c r="W47" s="271"/>
      <c r="X47" s="271"/>
    </row>
    <row r="48" spans="2:39" ht="15.5" x14ac:dyDescent="0.35">
      <c r="B48" s="1"/>
      <c r="C48" s="1"/>
      <c r="D48" s="1"/>
      <c r="E48" s="1"/>
      <c r="F48" s="1"/>
      <c r="H48" s="1"/>
      <c r="I48" s="1"/>
      <c r="J48" s="1"/>
      <c r="K48" s="1"/>
      <c r="L48" s="1"/>
      <c r="N48" s="36"/>
      <c r="O48" s="36"/>
      <c r="P48" s="36"/>
      <c r="Q48" s="36"/>
      <c r="R48" s="36"/>
      <c r="S48" s="36"/>
      <c r="T48" s="36"/>
      <c r="U48" s="36"/>
      <c r="V48" s="36"/>
      <c r="W48" s="36"/>
      <c r="X48" s="36"/>
      <c r="Z48" s="1044" t="str">
        <f>IF(VehOp&lt;&gt;"N","","* Vehicle Operating Cost Savings Not Counted")</f>
        <v/>
      </c>
      <c r="AM48" s="585"/>
    </row>
    <row r="49" spans="2:24" ht="13" x14ac:dyDescent="0.25">
      <c r="B49" s="350" t="s">
        <v>252</v>
      </c>
      <c r="C49" s="88"/>
      <c r="D49" s="88"/>
      <c r="E49" s="88"/>
      <c r="F49" s="88"/>
      <c r="G49" s="88"/>
      <c r="H49" s="309"/>
      <c r="I49" s="309"/>
      <c r="J49" s="88"/>
      <c r="K49" s="88"/>
      <c r="L49" s="88"/>
      <c r="N49" s="459"/>
      <c r="O49" s="271"/>
      <c r="P49" s="271"/>
      <c r="Q49" s="271"/>
      <c r="R49" s="271"/>
      <c r="S49" s="271"/>
      <c r="T49" s="309"/>
      <c r="U49" s="309"/>
      <c r="V49" s="271"/>
      <c r="W49" s="271"/>
      <c r="X49" s="271"/>
    </row>
    <row r="50" spans="2:24" x14ac:dyDescent="0.25">
      <c r="B50" s="88"/>
      <c r="C50" s="88"/>
      <c r="D50" s="274"/>
      <c r="E50" s="274"/>
      <c r="F50" s="274"/>
      <c r="G50" s="88"/>
      <c r="H50" s="88"/>
      <c r="I50" s="88"/>
      <c r="J50" s="88"/>
      <c r="K50" s="88"/>
      <c r="L50" s="351"/>
      <c r="N50" s="271"/>
      <c r="O50" s="271"/>
      <c r="P50" s="274"/>
      <c r="Q50" s="274"/>
      <c r="R50" s="274"/>
      <c r="S50" s="271"/>
      <c r="T50" s="271"/>
      <c r="U50" s="271"/>
      <c r="V50" s="271"/>
      <c r="W50" s="271"/>
      <c r="X50" s="460"/>
    </row>
    <row r="51" spans="2:24" ht="15.5" x14ac:dyDescent="0.25">
      <c r="B51" s="317"/>
      <c r="C51" s="320" t="s">
        <v>230</v>
      </c>
      <c r="D51" s="361"/>
      <c r="E51" s="320" t="s">
        <v>231</v>
      </c>
      <c r="F51" s="333"/>
      <c r="G51" s="335" t="s">
        <v>272</v>
      </c>
      <c r="H51" s="321"/>
      <c r="I51" s="437" t="s">
        <v>273</v>
      </c>
      <c r="J51" s="438"/>
      <c r="K51" s="322"/>
      <c r="L51" s="343"/>
      <c r="N51" s="271"/>
      <c r="O51" s="461"/>
      <c r="P51" s="3"/>
      <c r="Q51" s="461"/>
      <c r="R51" s="3"/>
      <c r="S51" s="461"/>
      <c r="T51" s="243"/>
      <c r="U51" s="461"/>
      <c r="V51" s="461"/>
      <c r="W51" s="462"/>
      <c r="X51" s="271"/>
    </row>
    <row r="52" spans="2:24" ht="14" x14ac:dyDescent="0.25">
      <c r="B52" s="318"/>
      <c r="C52" s="287" t="s">
        <v>237</v>
      </c>
      <c r="D52" s="362"/>
      <c r="E52" s="287" t="s">
        <v>238</v>
      </c>
      <c r="F52" s="334"/>
      <c r="G52" s="336" t="s">
        <v>274</v>
      </c>
      <c r="H52" s="288"/>
      <c r="I52" s="439" t="s">
        <v>275</v>
      </c>
      <c r="J52" s="440"/>
      <c r="K52" s="284"/>
      <c r="L52" s="344"/>
      <c r="N52" s="36"/>
      <c r="O52" s="463"/>
      <c r="P52" s="464"/>
      <c r="Q52" s="463"/>
      <c r="R52" s="464"/>
      <c r="S52" s="463"/>
      <c r="T52" s="463"/>
      <c r="U52" s="463"/>
      <c r="V52" s="463"/>
      <c r="W52" s="271"/>
      <c r="X52" s="271"/>
    </row>
    <row r="53" spans="2:24" ht="14" x14ac:dyDescent="0.25">
      <c r="B53" s="169" t="s">
        <v>135</v>
      </c>
      <c r="C53" s="316"/>
      <c r="D53" s="283"/>
      <c r="E53" s="316"/>
      <c r="F53" s="283"/>
      <c r="G53" s="316"/>
      <c r="H53" s="283"/>
      <c r="I53" s="432" t="s">
        <v>276</v>
      </c>
      <c r="J53" s="283" t="s">
        <v>277</v>
      </c>
      <c r="K53" s="286" t="s">
        <v>242</v>
      </c>
      <c r="L53" s="345" t="s">
        <v>139</v>
      </c>
      <c r="N53" s="465"/>
      <c r="O53" s="466"/>
      <c r="P53" s="466"/>
      <c r="Q53" s="466"/>
      <c r="R53" s="466"/>
      <c r="S53" s="466"/>
      <c r="T53" s="466"/>
      <c r="U53" s="466"/>
      <c r="V53" s="466"/>
      <c r="W53" s="465"/>
      <c r="X53" s="465"/>
    </row>
    <row r="54" spans="2:24" ht="14" x14ac:dyDescent="0.25">
      <c r="B54" s="319"/>
      <c r="C54" s="324" t="s">
        <v>0</v>
      </c>
      <c r="D54" s="325" t="s">
        <v>1</v>
      </c>
      <c r="E54" s="324" t="s">
        <v>0</v>
      </c>
      <c r="F54" s="325" t="s">
        <v>1</v>
      </c>
      <c r="G54" s="324" t="s">
        <v>0</v>
      </c>
      <c r="H54" s="325" t="s">
        <v>1</v>
      </c>
      <c r="I54" s="441" t="s">
        <v>147</v>
      </c>
      <c r="J54" s="325" t="s">
        <v>147</v>
      </c>
      <c r="K54" s="326" t="s">
        <v>148</v>
      </c>
      <c r="L54" s="346" t="s">
        <v>149</v>
      </c>
      <c r="N54" s="467"/>
      <c r="O54" s="466"/>
      <c r="P54" s="466"/>
      <c r="Q54" s="466"/>
      <c r="R54" s="466"/>
      <c r="S54" s="466"/>
      <c r="T54" s="466"/>
      <c r="U54" s="466"/>
      <c r="V54" s="466"/>
      <c r="W54" s="465"/>
      <c r="X54" s="465"/>
    </row>
    <row r="55" spans="2:24" x14ac:dyDescent="0.25">
      <c r="B55" s="327">
        <v>1</v>
      </c>
      <c r="C55" s="348">
        <f>PNV1NB*AnnualFactor</f>
        <v>0</v>
      </c>
      <c r="D55" s="349">
        <f>PNV1B*AnnualFactor</f>
        <v>0</v>
      </c>
      <c r="E55" s="363">
        <f>ROUND(PNS1NB,1)</f>
        <v>55</v>
      </c>
      <c r="F55" s="364">
        <f>ROUND(PNS1B,1)</f>
        <v>55</v>
      </c>
      <c r="G55" s="339">
        <f>ImpactedNB*C55</f>
        <v>0</v>
      </c>
      <c r="H55" s="434">
        <f>ImpactedB*D55</f>
        <v>0</v>
      </c>
      <c r="I55" s="515">
        <f>(G55*VLOOKUP(E55,FuelCon,2)*IF(Pavement,VLOOKUP(IRI1NB,FuelConPavAdj,2),1)-H55*VLOOKUP(F55,FuelCon,2)*IF(Pavement,VLOOKUP(IRI1B,FuelConPavAdj,2),1))*FuelAuto*IF(UserAdjInputs,1,VLOOKUP(TMSLookup,TMSAdj,9))</f>
        <v>0</v>
      </c>
      <c r="J55" s="498">
        <f>(G55*IF(Pavement,VLOOKUP(IRI1NB,NonFuelPavAdj,2),1)-H55*IF(Pavement,VLOOKUP(IRI1B,NonFuelPavAdj,2),1))*NonFuelAuto*IF(UserAdjInputs,1,VLOOKUP(TMSLookup,TMSAdj,9))</f>
        <v>0</v>
      </c>
      <c r="K55" s="285">
        <f>SUM($I55:$J55)</f>
        <v>0</v>
      </c>
      <c r="L55" s="323">
        <f>$K55/(1+DiscRate)^($B55+Construct-1)</f>
        <v>0</v>
      </c>
      <c r="N55" s="468"/>
      <c r="O55" s="469"/>
      <c r="P55" s="469"/>
      <c r="Q55" s="470"/>
      <c r="R55" s="470"/>
      <c r="S55" s="471"/>
      <c r="T55" s="471"/>
      <c r="U55" s="472"/>
      <c r="V55" s="472"/>
      <c r="W55" s="473"/>
      <c r="X55" s="474"/>
    </row>
    <row r="56" spans="2:24" x14ac:dyDescent="0.25">
      <c r="B56" s="328">
        <v>20</v>
      </c>
      <c r="C56" s="353">
        <f>PNV20NB*AnnualFactor</f>
        <v>0</v>
      </c>
      <c r="D56" s="354">
        <f>PNV20B*AnnualFactor</f>
        <v>0</v>
      </c>
      <c r="E56" s="365">
        <f>ROUND(PNS20NB,1)</f>
        <v>55</v>
      </c>
      <c r="F56" s="366">
        <f>ROUND(PNS20B,1)</f>
        <v>55</v>
      </c>
      <c r="G56" s="339">
        <f>ImpactedNB*C56</f>
        <v>0</v>
      </c>
      <c r="H56" s="435">
        <f>ImpactedB*D56</f>
        <v>0</v>
      </c>
      <c r="I56" s="520">
        <f>(G56*VLOOKUP(E56,FuelCon,2)*IF(Pavement,VLOOKUP(IRI1NB,FuelConPavAdj,2),1)-H56*VLOOKUP(F56,FuelCon,2)*IF(Pavement,VLOOKUP(IRI1B,FuelConPavAdj,2),1))*FuelAuto*IF(UserAdjInputs,1,VLOOKUP(TMSLookup,TMSAdj,9))</f>
        <v>0</v>
      </c>
      <c r="J56" s="499">
        <f>(G56*IF(Pavement,VLOOKUP(IRI1NB,NonFuelPavAdj,2),1)-H56*IF(Pavement,VLOOKUP(IRI1B,NonFuelPavAdj,2),1))*NonFuelAuto*IF(UserAdjInputs,1,VLOOKUP(TMSLookup,TMSAdj,9))</f>
        <v>0</v>
      </c>
      <c r="K56" s="285">
        <f>SUM($I56:$J56)</f>
        <v>0</v>
      </c>
      <c r="L56" s="323">
        <f>$K56/(1+DiscRate)^($B56+Construct-1)</f>
        <v>0</v>
      </c>
      <c r="N56" s="468"/>
      <c r="O56" s="469"/>
      <c r="P56" s="469"/>
      <c r="Q56" s="470"/>
      <c r="R56" s="470"/>
      <c r="S56" s="471"/>
      <c r="T56" s="471"/>
      <c r="U56" s="472"/>
      <c r="V56" s="472"/>
      <c r="W56" s="473"/>
      <c r="X56" s="474"/>
    </row>
    <row r="57" spans="2:24" x14ac:dyDescent="0.25">
      <c r="B57" s="357"/>
      <c r="C57" s="355"/>
      <c r="D57" s="355"/>
      <c r="E57" s="367"/>
      <c r="F57" s="367"/>
      <c r="G57" s="356"/>
      <c r="H57" s="356"/>
      <c r="I57" s="356"/>
      <c r="J57" s="356"/>
      <c r="K57" s="356"/>
      <c r="L57" s="358"/>
      <c r="N57" s="468"/>
      <c r="O57" s="469"/>
      <c r="P57" s="469"/>
      <c r="Q57" s="470"/>
      <c r="R57" s="470"/>
      <c r="S57" s="472"/>
      <c r="T57" s="472"/>
      <c r="U57" s="472"/>
      <c r="V57" s="472"/>
      <c r="W57" s="472"/>
      <c r="X57" s="475"/>
    </row>
    <row r="58" spans="2:24" x14ac:dyDescent="0.25">
      <c r="B58" s="352">
        <v>2</v>
      </c>
      <c r="C58" s="368">
        <f>TREND(C55:C56,B55:B56,B58)</f>
        <v>0</v>
      </c>
      <c r="D58" s="629">
        <f>TREND(D55:D56,B55:B56,B58)</f>
        <v>0</v>
      </c>
      <c r="E58" s="632">
        <f>TREND(E55:E56,B55:B56,B58)</f>
        <v>55</v>
      </c>
      <c r="F58" s="371">
        <f>TREND(F55:F56,B55:B56,B58)</f>
        <v>55</v>
      </c>
      <c r="G58" s="339">
        <f t="shared" ref="G58:G75" si="17">ImpactedNB*C58</f>
        <v>0</v>
      </c>
      <c r="H58" s="434">
        <f t="shared" ref="H58:H75" si="18">ImpactedB*D58</f>
        <v>0</v>
      </c>
      <c r="I58" s="515">
        <f t="shared" ref="I58:I75" si="19">(G58*VLOOKUP(E58,FuelCon,2)*IF(Pavement,VLOOKUP(IRI1NB,FuelConPavAdj,2),1)-H58*VLOOKUP(F58,FuelCon,2)*IF(Pavement,VLOOKUP(IRI1B,FuelConPavAdj,2),1))*FuelAuto*IF(UserAdjInputs,1,VLOOKUP(TMSLookup,TMSAdj,9))</f>
        <v>0</v>
      </c>
      <c r="J58" s="498">
        <f t="shared" ref="J58:J75" si="20">(G58*IF(Pavement,VLOOKUP(IRI1NB,NonFuelPavAdj,2),1)-H58*IF(Pavement,VLOOKUP(IRI1B,NonFuelPavAdj,2),1))*NonFuelAuto*IF(UserAdjInputs,1,VLOOKUP(TMSLookup,TMSAdj,9))</f>
        <v>0</v>
      </c>
      <c r="K58" s="285">
        <f t="shared" ref="K58:K75" si="21">SUM($I58:$J58)</f>
        <v>0</v>
      </c>
      <c r="L58" s="323">
        <f t="shared" ref="L58:L75" si="22">$K58/(1+DiscRate)^($B58+Construct-1)</f>
        <v>0</v>
      </c>
      <c r="N58" s="468"/>
      <c r="O58" s="469"/>
      <c r="P58" s="469"/>
      <c r="Q58" s="470"/>
      <c r="R58" s="470"/>
      <c r="S58" s="471"/>
      <c r="T58" s="471"/>
      <c r="U58" s="472"/>
      <c r="V58" s="472"/>
      <c r="W58" s="473"/>
      <c r="X58" s="474"/>
    </row>
    <row r="59" spans="2:24" x14ac:dyDescent="0.25">
      <c r="B59" s="327">
        <v>3</v>
      </c>
      <c r="C59" s="347">
        <f>TREND(C55:C56,B55:B56,B59)</f>
        <v>0</v>
      </c>
      <c r="D59" s="630">
        <f>TREND(D55:D56,B55:B56,B59)</f>
        <v>0</v>
      </c>
      <c r="E59" s="633">
        <f>TREND(E55:E56,B55:B56,B59)</f>
        <v>55</v>
      </c>
      <c r="F59" s="374">
        <f>TREND(F55:F56,B55:B56,B59)</f>
        <v>55</v>
      </c>
      <c r="G59" s="339">
        <f t="shared" si="17"/>
        <v>0</v>
      </c>
      <c r="H59" s="436">
        <f t="shared" si="18"/>
        <v>0</v>
      </c>
      <c r="I59" s="521">
        <f t="shared" si="19"/>
        <v>0</v>
      </c>
      <c r="J59" s="500">
        <f t="shared" si="20"/>
        <v>0</v>
      </c>
      <c r="K59" s="285">
        <f t="shared" si="21"/>
        <v>0</v>
      </c>
      <c r="L59" s="323">
        <f t="shared" si="22"/>
        <v>0</v>
      </c>
      <c r="N59" s="468"/>
      <c r="O59" s="469"/>
      <c r="P59" s="469"/>
      <c r="Q59" s="470"/>
      <c r="R59" s="470"/>
      <c r="S59" s="471"/>
      <c r="T59" s="471"/>
      <c r="U59" s="472"/>
      <c r="V59" s="472"/>
      <c r="W59" s="473"/>
      <c r="X59" s="474"/>
    </row>
    <row r="60" spans="2:24" x14ac:dyDescent="0.25">
      <c r="B60" s="327">
        <v>4</v>
      </c>
      <c r="C60" s="347">
        <f>TREND(C55:C56,B55:B56,B60)</f>
        <v>0</v>
      </c>
      <c r="D60" s="630">
        <f>TREND(D55:D56,B55:B56,B60)</f>
        <v>0</v>
      </c>
      <c r="E60" s="633">
        <f>TREND(E55:E56,B55:B56,B60)</f>
        <v>55</v>
      </c>
      <c r="F60" s="374">
        <f>TREND(F55:F56,B55:B56,B60)</f>
        <v>55</v>
      </c>
      <c r="G60" s="339">
        <f t="shared" si="17"/>
        <v>0</v>
      </c>
      <c r="H60" s="436">
        <f t="shared" si="18"/>
        <v>0</v>
      </c>
      <c r="I60" s="521">
        <f t="shared" si="19"/>
        <v>0</v>
      </c>
      <c r="J60" s="500">
        <f t="shared" si="20"/>
        <v>0</v>
      </c>
      <c r="K60" s="285">
        <f t="shared" si="21"/>
        <v>0</v>
      </c>
      <c r="L60" s="323">
        <f t="shared" si="22"/>
        <v>0</v>
      </c>
      <c r="N60" s="468"/>
      <c r="O60" s="469"/>
      <c r="P60" s="469"/>
      <c r="Q60" s="470"/>
      <c r="R60" s="470"/>
      <c r="S60" s="471"/>
      <c r="T60" s="471"/>
      <c r="U60" s="472"/>
      <c r="V60" s="472"/>
      <c r="W60" s="473"/>
      <c r="X60" s="474"/>
    </row>
    <row r="61" spans="2:24" x14ac:dyDescent="0.25">
      <c r="B61" s="327">
        <v>5</v>
      </c>
      <c r="C61" s="347">
        <f>TREND(C55:C56,B55:B56,B61)</f>
        <v>0</v>
      </c>
      <c r="D61" s="630">
        <f>TREND(D55:D56,B55:B56,B61)</f>
        <v>0</v>
      </c>
      <c r="E61" s="633">
        <f>TREND(E55:E56,B55:B56,B61)</f>
        <v>55</v>
      </c>
      <c r="F61" s="374">
        <f>TREND(F55:F56,B55:B56,B61)</f>
        <v>55</v>
      </c>
      <c r="G61" s="339">
        <f t="shared" si="17"/>
        <v>0</v>
      </c>
      <c r="H61" s="436">
        <f t="shared" si="18"/>
        <v>0</v>
      </c>
      <c r="I61" s="521">
        <f t="shared" si="19"/>
        <v>0</v>
      </c>
      <c r="J61" s="500">
        <f t="shared" si="20"/>
        <v>0</v>
      </c>
      <c r="K61" s="285">
        <f t="shared" si="21"/>
        <v>0</v>
      </c>
      <c r="L61" s="323">
        <f t="shared" si="22"/>
        <v>0</v>
      </c>
      <c r="N61" s="468"/>
      <c r="O61" s="469"/>
      <c r="P61" s="469"/>
      <c r="Q61" s="470"/>
      <c r="R61" s="470"/>
      <c r="S61" s="471"/>
      <c r="T61" s="471"/>
      <c r="U61" s="472"/>
      <c r="V61" s="472"/>
      <c r="W61" s="473"/>
      <c r="X61" s="474"/>
    </row>
    <row r="62" spans="2:24" x14ac:dyDescent="0.25">
      <c r="B62" s="327">
        <v>6</v>
      </c>
      <c r="C62" s="347">
        <f>TREND(C55:C56,B55:B56,B62)</f>
        <v>0</v>
      </c>
      <c r="D62" s="630">
        <f>TREND(D55:D56,B55:B56,B62)</f>
        <v>0</v>
      </c>
      <c r="E62" s="633">
        <f>TREND(E55:E56,B55:B56,B62)</f>
        <v>55</v>
      </c>
      <c r="F62" s="374">
        <f>TREND(F55:F56,B55:B56,B62)</f>
        <v>55</v>
      </c>
      <c r="G62" s="339">
        <f t="shared" si="17"/>
        <v>0</v>
      </c>
      <c r="H62" s="436">
        <f t="shared" si="18"/>
        <v>0</v>
      </c>
      <c r="I62" s="521">
        <f t="shared" si="19"/>
        <v>0</v>
      </c>
      <c r="J62" s="500">
        <f t="shared" si="20"/>
        <v>0</v>
      </c>
      <c r="K62" s="285">
        <f t="shared" si="21"/>
        <v>0</v>
      </c>
      <c r="L62" s="323">
        <f t="shared" si="22"/>
        <v>0</v>
      </c>
      <c r="N62" s="468"/>
      <c r="O62" s="469"/>
      <c r="P62" s="469"/>
      <c r="Q62" s="470"/>
      <c r="R62" s="470"/>
      <c r="S62" s="471"/>
      <c r="T62" s="471"/>
      <c r="U62" s="472"/>
      <c r="V62" s="472"/>
      <c r="W62" s="473"/>
      <c r="X62" s="474"/>
    </row>
    <row r="63" spans="2:24" x14ac:dyDescent="0.25">
      <c r="B63" s="327">
        <v>7</v>
      </c>
      <c r="C63" s="347">
        <f>TREND(C55:C56,B55:B56,B63)</f>
        <v>0</v>
      </c>
      <c r="D63" s="630">
        <f>TREND(D55:D56,B55:B56,B63)</f>
        <v>0</v>
      </c>
      <c r="E63" s="633">
        <f>TREND(E55:E56,B55:B56,B63)</f>
        <v>55</v>
      </c>
      <c r="F63" s="374">
        <f>TREND(F55:F56,B55:B56,B63)</f>
        <v>55</v>
      </c>
      <c r="G63" s="339">
        <f t="shared" si="17"/>
        <v>0</v>
      </c>
      <c r="H63" s="436">
        <f t="shared" si="18"/>
        <v>0</v>
      </c>
      <c r="I63" s="521">
        <f t="shared" si="19"/>
        <v>0</v>
      </c>
      <c r="J63" s="500">
        <f t="shared" si="20"/>
        <v>0</v>
      </c>
      <c r="K63" s="285">
        <f t="shared" si="21"/>
        <v>0</v>
      </c>
      <c r="L63" s="323">
        <f t="shared" si="22"/>
        <v>0</v>
      </c>
      <c r="N63" s="468"/>
      <c r="O63" s="469"/>
      <c r="P63" s="469"/>
      <c r="Q63" s="470"/>
      <c r="R63" s="470"/>
      <c r="S63" s="471"/>
      <c r="T63" s="471"/>
      <c r="U63" s="472"/>
      <c r="V63" s="472"/>
      <c r="W63" s="473"/>
      <c r="X63" s="474"/>
    </row>
    <row r="64" spans="2:24" x14ac:dyDescent="0.25">
      <c r="B64" s="327">
        <v>8</v>
      </c>
      <c r="C64" s="347">
        <f>TREND(C55:C56,B55:B56,B64)</f>
        <v>0</v>
      </c>
      <c r="D64" s="630">
        <f>TREND(D55:D56,B55:B56,B64)</f>
        <v>0</v>
      </c>
      <c r="E64" s="633">
        <f>TREND(E55:E56,B55:B56,B64)</f>
        <v>55</v>
      </c>
      <c r="F64" s="374">
        <f>TREND(F55:F56,B55:B56,B64)</f>
        <v>55</v>
      </c>
      <c r="G64" s="339">
        <f t="shared" si="17"/>
        <v>0</v>
      </c>
      <c r="H64" s="436">
        <f t="shared" si="18"/>
        <v>0</v>
      </c>
      <c r="I64" s="521">
        <f t="shared" si="19"/>
        <v>0</v>
      </c>
      <c r="J64" s="500">
        <f t="shared" si="20"/>
        <v>0</v>
      </c>
      <c r="K64" s="285">
        <f t="shared" si="21"/>
        <v>0</v>
      </c>
      <c r="L64" s="323">
        <f t="shared" si="22"/>
        <v>0</v>
      </c>
      <c r="N64" s="468"/>
      <c r="O64" s="469"/>
      <c r="P64" s="469"/>
      <c r="Q64" s="470"/>
      <c r="R64" s="470"/>
      <c r="S64" s="471"/>
      <c r="T64" s="471"/>
      <c r="U64" s="472"/>
      <c r="V64" s="472"/>
      <c r="W64" s="473"/>
      <c r="X64" s="474"/>
    </row>
    <row r="65" spans="2:24" x14ac:dyDescent="0.25">
      <c r="B65" s="327">
        <v>9</v>
      </c>
      <c r="C65" s="347">
        <f>TREND(C55:C56,B55:B56,B65)</f>
        <v>0</v>
      </c>
      <c r="D65" s="630">
        <f>TREND(D55:D56,B55:B56,B65)</f>
        <v>0</v>
      </c>
      <c r="E65" s="633">
        <f>TREND(E55:E56,B55:B56,B65)</f>
        <v>55</v>
      </c>
      <c r="F65" s="374">
        <f>TREND(F55:F56,B55:B56,B65)</f>
        <v>55</v>
      </c>
      <c r="G65" s="339">
        <f t="shared" si="17"/>
        <v>0</v>
      </c>
      <c r="H65" s="436">
        <f t="shared" si="18"/>
        <v>0</v>
      </c>
      <c r="I65" s="521">
        <f t="shared" si="19"/>
        <v>0</v>
      </c>
      <c r="J65" s="500">
        <f t="shared" si="20"/>
        <v>0</v>
      </c>
      <c r="K65" s="285">
        <f t="shared" si="21"/>
        <v>0</v>
      </c>
      <c r="L65" s="323">
        <f t="shared" si="22"/>
        <v>0</v>
      </c>
      <c r="N65" s="468"/>
      <c r="O65" s="469"/>
      <c r="P65" s="469"/>
      <c r="Q65" s="470"/>
      <c r="R65" s="470"/>
      <c r="S65" s="471"/>
      <c r="T65" s="471"/>
      <c r="U65" s="472"/>
      <c r="V65" s="472"/>
      <c r="W65" s="473"/>
      <c r="X65" s="474"/>
    </row>
    <row r="66" spans="2:24" x14ac:dyDescent="0.25">
      <c r="B66" s="327">
        <v>10</v>
      </c>
      <c r="C66" s="347">
        <f>TREND(C55:C56,B55:B56,B66)</f>
        <v>0</v>
      </c>
      <c r="D66" s="630">
        <f>TREND(D55:D56,B55:B56,B66)</f>
        <v>0</v>
      </c>
      <c r="E66" s="633">
        <f>TREND(E55:E56,B55:B56,B66)</f>
        <v>55</v>
      </c>
      <c r="F66" s="374">
        <f>TREND(F55:F56,B55:B56,B66)</f>
        <v>55</v>
      </c>
      <c r="G66" s="339">
        <f t="shared" si="17"/>
        <v>0</v>
      </c>
      <c r="H66" s="436">
        <f t="shared" si="18"/>
        <v>0</v>
      </c>
      <c r="I66" s="521">
        <f t="shared" si="19"/>
        <v>0</v>
      </c>
      <c r="J66" s="500">
        <f t="shared" si="20"/>
        <v>0</v>
      </c>
      <c r="K66" s="285">
        <f t="shared" si="21"/>
        <v>0</v>
      </c>
      <c r="L66" s="323">
        <f t="shared" si="22"/>
        <v>0</v>
      </c>
      <c r="N66" s="468"/>
      <c r="O66" s="469"/>
      <c r="P66" s="469"/>
      <c r="Q66" s="470"/>
      <c r="R66" s="470"/>
      <c r="S66" s="471"/>
      <c r="T66" s="471"/>
      <c r="U66" s="472"/>
      <c r="V66" s="472"/>
      <c r="W66" s="473"/>
      <c r="X66" s="474"/>
    </row>
    <row r="67" spans="2:24" x14ac:dyDescent="0.25">
      <c r="B67" s="327">
        <v>11</v>
      </c>
      <c r="C67" s="347">
        <f>TREND(C55:C56,B55:B56,B67)</f>
        <v>0</v>
      </c>
      <c r="D67" s="630">
        <f>TREND(D55:D56,B55:B56,B67)</f>
        <v>0</v>
      </c>
      <c r="E67" s="633">
        <f>TREND(E55:E56,B55:B56,B67)</f>
        <v>55</v>
      </c>
      <c r="F67" s="374">
        <f>TREND(F55:F56,B55:B56,B67)</f>
        <v>55</v>
      </c>
      <c r="G67" s="339">
        <f t="shared" si="17"/>
        <v>0</v>
      </c>
      <c r="H67" s="436">
        <f t="shared" si="18"/>
        <v>0</v>
      </c>
      <c r="I67" s="521">
        <f t="shared" si="19"/>
        <v>0</v>
      </c>
      <c r="J67" s="500">
        <f t="shared" si="20"/>
        <v>0</v>
      </c>
      <c r="K67" s="285">
        <f t="shared" si="21"/>
        <v>0</v>
      </c>
      <c r="L67" s="323">
        <f t="shared" si="22"/>
        <v>0</v>
      </c>
      <c r="N67" s="468"/>
      <c r="O67" s="469"/>
      <c r="P67" s="469"/>
      <c r="Q67" s="470"/>
      <c r="R67" s="470"/>
      <c r="S67" s="471"/>
      <c r="T67" s="471"/>
      <c r="U67" s="472"/>
      <c r="V67" s="472"/>
      <c r="W67" s="473"/>
      <c r="X67" s="474"/>
    </row>
    <row r="68" spans="2:24" x14ac:dyDescent="0.25">
      <c r="B68" s="327">
        <v>12</v>
      </c>
      <c r="C68" s="347">
        <f>TREND(C55:C56,B55:B56,B68)</f>
        <v>0</v>
      </c>
      <c r="D68" s="630">
        <f>TREND(D55:D56,B55:B56,B68)</f>
        <v>0</v>
      </c>
      <c r="E68" s="633">
        <f>TREND(E55:E56,B55:B56,B68)</f>
        <v>55</v>
      </c>
      <c r="F68" s="374">
        <f>TREND(F55:F56,B55:B56,B68)</f>
        <v>55</v>
      </c>
      <c r="G68" s="339">
        <f t="shared" si="17"/>
        <v>0</v>
      </c>
      <c r="H68" s="436">
        <f t="shared" si="18"/>
        <v>0</v>
      </c>
      <c r="I68" s="521">
        <f t="shared" si="19"/>
        <v>0</v>
      </c>
      <c r="J68" s="500">
        <f t="shared" si="20"/>
        <v>0</v>
      </c>
      <c r="K68" s="285">
        <f t="shared" si="21"/>
        <v>0</v>
      </c>
      <c r="L68" s="323">
        <f t="shared" si="22"/>
        <v>0</v>
      </c>
      <c r="N68" s="468"/>
      <c r="O68" s="469"/>
      <c r="P68" s="469"/>
      <c r="Q68" s="470"/>
      <c r="R68" s="470"/>
      <c r="S68" s="471"/>
      <c r="T68" s="471"/>
      <c r="U68" s="472"/>
      <c r="V68" s="472"/>
      <c r="W68" s="473"/>
      <c r="X68" s="474"/>
    </row>
    <row r="69" spans="2:24" x14ac:dyDescent="0.25">
      <c r="B69" s="327">
        <v>13</v>
      </c>
      <c r="C69" s="347">
        <f>TREND(C55:C56,B55:B56,B69)</f>
        <v>0</v>
      </c>
      <c r="D69" s="630">
        <f>TREND(D55:D56,B55:B56,B69)</f>
        <v>0</v>
      </c>
      <c r="E69" s="633">
        <f>TREND(E55:E56,B55:B56,B69)</f>
        <v>55</v>
      </c>
      <c r="F69" s="374">
        <f>TREND(F55:F56,B55:B56,B69)</f>
        <v>55</v>
      </c>
      <c r="G69" s="339">
        <f t="shared" si="17"/>
        <v>0</v>
      </c>
      <c r="H69" s="436">
        <f t="shared" si="18"/>
        <v>0</v>
      </c>
      <c r="I69" s="521">
        <f t="shared" si="19"/>
        <v>0</v>
      </c>
      <c r="J69" s="500">
        <f t="shared" si="20"/>
        <v>0</v>
      </c>
      <c r="K69" s="285">
        <f t="shared" si="21"/>
        <v>0</v>
      </c>
      <c r="L69" s="323">
        <f t="shared" si="22"/>
        <v>0</v>
      </c>
      <c r="N69" s="468"/>
      <c r="O69" s="469"/>
      <c r="P69" s="469"/>
      <c r="Q69" s="470"/>
      <c r="R69" s="470"/>
      <c r="S69" s="471"/>
      <c r="T69" s="471"/>
      <c r="U69" s="472"/>
      <c r="V69" s="472"/>
      <c r="W69" s="473"/>
      <c r="X69" s="474"/>
    </row>
    <row r="70" spans="2:24" x14ac:dyDescent="0.25">
      <c r="B70" s="327">
        <v>14</v>
      </c>
      <c r="C70" s="347">
        <f>TREND(C55:C56,B55:B56,B70)</f>
        <v>0</v>
      </c>
      <c r="D70" s="630">
        <f>TREND(D55:D56,B55:B56,B70)</f>
        <v>0</v>
      </c>
      <c r="E70" s="633">
        <f>TREND(E55:E56,B55:B56,B70)</f>
        <v>55</v>
      </c>
      <c r="F70" s="374">
        <f>TREND(F55:F56,B55:B56,B70)</f>
        <v>55</v>
      </c>
      <c r="G70" s="339">
        <f t="shared" si="17"/>
        <v>0</v>
      </c>
      <c r="H70" s="436">
        <f t="shared" si="18"/>
        <v>0</v>
      </c>
      <c r="I70" s="521">
        <f t="shared" si="19"/>
        <v>0</v>
      </c>
      <c r="J70" s="500">
        <f t="shared" si="20"/>
        <v>0</v>
      </c>
      <c r="K70" s="285">
        <f t="shared" si="21"/>
        <v>0</v>
      </c>
      <c r="L70" s="323">
        <f t="shared" si="22"/>
        <v>0</v>
      </c>
      <c r="N70" s="468"/>
      <c r="O70" s="469"/>
      <c r="P70" s="469"/>
      <c r="Q70" s="470"/>
      <c r="R70" s="470"/>
      <c r="S70" s="471"/>
      <c r="T70" s="471"/>
      <c r="U70" s="472"/>
      <c r="V70" s="472"/>
      <c r="W70" s="473"/>
      <c r="X70" s="474"/>
    </row>
    <row r="71" spans="2:24" x14ac:dyDescent="0.25">
      <c r="B71" s="327">
        <v>15</v>
      </c>
      <c r="C71" s="347">
        <f>TREND(C55:C56,B55:B56,B71)</f>
        <v>0</v>
      </c>
      <c r="D71" s="630">
        <f>TREND(D55:D56,B55:B56,B71)</f>
        <v>0</v>
      </c>
      <c r="E71" s="633">
        <f>TREND(E55:E56,B55:B56,B71)</f>
        <v>55</v>
      </c>
      <c r="F71" s="374">
        <f>TREND(F55:F56,B55:B56,B71)</f>
        <v>55</v>
      </c>
      <c r="G71" s="339">
        <f t="shared" si="17"/>
        <v>0</v>
      </c>
      <c r="H71" s="436">
        <f t="shared" si="18"/>
        <v>0</v>
      </c>
      <c r="I71" s="521">
        <f t="shared" si="19"/>
        <v>0</v>
      </c>
      <c r="J71" s="500">
        <f t="shared" si="20"/>
        <v>0</v>
      </c>
      <c r="K71" s="285">
        <f t="shared" si="21"/>
        <v>0</v>
      </c>
      <c r="L71" s="323">
        <f t="shared" si="22"/>
        <v>0</v>
      </c>
      <c r="N71" s="468"/>
      <c r="O71" s="469"/>
      <c r="P71" s="469"/>
      <c r="Q71" s="470"/>
      <c r="R71" s="470"/>
      <c r="S71" s="471"/>
      <c r="T71" s="471"/>
      <c r="U71" s="472"/>
      <c r="V71" s="472"/>
      <c r="W71" s="473"/>
      <c r="X71" s="474"/>
    </row>
    <row r="72" spans="2:24" x14ac:dyDescent="0.25">
      <c r="B72" s="327">
        <v>16</v>
      </c>
      <c r="C72" s="347">
        <f>TREND(C55:C56,B55:B56,B72)</f>
        <v>0</v>
      </c>
      <c r="D72" s="630">
        <f>TREND(D55:D56,B55:B56,B72)</f>
        <v>0</v>
      </c>
      <c r="E72" s="633">
        <f>TREND(E55:E56,B55:B56,B72)</f>
        <v>55</v>
      </c>
      <c r="F72" s="374">
        <f>TREND(F55:F56,B55:B56,B72)</f>
        <v>55</v>
      </c>
      <c r="G72" s="339">
        <f t="shared" si="17"/>
        <v>0</v>
      </c>
      <c r="H72" s="436">
        <f t="shared" si="18"/>
        <v>0</v>
      </c>
      <c r="I72" s="521">
        <f t="shared" si="19"/>
        <v>0</v>
      </c>
      <c r="J72" s="500">
        <f t="shared" si="20"/>
        <v>0</v>
      </c>
      <c r="K72" s="285">
        <f t="shared" si="21"/>
        <v>0</v>
      </c>
      <c r="L72" s="323">
        <f t="shared" si="22"/>
        <v>0</v>
      </c>
      <c r="N72" s="468"/>
      <c r="O72" s="469"/>
      <c r="P72" s="469"/>
      <c r="Q72" s="470"/>
      <c r="R72" s="470"/>
      <c r="S72" s="471"/>
      <c r="T72" s="471"/>
      <c r="U72" s="472"/>
      <c r="V72" s="472"/>
      <c r="W72" s="473"/>
      <c r="X72" s="474"/>
    </row>
    <row r="73" spans="2:24" x14ac:dyDescent="0.25">
      <c r="B73" s="327">
        <v>17</v>
      </c>
      <c r="C73" s="347">
        <f>TREND(C55:C56,B55:B56,B73)</f>
        <v>0</v>
      </c>
      <c r="D73" s="630">
        <f>TREND(D55:D56,B55:B56,B73)</f>
        <v>0</v>
      </c>
      <c r="E73" s="633">
        <f>TREND(E55:E56,B55:B56,B73)</f>
        <v>55</v>
      </c>
      <c r="F73" s="374">
        <f>TREND(F55:F56,B55:B56,B73)</f>
        <v>55</v>
      </c>
      <c r="G73" s="339">
        <f t="shared" si="17"/>
        <v>0</v>
      </c>
      <c r="H73" s="436">
        <f t="shared" si="18"/>
        <v>0</v>
      </c>
      <c r="I73" s="521">
        <f t="shared" si="19"/>
        <v>0</v>
      </c>
      <c r="J73" s="500">
        <f t="shared" si="20"/>
        <v>0</v>
      </c>
      <c r="K73" s="285">
        <f t="shared" si="21"/>
        <v>0</v>
      </c>
      <c r="L73" s="323">
        <f t="shared" si="22"/>
        <v>0</v>
      </c>
      <c r="N73" s="468"/>
      <c r="O73" s="469"/>
      <c r="P73" s="469"/>
      <c r="Q73" s="470"/>
      <c r="R73" s="470"/>
      <c r="S73" s="471"/>
      <c r="T73" s="471"/>
      <c r="U73" s="472"/>
      <c r="V73" s="472"/>
      <c r="W73" s="473"/>
      <c r="X73" s="474"/>
    </row>
    <row r="74" spans="2:24" x14ac:dyDescent="0.25">
      <c r="B74" s="327">
        <v>18</v>
      </c>
      <c r="C74" s="347">
        <f>TREND(C55:C56,B55:B56,B74)</f>
        <v>0</v>
      </c>
      <c r="D74" s="630">
        <f>TREND(D55:D56,B55:B56,B74)</f>
        <v>0</v>
      </c>
      <c r="E74" s="633">
        <f>TREND(E55:E56,B55:B56,B74)</f>
        <v>55</v>
      </c>
      <c r="F74" s="374">
        <f>TREND(F55:F56,B55:B56,B74)</f>
        <v>55</v>
      </c>
      <c r="G74" s="339">
        <f t="shared" si="17"/>
        <v>0</v>
      </c>
      <c r="H74" s="436">
        <f t="shared" si="18"/>
        <v>0</v>
      </c>
      <c r="I74" s="521">
        <f t="shared" si="19"/>
        <v>0</v>
      </c>
      <c r="J74" s="500">
        <f t="shared" si="20"/>
        <v>0</v>
      </c>
      <c r="K74" s="285">
        <f t="shared" si="21"/>
        <v>0</v>
      </c>
      <c r="L74" s="323">
        <f t="shared" si="22"/>
        <v>0</v>
      </c>
      <c r="N74" s="468"/>
      <c r="O74" s="469"/>
      <c r="P74" s="469"/>
      <c r="Q74" s="470"/>
      <c r="R74" s="470"/>
      <c r="S74" s="471"/>
      <c r="T74" s="471"/>
      <c r="U74" s="472"/>
      <c r="V74" s="472"/>
      <c r="W74" s="473"/>
      <c r="X74" s="474"/>
    </row>
    <row r="75" spans="2:24" x14ac:dyDescent="0.25">
      <c r="B75" s="359">
        <v>19</v>
      </c>
      <c r="C75" s="360">
        <f>TREND(C55:C56,B55:B56,B75)</f>
        <v>0</v>
      </c>
      <c r="D75" s="631">
        <f>TREND(D55:D56,B55:B56,B75)</f>
        <v>0</v>
      </c>
      <c r="E75" s="634">
        <f>TREND(E55:E56,B55:B56,B75)</f>
        <v>55</v>
      </c>
      <c r="F75" s="377">
        <f>TREND(F55:F56,B55:B56,B75)</f>
        <v>55</v>
      </c>
      <c r="G75" s="339">
        <f t="shared" si="17"/>
        <v>0</v>
      </c>
      <c r="H75" s="435">
        <f t="shared" si="18"/>
        <v>0</v>
      </c>
      <c r="I75" s="520">
        <f t="shared" si="19"/>
        <v>0</v>
      </c>
      <c r="J75" s="499">
        <f t="shared" si="20"/>
        <v>0</v>
      </c>
      <c r="K75" s="285">
        <f t="shared" si="21"/>
        <v>0</v>
      </c>
      <c r="L75" s="323">
        <f t="shared" si="22"/>
        <v>0</v>
      </c>
      <c r="N75" s="468"/>
      <c r="O75" s="469"/>
      <c r="P75" s="469"/>
      <c r="Q75" s="470"/>
      <c r="R75" s="470"/>
      <c r="S75" s="471"/>
      <c r="T75" s="471"/>
      <c r="U75" s="472"/>
      <c r="V75" s="472"/>
      <c r="W75" s="473"/>
      <c r="X75" s="474"/>
    </row>
    <row r="76" spans="2:24" x14ac:dyDescent="0.25">
      <c r="B76" s="357"/>
      <c r="C76" s="355"/>
      <c r="D76" s="355"/>
      <c r="E76" s="355"/>
      <c r="F76" s="355"/>
      <c r="G76" s="356"/>
      <c r="H76" s="356"/>
      <c r="I76" s="356"/>
      <c r="J76" s="356"/>
      <c r="K76" s="356"/>
      <c r="L76" s="358"/>
      <c r="N76" s="468"/>
      <c r="O76" s="469"/>
      <c r="P76" s="469"/>
      <c r="Q76" s="469"/>
      <c r="R76" s="469"/>
      <c r="S76" s="472"/>
      <c r="T76" s="472"/>
      <c r="U76" s="472"/>
      <c r="V76" s="472"/>
      <c r="W76" s="472"/>
      <c r="X76" s="475"/>
    </row>
    <row r="77" spans="2:24" ht="13" x14ac:dyDescent="0.25">
      <c r="B77" s="329" t="s">
        <v>172</v>
      </c>
      <c r="C77" s="330"/>
      <c r="D77" s="331"/>
      <c r="E77" s="331"/>
      <c r="F77" s="331"/>
      <c r="G77" s="331"/>
      <c r="H77" s="331"/>
      <c r="I77" s="331"/>
      <c r="J77" s="332"/>
      <c r="K77" s="341"/>
      <c r="L77" s="342">
        <f>SUM(L55:L75)</f>
        <v>0</v>
      </c>
      <c r="N77" s="465"/>
      <c r="O77" s="476"/>
      <c r="P77" s="271"/>
      <c r="Q77" s="271"/>
      <c r="R77" s="271"/>
      <c r="S77" s="271"/>
      <c r="T77" s="271"/>
      <c r="U77" s="271"/>
      <c r="V77" s="473"/>
      <c r="W77" s="271"/>
      <c r="X77" s="477"/>
    </row>
    <row r="78" spans="2:24" x14ac:dyDescent="0.25">
      <c r="N78" s="448"/>
      <c r="O78" s="448"/>
      <c r="P78" s="449"/>
      <c r="Q78" s="449"/>
      <c r="R78" s="449"/>
      <c r="S78" s="36"/>
      <c r="T78" s="450"/>
      <c r="U78" s="450"/>
      <c r="V78" s="450"/>
      <c r="W78" s="450"/>
      <c r="X78" s="450"/>
    </row>
    <row r="79" spans="2:24" x14ac:dyDescent="0.25">
      <c r="N79" s="448"/>
      <c r="O79" s="448"/>
      <c r="P79" s="449"/>
      <c r="Q79" s="449"/>
      <c r="R79" s="449"/>
      <c r="S79" s="36"/>
      <c r="T79" s="450"/>
      <c r="U79" s="450"/>
      <c r="V79" s="450"/>
      <c r="W79" s="450"/>
      <c r="X79" s="450"/>
    </row>
    <row r="80" spans="2:24" ht="13" x14ac:dyDescent="0.25">
      <c r="B80" s="350" t="s">
        <v>505</v>
      </c>
      <c r="C80" s="88"/>
      <c r="D80" s="88"/>
      <c r="E80" s="88"/>
      <c r="F80" s="88"/>
      <c r="G80" s="88"/>
      <c r="H80" s="309"/>
      <c r="I80" s="309"/>
      <c r="J80" s="88"/>
      <c r="K80" s="88"/>
      <c r="L80" s="88"/>
      <c r="N80" s="459"/>
      <c r="O80" s="271"/>
      <c r="P80" s="271"/>
      <c r="Q80" s="271"/>
      <c r="R80" s="271"/>
      <c r="S80" s="271"/>
      <c r="T80" s="309"/>
      <c r="U80" s="309"/>
      <c r="V80" s="271"/>
      <c r="W80" s="271"/>
      <c r="X80" s="271"/>
    </row>
    <row r="81" spans="2:24" x14ac:dyDescent="0.25">
      <c r="B81" s="88"/>
      <c r="C81" s="88"/>
      <c r="D81" s="274"/>
      <c r="E81" s="274"/>
      <c r="F81" s="274"/>
      <c r="G81" s="88"/>
      <c r="H81" s="88"/>
      <c r="I81" s="88"/>
      <c r="J81" s="88"/>
      <c r="K81" s="88"/>
      <c r="L81" s="351"/>
      <c r="N81" s="271"/>
      <c r="O81" s="271"/>
      <c r="P81" s="274"/>
      <c r="Q81" s="274"/>
      <c r="R81" s="274"/>
      <c r="S81" s="271"/>
      <c r="T81" s="271"/>
      <c r="U81" s="271"/>
      <c r="V81" s="271"/>
      <c r="W81" s="271"/>
      <c r="X81" s="460"/>
    </row>
    <row r="82" spans="2:24" ht="15.5" x14ac:dyDescent="0.25">
      <c r="B82" s="317"/>
      <c r="C82" s="320" t="s">
        <v>230</v>
      </c>
      <c r="D82" s="361"/>
      <c r="E82" s="320" t="s">
        <v>231</v>
      </c>
      <c r="F82" s="333"/>
      <c r="G82" s="335" t="s">
        <v>272</v>
      </c>
      <c r="H82" s="321"/>
      <c r="I82" s="437" t="s">
        <v>273</v>
      </c>
      <c r="J82" s="438"/>
      <c r="K82" s="322"/>
      <c r="L82" s="343"/>
      <c r="N82" s="271"/>
      <c r="O82" s="461"/>
      <c r="P82" s="3"/>
      <c r="Q82" s="461"/>
      <c r="R82" s="3"/>
      <c r="S82" s="461"/>
      <c r="T82" s="243"/>
      <c r="U82" s="461"/>
      <c r="V82" s="461"/>
      <c r="W82" s="462"/>
      <c r="X82" s="271"/>
    </row>
    <row r="83" spans="2:24" ht="14" x14ac:dyDescent="0.25">
      <c r="B83" s="318"/>
      <c r="C83" s="287" t="s">
        <v>237</v>
      </c>
      <c r="D83" s="362"/>
      <c r="E83" s="287" t="s">
        <v>238</v>
      </c>
      <c r="F83" s="334"/>
      <c r="G83" s="336" t="s">
        <v>274</v>
      </c>
      <c r="H83" s="288"/>
      <c r="I83" s="439" t="s">
        <v>275</v>
      </c>
      <c r="J83" s="440"/>
      <c r="K83" s="284"/>
      <c r="L83" s="344"/>
      <c r="N83" s="36"/>
      <c r="O83" s="463"/>
      <c r="P83" s="464"/>
      <c r="Q83" s="463"/>
      <c r="R83" s="464"/>
      <c r="S83" s="463"/>
      <c r="T83" s="463"/>
      <c r="U83" s="463"/>
      <c r="V83" s="463"/>
      <c r="W83" s="271"/>
      <c r="X83" s="271"/>
    </row>
    <row r="84" spans="2:24" ht="14" x14ac:dyDescent="0.25">
      <c r="B84" s="169" t="s">
        <v>135</v>
      </c>
      <c r="C84" s="316"/>
      <c r="D84" s="283"/>
      <c r="E84" s="316"/>
      <c r="F84" s="283"/>
      <c r="G84" s="316"/>
      <c r="H84" s="283"/>
      <c r="I84" s="432" t="s">
        <v>276</v>
      </c>
      <c r="J84" s="283" t="s">
        <v>277</v>
      </c>
      <c r="K84" s="286" t="s">
        <v>242</v>
      </c>
      <c r="L84" s="345" t="s">
        <v>139</v>
      </c>
      <c r="N84" s="465"/>
      <c r="O84" s="466"/>
      <c r="P84" s="466"/>
      <c r="Q84" s="466"/>
      <c r="R84" s="466"/>
      <c r="S84" s="466"/>
      <c r="T84" s="466"/>
      <c r="U84" s="466"/>
      <c r="V84" s="466"/>
      <c r="W84" s="465"/>
      <c r="X84" s="465"/>
    </row>
    <row r="85" spans="2:24" ht="14" x14ac:dyDescent="0.25">
      <c r="B85" s="319"/>
      <c r="C85" s="324" t="s">
        <v>0</v>
      </c>
      <c r="D85" s="325" t="s">
        <v>1</v>
      </c>
      <c r="E85" s="324" t="s">
        <v>0</v>
      </c>
      <c r="F85" s="325" t="s">
        <v>1</v>
      </c>
      <c r="G85" s="324" t="s">
        <v>0</v>
      </c>
      <c r="H85" s="325" t="s">
        <v>1</v>
      </c>
      <c r="I85" s="441" t="s">
        <v>147</v>
      </c>
      <c r="J85" s="325" t="s">
        <v>147</v>
      </c>
      <c r="K85" s="326" t="s">
        <v>148</v>
      </c>
      <c r="L85" s="346" t="s">
        <v>149</v>
      </c>
      <c r="N85" s="467"/>
      <c r="O85" s="466"/>
      <c r="P85" s="466"/>
      <c r="Q85" s="466"/>
      <c r="R85" s="466"/>
      <c r="S85" s="466"/>
      <c r="T85" s="466"/>
      <c r="U85" s="466"/>
      <c r="V85" s="466"/>
      <c r="W85" s="465"/>
      <c r="X85" s="465"/>
    </row>
    <row r="86" spans="2:24" x14ac:dyDescent="0.25">
      <c r="B86" s="327">
        <v>1</v>
      </c>
      <c r="C86" s="348">
        <f>PWV1NB*AnnualFactor</f>
        <v>0</v>
      </c>
      <c r="D86" s="349">
        <f>PWV1B*AnnualFactor</f>
        <v>0</v>
      </c>
      <c r="E86" s="363">
        <f>ROUND(PWS1NB,1)</f>
        <v>55</v>
      </c>
      <c r="F86" s="364">
        <f>ROUND(PWS1B,1)</f>
        <v>55</v>
      </c>
      <c r="G86" s="339">
        <f>ImpactedNB*C86</f>
        <v>0</v>
      </c>
      <c r="H86" s="434">
        <f>ImpactedB*D86</f>
        <v>0</v>
      </c>
      <c r="I86" s="515">
        <f>(G86*VLOOKUP(E86,FuelCon,2)*IF(Pavement,VLOOKUP(IRI1NB,FuelConPavAdj,2),1)-H86*VLOOKUP(F86,FuelCon,2)*IF(Pavement,VLOOKUP(IRI1B,FuelConPavAdj,2),1))*FuelAuto*IF(UserAdjInputs,1,VLOOKUP(TMSLookup,TMSAdj,9))</f>
        <v>0</v>
      </c>
      <c r="J86" s="498">
        <f>(G86*IF(Pavement,VLOOKUP(IRI1NB,NonFuelPavAdj,2),1)-H86*IF(Pavement,VLOOKUP(IRI1B,NonFuelPavAdj,2),1))*NonFuelAuto*IF(UserAdjInputs,1,VLOOKUP(TMSLookup,TMSAdj,9))</f>
        <v>0</v>
      </c>
      <c r="K86" s="285">
        <f>SUM($I86:$J86)</f>
        <v>0</v>
      </c>
      <c r="L86" s="323">
        <f>$K86/(1+DiscRate)^($B86+Construct-1)</f>
        <v>0</v>
      </c>
      <c r="N86" s="468"/>
      <c r="O86" s="469"/>
      <c r="P86" s="469"/>
      <c r="Q86" s="470"/>
      <c r="R86" s="470"/>
      <c r="S86" s="471"/>
      <c r="T86" s="471"/>
      <c r="U86" s="472"/>
      <c r="V86" s="472"/>
      <c r="W86" s="473"/>
      <c r="X86" s="474"/>
    </row>
    <row r="87" spans="2:24" x14ac:dyDescent="0.25">
      <c r="B87" s="328">
        <v>20</v>
      </c>
      <c r="C87" s="353">
        <f>PWV20NB*AnnualFactor</f>
        <v>0</v>
      </c>
      <c r="D87" s="354">
        <f>PWV20B*AnnualFactor</f>
        <v>0</v>
      </c>
      <c r="E87" s="365">
        <f>ROUND(PWS20NB,1)</f>
        <v>55</v>
      </c>
      <c r="F87" s="366">
        <f>ROUND(PWS20B,1)</f>
        <v>55</v>
      </c>
      <c r="G87" s="339">
        <f>ImpactedNB*C87</f>
        <v>0</v>
      </c>
      <c r="H87" s="435">
        <f>ImpactedB*D87</f>
        <v>0</v>
      </c>
      <c r="I87" s="520">
        <f>(G87*VLOOKUP(E87,FuelCon,2)*IF(Pavement,VLOOKUP(IRI1NB,FuelConPavAdj,2),1)-H87*VLOOKUP(F87,FuelCon,2)*IF(Pavement,VLOOKUP(IRI1B,FuelConPavAdj,2),1))*FuelAuto*IF(UserAdjInputs,1,VLOOKUP(TMSLookup,TMSAdj,9))</f>
        <v>0</v>
      </c>
      <c r="J87" s="499">
        <f>(G87*IF(Pavement,VLOOKUP(IRI1NB,NonFuelPavAdj,2),1)-H87*IF(Pavement,VLOOKUP(IRI1B,NonFuelPavAdj,2),1))*NonFuelAuto*IF(UserAdjInputs,1,VLOOKUP(TMSLookup,TMSAdj,9))</f>
        <v>0</v>
      </c>
      <c r="K87" s="285">
        <f>SUM($I87:$J87)</f>
        <v>0</v>
      </c>
      <c r="L87" s="323">
        <f>$K87/(1+DiscRate)^($B87+Construct-1)</f>
        <v>0</v>
      </c>
      <c r="N87" s="468"/>
      <c r="O87" s="469"/>
      <c r="P87" s="469"/>
      <c r="Q87" s="470"/>
      <c r="R87" s="470"/>
      <c r="S87" s="471"/>
      <c r="T87" s="471"/>
      <c r="U87" s="472"/>
      <c r="V87" s="472"/>
      <c r="W87" s="473"/>
      <c r="X87" s="474"/>
    </row>
    <row r="88" spans="2:24" x14ac:dyDescent="0.25">
      <c r="B88" s="357"/>
      <c r="C88" s="355"/>
      <c r="D88" s="355"/>
      <c r="E88" s="367"/>
      <c r="F88" s="367"/>
      <c r="G88" s="356"/>
      <c r="H88" s="356"/>
      <c r="I88" s="356"/>
      <c r="J88" s="356"/>
      <c r="K88" s="356"/>
      <c r="L88" s="358"/>
      <c r="N88" s="468"/>
      <c r="O88" s="469"/>
      <c r="P88" s="469"/>
      <c r="Q88" s="470"/>
      <c r="R88" s="470"/>
      <c r="S88" s="472"/>
      <c r="T88" s="472"/>
      <c r="U88" s="472"/>
      <c r="V88" s="472"/>
      <c r="W88" s="472"/>
      <c r="X88" s="475"/>
    </row>
    <row r="89" spans="2:24" x14ac:dyDescent="0.25">
      <c r="B89" s="352">
        <v>2</v>
      </c>
      <c r="C89" s="368">
        <f>TREND(C86:C87,B86:B87,B89)</f>
        <v>0</v>
      </c>
      <c r="D89" s="629">
        <f>TREND(D86:D87,B86:B87,B89)</f>
        <v>0</v>
      </c>
      <c r="E89" s="632">
        <f>TREND(E86:E87,B86:B87,B89)</f>
        <v>55</v>
      </c>
      <c r="F89" s="371">
        <f>TREND(F86:F87,B86:B87,B89)</f>
        <v>55</v>
      </c>
      <c r="G89" s="339">
        <f t="shared" ref="G89:G106" si="23">ImpactedNB*C89</f>
        <v>0</v>
      </c>
      <c r="H89" s="434">
        <f t="shared" ref="H89:H106" si="24">ImpactedB*D89</f>
        <v>0</v>
      </c>
      <c r="I89" s="515">
        <f t="shared" ref="I89:I106" si="25">(G89*VLOOKUP(E89,FuelCon,2)*IF(Pavement,VLOOKUP(IRI1NB,FuelConPavAdj,2),1)-H89*VLOOKUP(F89,FuelCon,2)*IF(Pavement,VLOOKUP(IRI1B,FuelConPavAdj,2),1))*FuelAuto*IF(UserAdjInputs,1,VLOOKUP(TMSLookup,TMSAdj,9))</f>
        <v>0</v>
      </c>
      <c r="J89" s="498">
        <f t="shared" ref="J89:J106" si="26">(G89*IF(Pavement,VLOOKUP(IRI1NB,NonFuelPavAdj,2),1)-H89*IF(Pavement,VLOOKUP(IRI1B,NonFuelPavAdj,2),1))*NonFuelAuto*IF(UserAdjInputs,1,VLOOKUP(TMSLookup,TMSAdj,9))</f>
        <v>0</v>
      </c>
      <c r="K89" s="285">
        <f t="shared" ref="K89:K106" si="27">SUM($I89:$J89)</f>
        <v>0</v>
      </c>
      <c r="L89" s="323">
        <f t="shared" ref="L89:L106" si="28">$K89/(1+DiscRate)^($B89+Construct-1)</f>
        <v>0</v>
      </c>
      <c r="N89" s="468"/>
      <c r="O89" s="469"/>
      <c r="P89" s="469"/>
      <c r="Q89" s="470"/>
      <c r="R89" s="470"/>
      <c r="S89" s="471"/>
      <c r="T89" s="471"/>
      <c r="U89" s="472"/>
      <c r="V89" s="472"/>
      <c r="W89" s="473"/>
      <c r="X89" s="474"/>
    </row>
    <row r="90" spans="2:24" x14ac:dyDescent="0.25">
      <c r="B90" s="327">
        <v>3</v>
      </c>
      <c r="C90" s="347">
        <f>TREND(C86:C87,B86:B87,B90)</f>
        <v>0</v>
      </c>
      <c r="D90" s="630">
        <f>TREND(D86:D87,B86:B87,B90)</f>
        <v>0</v>
      </c>
      <c r="E90" s="633">
        <f>TREND(E86:E87,B86:B87,B90)</f>
        <v>55</v>
      </c>
      <c r="F90" s="374">
        <f>TREND(F86:F87,B86:B87,B90)</f>
        <v>55</v>
      </c>
      <c r="G90" s="339">
        <f t="shared" si="23"/>
        <v>0</v>
      </c>
      <c r="H90" s="436">
        <f t="shared" si="24"/>
        <v>0</v>
      </c>
      <c r="I90" s="521">
        <f t="shared" si="25"/>
        <v>0</v>
      </c>
      <c r="J90" s="500">
        <f t="shared" si="26"/>
        <v>0</v>
      </c>
      <c r="K90" s="285">
        <f t="shared" si="27"/>
        <v>0</v>
      </c>
      <c r="L90" s="323">
        <f t="shared" si="28"/>
        <v>0</v>
      </c>
      <c r="N90" s="468"/>
      <c r="O90" s="469"/>
      <c r="P90" s="469"/>
      <c r="Q90" s="470"/>
      <c r="R90" s="470"/>
      <c r="S90" s="471"/>
      <c r="T90" s="471"/>
      <c r="U90" s="472"/>
      <c r="V90" s="472"/>
      <c r="W90" s="473"/>
      <c r="X90" s="474"/>
    </row>
    <row r="91" spans="2:24" x14ac:dyDescent="0.25">
      <c r="B91" s="327">
        <v>4</v>
      </c>
      <c r="C91" s="347">
        <f>TREND(C86:C87,B86:B87,B91)</f>
        <v>0</v>
      </c>
      <c r="D91" s="630">
        <f>TREND(D86:D87,B86:B87,B91)</f>
        <v>0</v>
      </c>
      <c r="E91" s="633">
        <f>TREND(E86:E87,B86:B87,B91)</f>
        <v>55</v>
      </c>
      <c r="F91" s="374">
        <f>TREND(F86:F87,B86:B87,B91)</f>
        <v>55</v>
      </c>
      <c r="G91" s="339">
        <f t="shared" si="23"/>
        <v>0</v>
      </c>
      <c r="H91" s="436">
        <f t="shared" si="24"/>
        <v>0</v>
      </c>
      <c r="I91" s="521">
        <f t="shared" si="25"/>
        <v>0</v>
      </c>
      <c r="J91" s="500">
        <f t="shared" si="26"/>
        <v>0</v>
      </c>
      <c r="K91" s="285">
        <f t="shared" si="27"/>
        <v>0</v>
      </c>
      <c r="L91" s="323">
        <f t="shared" si="28"/>
        <v>0</v>
      </c>
      <c r="N91" s="468"/>
      <c r="O91" s="469"/>
      <c r="P91" s="469"/>
      <c r="Q91" s="470"/>
      <c r="R91" s="470"/>
      <c r="S91" s="471"/>
      <c r="T91" s="471"/>
      <c r="U91" s="472"/>
      <c r="V91" s="472"/>
      <c r="W91" s="473"/>
      <c r="X91" s="474"/>
    </row>
    <row r="92" spans="2:24" x14ac:dyDescent="0.25">
      <c r="B92" s="327">
        <v>5</v>
      </c>
      <c r="C92" s="347">
        <f>TREND(C86:C87,B86:B87,B92)</f>
        <v>0</v>
      </c>
      <c r="D92" s="630">
        <f>TREND(D86:D87,B86:B87,B92)</f>
        <v>0</v>
      </c>
      <c r="E92" s="633">
        <f>TREND(E86:E87,B86:B87,B92)</f>
        <v>55</v>
      </c>
      <c r="F92" s="374">
        <f>TREND(F86:F87,B86:B87,B92)</f>
        <v>55</v>
      </c>
      <c r="G92" s="339">
        <f t="shared" si="23"/>
        <v>0</v>
      </c>
      <c r="H92" s="436">
        <f t="shared" si="24"/>
        <v>0</v>
      </c>
      <c r="I92" s="521">
        <f t="shared" si="25"/>
        <v>0</v>
      </c>
      <c r="J92" s="500">
        <f t="shared" si="26"/>
        <v>0</v>
      </c>
      <c r="K92" s="285">
        <f t="shared" si="27"/>
        <v>0</v>
      </c>
      <c r="L92" s="323">
        <f t="shared" si="28"/>
        <v>0</v>
      </c>
      <c r="N92" s="468"/>
      <c r="O92" s="469"/>
      <c r="P92" s="469"/>
      <c r="Q92" s="470"/>
      <c r="R92" s="470"/>
      <c r="S92" s="471"/>
      <c r="T92" s="471"/>
      <c r="U92" s="472"/>
      <c r="V92" s="472"/>
      <c r="W92" s="473"/>
      <c r="X92" s="474"/>
    </row>
    <row r="93" spans="2:24" x14ac:dyDescent="0.25">
      <c r="B93" s="327">
        <v>6</v>
      </c>
      <c r="C93" s="347">
        <f>TREND(C86:C87,B86:B87,B93)</f>
        <v>0</v>
      </c>
      <c r="D93" s="630">
        <f>TREND(D86:D87,B86:B87,B93)</f>
        <v>0</v>
      </c>
      <c r="E93" s="633">
        <f>TREND(E86:E87,B86:B87,B93)</f>
        <v>55</v>
      </c>
      <c r="F93" s="374">
        <f>TREND(F86:F87,B86:B87,B93)</f>
        <v>55</v>
      </c>
      <c r="G93" s="339">
        <f t="shared" si="23"/>
        <v>0</v>
      </c>
      <c r="H93" s="436">
        <f t="shared" si="24"/>
        <v>0</v>
      </c>
      <c r="I93" s="521">
        <f t="shared" si="25"/>
        <v>0</v>
      </c>
      <c r="J93" s="500">
        <f t="shared" si="26"/>
        <v>0</v>
      </c>
      <c r="K93" s="285">
        <f t="shared" si="27"/>
        <v>0</v>
      </c>
      <c r="L93" s="323">
        <f t="shared" si="28"/>
        <v>0</v>
      </c>
      <c r="N93" s="468"/>
      <c r="O93" s="469"/>
      <c r="P93" s="469"/>
      <c r="Q93" s="470"/>
      <c r="R93" s="470"/>
      <c r="S93" s="471"/>
      <c r="T93" s="471"/>
      <c r="U93" s="472"/>
      <c r="V93" s="472"/>
      <c r="W93" s="473"/>
      <c r="X93" s="474"/>
    </row>
    <row r="94" spans="2:24" x14ac:dyDescent="0.25">
      <c r="B94" s="327">
        <v>7</v>
      </c>
      <c r="C94" s="347">
        <f>TREND(C86:C87,B86:B87,B94)</f>
        <v>0</v>
      </c>
      <c r="D94" s="630">
        <f>TREND(D86:D87,B86:B87,B94)</f>
        <v>0</v>
      </c>
      <c r="E94" s="633">
        <f>TREND(E86:E87,B86:B87,B94)</f>
        <v>55</v>
      </c>
      <c r="F94" s="374">
        <f>TREND(F86:F87,B86:B87,B94)</f>
        <v>55</v>
      </c>
      <c r="G94" s="339">
        <f t="shared" si="23"/>
        <v>0</v>
      </c>
      <c r="H94" s="436">
        <f t="shared" si="24"/>
        <v>0</v>
      </c>
      <c r="I94" s="521">
        <f t="shared" si="25"/>
        <v>0</v>
      </c>
      <c r="J94" s="500">
        <f t="shared" si="26"/>
        <v>0</v>
      </c>
      <c r="K94" s="285">
        <f t="shared" si="27"/>
        <v>0</v>
      </c>
      <c r="L94" s="323">
        <f t="shared" si="28"/>
        <v>0</v>
      </c>
      <c r="N94" s="468"/>
      <c r="O94" s="469"/>
      <c r="P94" s="469"/>
      <c r="Q94" s="470"/>
      <c r="R94" s="470"/>
      <c r="S94" s="471"/>
      <c r="T94" s="471"/>
      <c r="U94" s="472"/>
      <c r="V94" s="472"/>
      <c r="W94" s="473"/>
      <c r="X94" s="474"/>
    </row>
    <row r="95" spans="2:24" x14ac:dyDescent="0.25">
      <c r="B95" s="327">
        <v>8</v>
      </c>
      <c r="C95" s="347">
        <f>TREND(C86:C87,B86:B87,B95)</f>
        <v>0</v>
      </c>
      <c r="D95" s="630">
        <f>TREND(D86:D87,B86:B87,B95)</f>
        <v>0</v>
      </c>
      <c r="E95" s="633">
        <f>TREND(E86:E87,B86:B87,B95)</f>
        <v>55</v>
      </c>
      <c r="F95" s="374">
        <f>TREND(F86:F87,B86:B87,B95)</f>
        <v>55</v>
      </c>
      <c r="G95" s="339">
        <f t="shared" si="23"/>
        <v>0</v>
      </c>
      <c r="H95" s="436">
        <f t="shared" si="24"/>
        <v>0</v>
      </c>
      <c r="I95" s="521">
        <f t="shared" si="25"/>
        <v>0</v>
      </c>
      <c r="J95" s="500">
        <f t="shared" si="26"/>
        <v>0</v>
      </c>
      <c r="K95" s="285">
        <f t="shared" si="27"/>
        <v>0</v>
      </c>
      <c r="L95" s="323">
        <f t="shared" si="28"/>
        <v>0</v>
      </c>
      <c r="N95" s="468"/>
      <c r="O95" s="469"/>
      <c r="P95" s="469"/>
      <c r="Q95" s="470"/>
      <c r="R95" s="470"/>
      <c r="S95" s="471"/>
      <c r="T95" s="471"/>
      <c r="U95" s="472"/>
      <c r="V95" s="472"/>
      <c r="W95" s="473"/>
      <c r="X95" s="474"/>
    </row>
    <row r="96" spans="2:24" x14ac:dyDescent="0.25">
      <c r="B96" s="327">
        <v>9</v>
      </c>
      <c r="C96" s="347">
        <f>TREND(C86:C87,B86:B87,B96)</f>
        <v>0</v>
      </c>
      <c r="D96" s="630">
        <f>TREND(D86:D87,B86:B87,B96)</f>
        <v>0</v>
      </c>
      <c r="E96" s="633">
        <f>TREND(E86:E87,B86:B87,B96)</f>
        <v>55</v>
      </c>
      <c r="F96" s="374">
        <f>TREND(F86:F87,B86:B87,B96)</f>
        <v>55</v>
      </c>
      <c r="G96" s="339">
        <f t="shared" si="23"/>
        <v>0</v>
      </c>
      <c r="H96" s="436">
        <f t="shared" si="24"/>
        <v>0</v>
      </c>
      <c r="I96" s="521">
        <f t="shared" si="25"/>
        <v>0</v>
      </c>
      <c r="J96" s="500">
        <f t="shared" si="26"/>
        <v>0</v>
      </c>
      <c r="K96" s="285">
        <f t="shared" si="27"/>
        <v>0</v>
      </c>
      <c r="L96" s="323">
        <f t="shared" si="28"/>
        <v>0</v>
      </c>
      <c r="N96" s="468"/>
      <c r="O96" s="469"/>
      <c r="P96" s="469"/>
      <c r="Q96" s="470"/>
      <c r="R96" s="470"/>
      <c r="S96" s="471"/>
      <c r="T96" s="471"/>
      <c r="U96" s="472"/>
      <c r="V96" s="472"/>
      <c r="W96" s="473"/>
      <c r="X96" s="474"/>
    </row>
    <row r="97" spans="2:24" x14ac:dyDescent="0.25">
      <c r="B97" s="327">
        <v>10</v>
      </c>
      <c r="C97" s="347">
        <f>TREND(C86:C87,B86:B87,B97)</f>
        <v>0</v>
      </c>
      <c r="D97" s="630">
        <f>TREND(D86:D87,B86:B87,B97)</f>
        <v>0</v>
      </c>
      <c r="E97" s="633">
        <f>TREND(E86:E87,B86:B87,B97)</f>
        <v>55</v>
      </c>
      <c r="F97" s="374">
        <f>TREND(F86:F87,B86:B87,B97)</f>
        <v>55</v>
      </c>
      <c r="G97" s="339">
        <f t="shared" si="23"/>
        <v>0</v>
      </c>
      <c r="H97" s="436">
        <f t="shared" si="24"/>
        <v>0</v>
      </c>
      <c r="I97" s="521">
        <f t="shared" si="25"/>
        <v>0</v>
      </c>
      <c r="J97" s="500">
        <f t="shared" si="26"/>
        <v>0</v>
      </c>
      <c r="K97" s="285">
        <f t="shared" si="27"/>
        <v>0</v>
      </c>
      <c r="L97" s="323">
        <f t="shared" si="28"/>
        <v>0</v>
      </c>
      <c r="N97" s="468"/>
      <c r="O97" s="469"/>
      <c r="P97" s="469"/>
      <c r="Q97" s="470"/>
      <c r="R97" s="470"/>
      <c r="S97" s="471"/>
      <c r="T97" s="471"/>
      <c r="U97" s="472"/>
      <c r="V97" s="472"/>
      <c r="W97" s="473"/>
      <c r="X97" s="474"/>
    </row>
    <row r="98" spans="2:24" x14ac:dyDescent="0.25">
      <c r="B98" s="327">
        <v>11</v>
      </c>
      <c r="C98" s="347">
        <f>TREND(C86:C87,B86:B87,B98)</f>
        <v>0</v>
      </c>
      <c r="D98" s="630">
        <f>TREND(D86:D87,B86:B87,B98)</f>
        <v>0</v>
      </c>
      <c r="E98" s="633">
        <f>TREND(E86:E87,B86:B87,B98)</f>
        <v>55</v>
      </c>
      <c r="F98" s="374">
        <f>TREND(F86:F87,B86:B87,B98)</f>
        <v>55</v>
      </c>
      <c r="G98" s="339">
        <f t="shared" si="23"/>
        <v>0</v>
      </c>
      <c r="H98" s="436">
        <f t="shared" si="24"/>
        <v>0</v>
      </c>
      <c r="I98" s="521">
        <f t="shared" si="25"/>
        <v>0</v>
      </c>
      <c r="J98" s="500">
        <f t="shared" si="26"/>
        <v>0</v>
      </c>
      <c r="K98" s="285">
        <f t="shared" si="27"/>
        <v>0</v>
      </c>
      <c r="L98" s="323">
        <f t="shared" si="28"/>
        <v>0</v>
      </c>
      <c r="N98" s="468"/>
      <c r="O98" s="469"/>
      <c r="P98" s="469"/>
      <c r="Q98" s="470"/>
      <c r="R98" s="470"/>
      <c r="S98" s="471"/>
      <c r="T98" s="471"/>
      <c r="U98" s="472"/>
      <c r="V98" s="472"/>
      <c r="W98" s="473"/>
      <c r="X98" s="474"/>
    </row>
    <row r="99" spans="2:24" x14ac:dyDescent="0.25">
      <c r="B99" s="327">
        <v>12</v>
      </c>
      <c r="C99" s="347">
        <f>TREND(C86:C87,B86:B87,B99)</f>
        <v>0</v>
      </c>
      <c r="D99" s="630">
        <f>TREND(D86:D87,B86:B87,B99)</f>
        <v>0</v>
      </c>
      <c r="E99" s="633">
        <f>TREND(E86:E87,B86:B87,B99)</f>
        <v>55</v>
      </c>
      <c r="F99" s="374">
        <f>TREND(F86:F87,B86:B87,B99)</f>
        <v>55</v>
      </c>
      <c r="G99" s="339">
        <f t="shared" si="23"/>
        <v>0</v>
      </c>
      <c r="H99" s="436">
        <f t="shared" si="24"/>
        <v>0</v>
      </c>
      <c r="I99" s="521">
        <f t="shared" si="25"/>
        <v>0</v>
      </c>
      <c r="J99" s="500">
        <f t="shared" si="26"/>
        <v>0</v>
      </c>
      <c r="K99" s="285">
        <f t="shared" si="27"/>
        <v>0</v>
      </c>
      <c r="L99" s="323">
        <f t="shared" si="28"/>
        <v>0</v>
      </c>
      <c r="N99" s="468"/>
      <c r="O99" s="469"/>
      <c r="P99" s="469"/>
      <c r="Q99" s="470"/>
      <c r="R99" s="470"/>
      <c r="S99" s="471"/>
      <c r="T99" s="471"/>
      <c r="U99" s="472"/>
      <c r="V99" s="472"/>
      <c r="W99" s="473"/>
      <c r="X99" s="474"/>
    </row>
    <row r="100" spans="2:24" x14ac:dyDescent="0.25">
      <c r="B100" s="327">
        <v>13</v>
      </c>
      <c r="C100" s="347">
        <f>TREND(C86:C87,B86:B87,B100)</f>
        <v>0</v>
      </c>
      <c r="D100" s="630">
        <f>TREND(D86:D87,B86:B87,B100)</f>
        <v>0</v>
      </c>
      <c r="E100" s="633">
        <f>TREND(E86:E87,B86:B87,B100)</f>
        <v>55</v>
      </c>
      <c r="F100" s="374">
        <f>TREND(F86:F87,B86:B87,B100)</f>
        <v>55</v>
      </c>
      <c r="G100" s="339">
        <f t="shared" si="23"/>
        <v>0</v>
      </c>
      <c r="H100" s="436">
        <f t="shared" si="24"/>
        <v>0</v>
      </c>
      <c r="I100" s="521">
        <f t="shared" si="25"/>
        <v>0</v>
      </c>
      <c r="J100" s="500">
        <f t="shared" si="26"/>
        <v>0</v>
      </c>
      <c r="K100" s="285">
        <f t="shared" si="27"/>
        <v>0</v>
      </c>
      <c r="L100" s="323">
        <f t="shared" si="28"/>
        <v>0</v>
      </c>
      <c r="N100" s="468"/>
      <c r="O100" s="469"/>
      <c r="P100" s="469"/>
      <c r="Q100" s="470"/>
      <c r="R100" s="470"/>
      <c r="S100" s="471"/>
      <c r="T100" s="471"/>
      <c r="U100" s="472"/>
      <c r="V100" s="472"/>
      <c r="W100" s="473"/>
      <c r="X100" s="474"/>
    </row>
    <row r="101" spans="2:24" x14ac:dyDescent="0.25">
      <c r="B101" s="327">
        <v>14</v>
      </c>
      <c r="C101" s="347">
        <f>TREND(C86:C87,B86:B87,B101)</f>
        <v>0</v>
      </c>
      <c r="D101" s="630">
        <f>TREND(D86:D87,B86:B87,B101)</f>
        <v>0</v>
      </c>
      <c r="E101" s="633">
        <f>TREND(E86:E87,B86:B87,B101)</f>
        <v>55</v>
      </c>
      <c r="F101" s="374">
        <f>TREND(F86:F87,B86:B87,B101)</f>
        <v>55</v>
      </c>
      <c r="G101" s="339">
        <f t="shared" si="23"/>
        <v>0</v>
      </c>
      <c r="H101" s="436">
        <f t="shared" si="24"/>
        <v>0</v>
      </c>
      <c r="I101" s="521">
        <f t="shared" si="25"/>
        <v>0</v>
      </c>
      <c r="J101" s="500">
        <f t="shared" si="26"/>
        <v>0</v>
      </c>
      <c r="K101" s="285">
        <f t="shared" si="27"/>
        <v>0</v>
      </c>
      <c r="L101" s="323">
        <f t="shared" si="28"/>
        <v>0</v>
      </c>
      <c r="N101" s="468"/>
      <c r="O101" s="469"/>
      <c r="P101" s="469"/>
      <c r="Q101" s="470"/>
      <c r="R101" s="470"/>
      <c r="S101" s="471"/>
      <c r="T101" s="471"/>
      <c r="U101" s="472"/>
      <c r="V101" s="472"/>
      <c r="W101" s="473"/>
      <c r="X101" s="474"/>
    </row>
    <row r="102" spans="2:24" x14ac:dyDescent="0.25">
      <c r="B102" s="327">
        <v>15</v>
      </c>
      <c r="C102" s="347">
        <f>TREND(C86:C87,B86:B87,B102)</f>
        <v>0</v>
      </c>
      <c r="D102" s="630">
        <f>TREND(D86:D87,B86:B87,B102)</f>
        <v>0</v>
      </c>
      <c r="E102" s="633">
        <f>TREND(E86:E87,B86:B87,B102)</f>
        <v>55</v>
      </c>
      <c r="F102" s="374">
        <f>TREND(F86:F87,B86:B87,B102)</f>
        <v>55</v>
      </c>
      <c r="G102" s="339">
        <f t="shared" si="23"/>
        <v>0</v>
      </c>
      <c r="H102" s="436">
        <f t="shared" si="24"/>
        <v>0</v>
      </c>
      <c r="I102" s="521">
        <f t="shared" si="25"/>
        <v>0</v>
      </c>
      <c r="J102" s="500">
        <f t="shared" si="26"/>
        <v>0</v>
      </c>
      <c r="K102" s="285">
        <f t="shared" si="27"/>
        <v>0</v>
      </c>
      <c r="L102" s="323">
        <f t="shared" si="28"/>
        <v>0</v>
      </c>
      <c r="N102" s="468"/>
      <c r="O102" s="469"/>
      <c r="P102" s="469"/>
      <c r="Q102" s="470"/>
      <c r="R102" s="470"/>
      <c r="S102" s="471"/>
      <c r="T102" s="471"/>
      <c r="U102" s="472"/>
      <c r="V102" s="472"/>
      <c r="W102" s="473"/>
      <c r="X102" s="474"/>
    </row>
    <row r="103" spans="2:24" x14ac:dyDescent="0.25">
      <c r="B103" s="327">
        <v>16</v>
      </c>
      <c r="C103" s="347">
        <f>TREND(C86:C87,B86:B87,B103)</f>
        <v>0</v>
      </c>
      <c r="D103" s="630">
        <f>TREND(D86:D87,B86:B87,B103)</f>
        <v>0</v>
      </c>
      <c r="E103" s="633">
        <f>TREND(E86:E87,B86:B87,B103)</f>
        <v>55</v>
      </c>
      <c r="F103" s="374">
        <f>TREND(F86:F87,B86:B87,B103)</f>
        <v>55</v>
      </c>
      <c r="G103" s="339">
        <f t="shared" si="23"/>
        <v>0</v>
      </c>
      <c r="H103" s="436">
        <f t="shared" si="24"/>
        <v>0</v>
      </c>
      <c r="I103" s="521">
        <f t="shared" si="25"/>
        <v>0</v>
      </c>
      <c r="J103" s="500">
        <f t="shared" si="26"/>
        <v>0</v>
      </c>
      <c r="K103" s="285">
        <f t="shared" si="27"/>
        <v>0</v>
      </c>
      <c r="L103" s="323">
        <f t="shared" si="28"/>
        <v>0</v>
      </c>
      <c r="N103" s="468"/>
      <c r="O103" s="469"/>
      <c r="P103" s="469"/>
      <c r="Q103" s="470"/>
      <c r="R103" s="470"/>
      <c r="S103" s="471"/>
      <c r="T103" s="471"/>
      <c r="U103" s="472"/>
      <c r="V103" s="472"/>
      <c r="W103" s="473"/>
      <c r="X103" s="474"/>
    </row>
    <row r="104" spans="2:24" x14ac:dyDescent="0.25">
      <c r="B104" s="327">
        <v>17</v>
      </c>
      <c r="C104" s="347">
        <f>TREND(C86:C87,B86:B87,B104)</f>
        <v>0</v>
      </c>
      <c r="D104" s="630">
        <f>TREND(D86:D87,B86:B87,B104)</f>
        <v>0</v>
      </c>
      <c r="E104" s="633">
        <f>TREND(E86:E87,B86:B87,B104)</f>
        <v>55</v>
      </c>
      <c r="F104" s="374">
        <f>TREND(F86:F87,B86:B87,B104)</f>
        <v>55</v>
      </c>
      <c r="G104" s="339">
        <f t="shared" si="23"/>
        <v>0</v>
      </c>
      <c r="H104" s="436">
        <f t="shared" si="24"/>
        <v>0</v>
      </c>
      <c r="I104" s="521">
        <f t="shared" si="25"/>
        <v>0</v>
      </c>
      <c r="J104" s="500">
        <f t="shared" si="26"/>
        <v>0</v>
      </c>
      <c r="K104" s="285">
        <f t="shared" si="27"/>
        <v>0</v>
      </c>
      <c r="L104" s="323">
        <f t="shared" si="28"/>
        <v>0</v>
      </c>
      <c r="N104" s="468"/>
      <c r="O104" s="469"/>
      <c r="P104" s="469"/>
      <c r="Q104" s="470"/>
      <c r="R104" s="470"/>
      <c r="S104" s="471"/>
      <c r="T104" s="471"/>
      <c r="U104" s="472"/>
      <c r="V104" s="472"/>
      <c r="W104" s="473"/>
      <c r="X104" s="474"/>
    </row>
    <row r="105" spans="2:24" x14ac:dyDescent="0.25">
      <c r="B105" s="327">
        <v>18</v>
      </c>
      <c r="C105" s="347">
        <f>TREND(C86:C87,B86:B87,B105)</f>
        <v>0</v>
      </c>
      <c r="D105" s="630">
        <f>TREND(D86:D87,B86:B87,B105)</f>
        <v>0</v>
      </c>
      <c r="E105" s="633">
        <f>TREND(E86:E87,B86:B87,B105)</f>
        <v>55</v>
      </c>
      <c r="F105" s="374">
        <f>TREND(F86:F87,B86:B87,B105)</f>
        <v>55</v>
      </c>
      <c r="G105" s="339">
        <f t="shared" si="23"/>
        <v>0</v>
      </c>
      <c r="H105" s="436">
        <f t="shared" si="24"/>
        <v>0</v>
      </c>
      <c r="I105" s="521">
        <f t="shared" si="25"/>
        <v>0</v>
      </c>
      <c r="J105" s="500">
        <f t="shared" si="26"/>
        <v>0</v>
      </c>
      <c r="K105" s="285">
        <f t="shared" si="27"/>
        <v>0</v>
      </c>
      <c r="L105" s="323">
        <f t="shared" si="28"/>
        <v>0</v>
      </c>
      <c r="N105" s="468"/>
      <c r="O105" s="469"/>
      <c r="P105" s="469"/>
      <c r="Q105" s="470"/>
      <c r="R105" s="470"/>
      <c r="S105" s="471"/>
      <c r="T105" s="471"/>
      <c r="U105" s="472"/>
      <c r="V105" s="472"/>
      <c r="W105" s="473"/>
      <c r="X105" s="474"/>
    </row>
    <row r="106" spans="2:24" x14ac:dyDescent="0.25">
      <c r="B106" s="359">
        <v>19</v>
      </c>
      <c r="C106" s="360">
        <f>TREND(C86:C87,B86:B87,B106)</f>
        <v>0</v>
      </c>
      <c r="D106" s="631">
        <f>TREND(D86:D87,B86:B87,B106)</f>
        <v>0</v>
      </c>
      <c r="E106" s="634">
        <f>TREND(E86:E87,B86:B87,B106)</f>
        <v>55</v>
      </c>
      <c r="F106" s="377">
        <f>TREND(F86:F87,B86:B87,B106)</f>
        <v>55</v>
      </c>
      <c r="G106" s="339">
        <f t="shared" si="23"/>
        <v>0</v>
      </c>
      <c r="H106" s="435">
        <f t="shared" si="24"/>
        <v>0</v>
      </c>
      <c r="I106" s="520">
        <f t="shared" si="25"/>
        <v>0</v>
      </c>
      <c r="J106" s="499">
        <f t="shared" si="26"/>
        <v>0</v>
      </c>
      <c r="K106" s="285">
        <f t="shared" si="27"/>
        <v>0</v>
      </c>
      <c r="L106" s="323">
        <f t="shared" si="28"/>
        <v>0</v>
      </c>
      <c r="N106" s="468"/>
      <c r="O106" s="469"/>
      <c r="P106" s="469"/>
      <c r="Q106" s="470"/>
      <c r="R106" s="470"/>
      <c r="S106" s="471"/>
      <c r="T106" s="471"/>
      <c r="U106" s="472"/>
      <c r="V106" s="472"/>
      <c r="W106" s="473"/>
      <c r="X106" s="474"/>
    </row>
    <row r="107" spans="2:24" x14ac:dyDescent="0.25">
      <c r="B107" s="357"/>
      <c r="C107" s="355"/>
      <c r="D107" s="355"/>
      <c r="E107" s="355"/>
      <c r="F107" s="355"/>
      <c r="G107" s="356"/>
      <c r="H107" s="356"/>
      <c r="I107" s="356"/>
      <c r="J107" s="356"/>
      <c r="K107" s="356"/>
      <c r="L107" s="358"/>
      <c r="N107" s="468"/>
      <c r="O107" s="469"/>
      <c r="P107" s="469"/>
      <c r="Q107" s="469"/>
      <c r="R107" s="469"/>
      <c r="S107" s="472"/>
      <c r="T107" s="472"/>
      <c r="U107" s="472"/>
      <c r="V107" s="472"/>
      <c r="W107" s="472"/>
      <c r="X107" s="475"/>
    </row>
    <row r="108" spans="2:24" ht="13" x14ac:dyDescent="0.25">
      <c r="B108" s="329" t="s">
        <v>172</v>
      </c>
      <c r="C108" s="330"/>
      <c r="D108" s="331"/>
      <c r="E108" s="331"/>
      <c r="F108" s="331"/>
      <c r="G108" s="331"/>
      <c r="H108" s="331"/>
      <c r="I108" s="331"/>
      <c r="J108" s="332"/>
      <c r="K108" s="341"/>
      <c r="L108" s="342">
        <f>SUM(L86:L106)</f>
        <v>0</v>
      </c>
      <c r="N108" s="465"/>
      <c r="O108" s="476"/>
      <c r="P108" s="271"/>
      <c r="Q108" s="271"/>
      <c r="R108" s="271"/>
      <c r="S108" s="271"/>
      <c r="T108" s="271"/>
      <c r="U108" s="271"/>
      <c r="V108" s="473"/>
      <c r="W108" s="271"/>
      <c r="X108" s="477"/>
    </row>
    <row r="109" spans="2:24" x14ac:dyDescent="0.25">
      <c r="N109" s="448"/>
      <c r="O109" s="448"/>
      <c r="P109" s="449"/>
      <c r="Q109" s="449"/>
      <c r="R109" s="449"/>
      <c r="S109" s="36"/>
      <c r="T109" s="450"/>
      <c r="U109" s="450"/>
      <c r="V109" s="450"/>
      <c r="W109" s="450"/>
      <c r="X109" s="450"/>
    </row>
    <row r="110" spans="2:24" x14ac:dyDescent="0.25">
      <c r="N110" s="448"/>
      <c r="O110" s="448"/>
      <c r="P110" s="449"/>
      <c r="Q110" s="449"/>
      <c r="R110" s="449"/>
      <c r="S110" s="36"/>
      <c r="T110" s="450"/>
      <c r="U110" s="450"/>
      <c r="V110" s="450"/>
      <c r="W110" s="450"/>
      <c r="X110" s="450"/>
    </row>
    <row r="111" spans="2:24" ht="13" x14ac:dyDescent="0.25">
      <c r="B111" s="350" t="s">
        <v>253</v>
      </c>
      <c r="C111" s="88"/>
      <c r="D111" s="88"/>
      <c r="E111" s="88"/>
      <c r="F111" s="88"/>
      <c r="G111" s="88"/>
      <c r="H111" s="309"/>
      <c r="I111" s="309"/>
      <c r="J111" s="88"/>
      <c r="K111" s="88"/>
      <c r="L111" s="88"/>
      <c r="N111" s="459"/>
      <c r="O111" s="271"/>
      <c r="P111" s="271"/>
      <c r="Q111" s="271"/>
      <c r="R111" s="271"/>
      <c r="S111" s="271"/>
      <c r="T111" s="309"/>
      <c r="U111" s="309"/>
      <c r="V111" s="271"/>
      <c r="W111" s="271"/>
      <c r="X111" s="271"/>
    </row>
    <row r="112" spans="2:24" x14ac:dyDescent="0.25">
      <c r="B112" s="88"/>
      <c r="C112" s="88"/>
      <c r="D112" s="274"/>
      <c r="E112" s="274"/>
      <c r="F112" s="274"/>
      <c r="G112" s="88"/>
      <c r="H112" s="88"/>
      <c r="I112" s="88"/>
      <c r="J112" s="88"/>
      <c r="K112" s="88"/>
      <c r="L112" s="351"/>
      <c r="N112" s="271"/>
      <c r="O112" s="271"/>
      <c r="P112" s="274"/>
      <c r="Q112" s="274"/>
      <c r="R112" s="274"/>
      <c r="S112" s="271"/>
      <c r="T112" s="271"/>
      <c r="U112" s="271"/>
      <c r="V112" s="271"/>
      <c r="W112" s="271"/>
      <c r="X112" s="460"/>
    </row>
    <row r="113" spans="2:24" ht="15.5" x14ac:dyDescent="0.25">
      <c r="B113" s="317"/>
      <c r="C113" s="320" t="s">
        <v>230</v>
      </c>
      <c r="D113" s="361"/>
      <c r="E113" s="320" t="s">
        <v>231</v>
      </c>
      <c r="F113" s="333"/>
      <c r="G113" s="335" t="s">
        <v>272</v>
      </c>
      <c r="H113" s="321"/>
      <c r="I113" s="437" t="s">
        <v>273</v>
      </c>
      <c r="J113" s="438"/>
      <c r="K113" s="322"/>
      <c r="L113" s="343"/>
      <c r="N113" s="271"/>
      <c r="O113" s="461"/>
      <c r="P113" s="3"/>
      <c r="Q113" s="461"/>
      <c r="R113" s="3"/>
      <c r="S113" s="461"/>
      <c r="T113" s="243"/>
      <c r="U113" s="461"/>
      <c r="V113" s="461"/>
      <c r="W113" s="462"/>
      <c r="X113" s="271"/>
    </row>
    <row r="114" spans="2:24" ht="14" x14ac:dyDescent="0.25">
      <c r="B114" s="318"/>
      <c r="C114" s="287" t="s">
        <v>237</v>
      </c>
      <c r="D114" s="362"/>
      <c r="E114" s="287" t="s">
        <v>238</v>
      </c>
      <c r="F114" s="334"/>
      <c r="G114" s="336" t="s">
        <v>274</v>
      </c>
      <c r="H114" s="288"/>
      <c r="I114" s="439" t="s">
        <v>275</v>
      </c>
      <c r="J114" s="440"/>
      <c r="K114" s="284"/>
      <c r="L114" s="344"/>
      <c r="N114" s="36"/>
      <c r="O114" s="463"/>
      <c r="P114" s="464"/>
      <c r="Q114" s="463"/>
      <c r="R114" s="464"/>
      <c r="S114" s="463"/>
      <c r="T114" s="463"/>
      <c r="U114" s="463"/>
      <c r="V114" s="463"/>
      <c r="W114" s="271"/>
      <c r="X114" s="271"/>
    </row>
    <row r="115" spans="2:24" ht="14" x14ac:dyDescent="0.25">
      <c r="B115" s="169" t="s">
        <v>135</v>
      </c>
      <c r="C115" s="316"/>
      <c r="D115" s="283"/>
      <c r="E115" s="316"/>
      <c r="F115" s="283"/>
      <c r="G115" s="316"/>
      <c r="H115" s="283"/>
      <c r="I115" s="432" t="s">
        <v>276</v>
      </c>
      <c r="J115" s="283" t="s">
        <v>277</v>
      </c>
      <c r="K115" s="286" t="s">
        <v>242</v>
      </c>
      <c r="L115" s="345" t="s">
        <v>139</v>
      </c>
      <c r="N115" s="465"/>
      <c r="O115" s="466"/>
      <c r="P115" s="466"/>
      <c r="Q115" s="466"/>
      <c r="R115" s="466"/>
      <c r="S115" s="466"/>
      <c r="T115" s="466"/>
      <c r="U115" s="466"/>
      <c r="V115" s="466"/>
      <c r="W115" s="465"/>
      <c r="X115" s="465"/>
    </row>
    <row r="116" spans="2:24" ht="14" x14ac:dyDescent="0.25">
      <c r="B116" s="319"/>
      <c r="C116" s="324" t="s">
        <v>0</v>
      </c>
      <c r="D116" s="325" t="s">
        <v>1</v>
      </c>
      <c r="E116" s="324" t="s">
        <v>0</v>
      </c>
      <c r="F116" s="325" t="s">
        <v>1</v>
      </c>
      <c r="G116" s="324" t="s">
        <v>0</v>
      </c>
      <c r="H116" s="325" t="s">
        <v>1</v>
      </c>
      <c r="I116" s="441" t="s">
        <v>147</v>
      </c>
      <c r="J116" s="325" t="s">
        <v>147</v>
      </c>
      <c r="K116" s="326" t="s">
        <v>148</v>
      </c>
      <c r="L116" s="346" t="s">
        <v>149</v>
      </c>
      <c r="N116" s="467"/>
      <c r="O116" s="466"/>
      <c r="P116" s="466"/>
      <c r="Q116" s="466"/>
      <c r="R116" s="466"/>
      <c r="S116" s="466"/>
      <c r="T116" s="466"/>
      <c r="U116" s="466"/>
      <c r="V116" s="466"/>
      <c r="W116" s="465"/>
      <c r="X116" s="465"/>
    </row>
    <row r="117" spans="2:24" x14ac:dyDescent="0.25">
      <c r="B117" s="327">
        <v>1</v>
      </c>
      <c r="C117" s="348">
        <f>PTV1NB*AnnualFactor</f>
        <v>0</v>
      </c>
      <c r="D117" s="349">
        <f>PTV1B*AnnualFactor</f>
        <v>0</v>
      </c>
      <c r="E117" s="363">
        <f>ROUND(PTS1NB,1)</f>
        <v>55</v>
      </c>
      <c r="F117" s="364">
        <f>ROUND(PTS1B,1)</f>
        <v>55</v>
      </c>
      <c r="G117" s="339">
        <f>ImpactedNB*C117</f>
        <v>0</v>
      </c>
      <c r="H117" s="434">
        <f>ImpactedB*D117</f>
        <v>0</v>
      </c>
      <c r="I117" s="515">
        <f>(G117*VLOOKUP(E117,FuelCon,3)*IF(Pavement,VLOOKUP(IRI1NB,FuelConPavAdj,3),1)-H117*VLOOKUP(F117,FuelCon,3)*IF(Pavement,VLOOKUP(IRI1B,FuelConPavAdj,3),1))*FuelTruck*IF(UserAdjInputs,1,VLOOKUP(TMSLookup,TMSAdj,9))</f>
        <v>0</v>
      </c>
      <c r="J117" s="498">
        <f>(G117*IF(Pavement,VLOOKUP(IRI1NB,NonFuelPavAdj,3),1)-H117*IF(Pavement,VLOOKUP(IRI1B,NonFuelPavAdj,3),1))*NonFuelTruck*IF(UserAdjInputs,1,VLOOKUP(TMSLookup,TMSAdj,9))</f>
        <v>0</v>
      </c>
      <c r="K117" s="285">
        <f>SUM($I117:$J117)</f>
        <v>0</v>
      </c>
      <c r="L117" s="323">
        <f>$K117/(1+DiscRate)^($B117+Construct-1)</f>
        <v>0</v>
      </c>
      <c r="N117" s="468"/>
      <c r="O117" s="469"/>
      <c r="P117" s="469"/>
      <c r="Q117" s="470"/>
      <c r="R117" s="470"/>
      <c r="S117" s="471"/>
      <c r="T117" s="471"/>
      <c r="U117" s="472"/>
      <c r="V117" s="472"/>
      <c r="W117" s="473"/>
      <c r="X117" s="474"/>
    </row>
    <row r="118" spans="2:24" x14ac:dyDescent="0.25">
      <c r="B118" s="328">
        <v>20</v>
      </c>
      <c r="C118" s="353">
        <f>PTV20NB*AnnualFactor</f>
        <v>0</v>
      </c>
      <c r="D118" s="354">
        <f>PTV20B*AnnualFactor</f>
        <v>0</v>
      </c>
      <c r="E118" s="365">
        <f>ROUND(PTS20NB,1)</f>
        <v>55</v>
      </c>
      <c r="F118" s="366">
        <f>ROUND(PTS20B,1)</f>
        <v>55</v>
      </c>
      <c r="G118" s="339">
        <f>ImpactedNB*C118</f>
        <v>0</v>
      </c>
      <c r="H118" s="435">
        <f>ImpactedB*D118</f>
        <v>0</v>
      </c>
      <c r="I118" s="520">
        <f>(G118*VLOOKUP(E118,FuelCon,3)*IF(Pavement,VLOOKUP(IRI1NB,FuelConPavAdj,3),1)-H118*VLOOKUP(F118,FuelCon,3)*IF(Pavement,VLOOKUP(IRI1B,FuelConPavAdj,3),1))*FuelTruck*IF(UserAdjInputs,1,VLOOKUP(TMSLookup,TMSAdj,9))</f>
        <v>0</v>
      </c>
      <c r="J118" s="499">
        <f>(G118*IF(Pavement,VLOOKUP(IRI1NB,NonFuelPavAdj,3),1)-H118*IF(Pavement,VLOOKUP(IRI1B,NonFuelPavAdj,3),1))*NonFuelTruck*IF(UserAdjInputs,1,VLOOKUP(TMSLookup,TMSAdj,9))</f>
        <v>0</v>
      </c>
      <c r="K118" s="285">
        <f>SUM($I118:$J118)</f>
        <v>0</v>
      </c>
      <c r="L118" s="323">
        <f>$K118/(1+DiscRate)^($B118+Construct-1)</f>
        <v>0</v>
      </c>
      <c r="N118" s="468"/>
      <c r="O118" s="469"/>
      <c r="P118" s="469"/>
      <c r="Q118" s="470"/>
      <c r="R118" s="470"/>
      <c r="S118" s="471"/>
      <c r="T118" s="471"/>
      <c r="U118" s="472"/>
      <c r="V118" s="472"/>
      <c r="W118" s="473"/>
      <c r="X118" s="474"/>
    </row>
    <row r="119" spans="2:24" x14ac:dyDescent="0.25">
      <c r="B119" s="357"/>
      <c r="C119" s="355"/>
      <c r="D119" s="355"/>
      <c r="E119" s="367"/>
      <c r="F119" s="367"/>
      <c r="G119" s="356"/>
      <c r="H119" s="356"/>
      <c r="I119" s="356"/>
      <c r="J119" s="356"/>
      <c r="K119" s="356"/>
      <c r="L119" s="358"/>
      <c r="N119" s="468"/>
      <c r="O119" s="469"/>
      <c r="P119" s="469"/>
      <c r="Q119" s="470"/>
      <c r="R119" s="470"/>
      <c r="S119" s="472"/>
      <c r="T119" s="472"/>
      <c r="U119" s="472"/>
      <c r="V119" s="472"/>
      <c r="W119" s="472"/>
      <c r="X119" s="475"/>
    </row>
    <row r="120" spans="2:24" x14ac:dyDescent="0.25">
      <c r="B120" s="352">
        <v>2</v>
      </c>
      <c r="C120" s="368">
        <f>TREND(C117:C118,B117:B118,B120)</f>
        <v>0</v>
      </c>
      <c r="D120" s="629">
        <f>TREND(D117:D118,B117:B118,B120)</f>
        <v>0</v>
      </c>
      <c r="E120" s="632">
        <f>TREND(E117:E118,B117:B118,B120)</f>
        <v>55</v>
      </c>
      <c r="F120" s="371">
        <f>TREND(F117:F118,B117:B118,B120)</f>
        <v>55</v>
      </c>
      <c r="G120" s="339">
        <f t="shared" ref="G120:G137" si="29">ImpactedNB*C120</f>
        <v>0</v>
      </c>
      <c r="H120" s="434">
        <f t="shared" ref="H120:H137" si="30">ImpactedB*D120</f>
        <v>0</v>
      </c>
      <c r="I120" s="515">
        <f t="shared" ref="I120:I137" si="31">(G120*VLOOKUP(E120,FuelCon,3)*IF(Pavement,VLOOKUP(IRI1NB,FuelConPavAdj,3),1)-H120*VLOOKUP(F120,FuelCon,3)*IF(Pavement,VLOOKUP(IRI1B,FuelConPavAdj,3),1))*FuelTruck*IF(UserAdjInputs,1,VLOOKUP(TMSLookup,TMSAdj,9))</f>
        <v>0</v>
      </c>
      <c r="J120" s="498">
        <f t="shared" ref="J120:J137" si="32">(G120*IF(Pavement,VLOOKUP(IRI1NB,NonFuelPavAdj,3),1)-H120*IF(Pavement,VLOOKUP(IRI1B,NonFuelPavAdj,3),1))*NonFuelTruck*IF(UserAdjInputs,1,VLOOKUP(TMSLookup,TMSAdj,9))</f>
        <v>0</v>
      </c>
      <c r="K120" s="285">
        <f t="shared" ref="K120:K137" si="33">SUM($I120:$J120)</f>
        <v>0</v>
      </c>
      <c r="L120" s="323">
        <f t="shared" ref="L120:L137" si="34">$K120/(1+DiscRate)^($B120+Construct-1)</f>
        <v>0</v>
      </c>
      <c r="N120" s="468"/>
      <c r="O120" s="469"/>
      <c r="P120" s="469"/>
      <c r="Q120" s="470"/>
      <c r="R120" s="470"/>
      <c r="S120" s="471"/>
      <c r="T120" s="471"/>
      <c r="U120" s="472"/>
      <c r="V120" s="472"/>
      <c r="W120" s="473"/>
      <c r="X120" s="474"/>
    </row>
    <row r="121" spans="2:24" x14ac:dyDescent="0.25">
      <c r="B121" s="327">
        <v>3</v>
      </c>
      <c r="C121" s="347">
        <f>TREND(C117:C118,B117:B118,B121)</f>
        <v>0</v>
      </c>
      <c r="D121" s="630">
        <f>TREND(D117:D118,B117:B118,B121)</f>
        <v>0</v>
      </c>
      <c r="E121" s="633">
        <f>TREND(E117:E118,B117:B118,B121)</f>
        <v>55</v>
      </c>
      <c r="F121" s="374">
        <f>TREND(F117:F118,B117:B118,B121)</f>
        <v>55</v>
      </c>
      <c r="G121" s="339">
        <f t="shared" si="29"/>
        <v>0</v>
      </c>
      <c r="H121" s="436">
        <f t="shared" si="30"/>
        <v>0</v>
      </c>
      <c r="I121" s="521">
        <f t="shared" si="31"/>
        <v>0</v>
      </c>
      <c r="J121" s="500">
        <f t="shared" si="32"/>
        <v>0</v>
      </c>
      <c r="K121" s="285">
        <f t="shared" si="33"/>
        <v>0</v>
      </c>
      <c r="L121" s="323">
        <f t="shared" si="34"/>
        <v>0</v>
      </c>
      <c r="N121" s="468"/>
      <c r="O121" s="469"/>
      <c r="P121" s="469"/>
      <c r="Q121" s="470"/>
      <c r="R121" s="470"/>
      <c r="S121" s="471"/>
      <c r="T121" s="471"/>
      <c r="U121" s="472"/>
      <c r="V121" s="472"/>
      <c r="W121" s="473"/>
      <c r="X121" s="474"/>
    </row>
    <row r="122" spans="2:24" x14ac:dyDescent="0.25">
      <c r="B122" s="327">
        <v>4</v>
      </c>
      <c r="C122" s="347">
        <f>TREND(C117:C118,B117:B118,B122)</f>
        <v>0</v>
      </c>
      <c r="D122" s="630">
        <f>TREND(D117:D118,B117:B118,B122)</f>
        <v>0</v>
      </c>
      <c r="E122" s="633">
        <f>TREND(E117:E118,B117:B118,B122)</f>
        <v>55</v>
      </c>
      <c r="F122" s="374">
        <f>TREND(F117:F118,B117:B118,B122)</f>
        <v>55</v>
      </c>
      <c r="G122" s="339">
        <f t="shared" si="29"/>
        <v>0</v>
      </c>
      <c r="H122" s="436">
        <f t="shared" si="30"/>
        <v>0</v>
      </c>
      <c r="I122" s="521">
        <f t="shared" si="31"/>
        <v>0</v>
      </c>
      <c r="J122" s="500">
        <f t="shared" si="32"/>
        <v>0</v>
      </c>
      <c r="K122" s="285">
        <f t="shared" si="33"/>
        <v>0</v>
      </c>
      <c r="L122" s="323">
        <f t="shared" si="34"/>
        <v>0</v>
      </c>
      <c r="N122" s="468"/>
      <c r="O122" s="469"/>
      <c r="P122" s="469"/>
      <c r="Q122" s="470"/>
      <c r="R122" s="470"/>
      <c r="S122" s="471"/>
      <c r="T122" s="471"/>
      <c r="U122" s="472"/>
      <c r="V122" s="472"/>
      <c r="W122" s="473"/>
      <c r="X122" s="474"/>
    </row>
    <row r="123" spans="2:24" x14ac:dyDescent="0.25">
      <c r="B123" s="327">
        <v>5</v>
      </c>
      <c r="C123" s="347">
        <f>TREND(C117:C118,B117:B118,B123)</f>
        <v>0</v>
      </c>
      <c r="D123" s="630">
        <f>TREND(D117:D118,B117:B118,B123)</f>
        <v>0</v>
      </c>
      <c r="E123" s="633">
        <f>TREND(E117:E118,B117:B118,B123)</f>
        <v>55</v>
      </c>
      <c r="F123" s="374">
        <f>TREND(F117:F118,B117:B118,B123)</f>
        <v>55</v>
      </c>
      <c r="G123" s="339">
        <f t="shared" si="29"/>
        <v>0</v>
      </c>
      <c r="H123" s="436">
        <f t="shared" si="30"/>
        <v>0</v>
      </c>
      <c r="I123" s="521">
        <f t="shared" si="31"/>
        <v>0</v>
      </c>
      <c r="J123" s="500">
        <f t="shared" si="32"/>
        <v>0</v>
      </c>
      <c r="K123" s="285">
        <f t="shared" si="33"/>
        <v>0</v>
      </c>
      <c r="L123" s="323">
        <f t="shared" si="34"/>
        <v>0</v>
      </c>
      <c r="N123" s="468"/>
      <c r="O123" s="469"/>
      <c r="P123" s="469"/>
      <c r="Q123" s="470"/>
      <c r="R123" s="470"/>
      <c r="S123" s="471"/>
      <c r="T123" s="471"/>
      <c r="U123" s="472"/>
      <c r="V123" s="472"/>
      <c r="W123" s="473"/>
      <c r="X123" s="474"/>
    </row>
    <row r="124" spans="2:24" x14ac:dyDescent="0.25">
      <c r="B124" s="327">
        <v>6</v>
      </c>
      <c r="C124" s="347">
        <f>TREND(C117:C118,B117:B118,B124)</f>
        <v>0</v>
      </c>
      <c r="D124" s="630">
        <f>TREND(D117:D118,B117:B118,B124)</f>
        <v>0</v>
      </c>
      <c r="E124" s="633">
        <f>TREND(E117:E118,B117:B118,B124)</f>
        <v>55</v>
      </c>
      <c r="F124" s="374">
        <f>TREND(F117:F118,B117:B118,B124)</f>
        <v>55</v>
      </c>
      <c r="G124" s="339">
        <f t="shared" si="29"/>
        <v>0</v>
      </c>
      <c r="H124" s="436">
        <f t="shared" si="30"/>
        <v>0</v>
      </c>
      <c r="I124" s="521">
        <f t="shared" si="31"/>
        <v>0</v>
      </c>
      <c r="J124" s="500">
        <f t="shared" si="32"/>
        <v>0</v>
      </c>
      <c r="K124" s="285">
        <f t="shared" si="33"/>
        <v>0</v>
      </c>
      <c r="L124" s="323">
        <f t="shared" si="34"/>
        <v>0</v>
      </c>
      <c r="N124" s="468"/>
      <c r="O124" s="469"/>
      <c r="P124" s="469"/>
      <c r="Q124" s="470"/>
      <c r="R124" s="470"/>
      <c r="S124" s="471"/>
      <c r="T124" s="471"/>
      <c r="U124" s="472"/>
      <c r="V124" s="472"/>
      <c r="W124" s="473"/>
      <c r="X124" s="474"/>
    </row>
    <row r="125" spans="2:24" x14ac:dyDescent="0.25">
      <c r="B125" s="327">
        <v>7</v>
      </c>
      <c r="C125" s="347">
        <f>TREND(C117:C118,B117:B118,B125)</f>
        <v>0</v>
      </c>
      <c r="D125" s="630">
        <f>TREND(D117:D118,B117:B118,B125)</f>
        <v>0</v>
      </c>
      <c r="E125" s="633">
        <f>TREND(E117:E118,B117:B118,B125)</f>
        <v>55</v>
      </c>
      <c r="F125" s="374">
        <f>TREND(F117:F118,B117:B118,B125)</f>
        <v>55</v>
      </c>
      <c r="G125" s="339">
        <f t="shared" si="29"/>
        <v>0</v>
      </c>
      <c r="H125" s="436">
        <f t="shared" si="30"/>
        <v>0</v>
      </c>
      <c r="I125" s="521">
        <f t="shared" si="31"/>
        <v>0</v>
      </c>
      <c r="J125" s="500">
        <f t="shared" si="32"/>
        <v>0</v>
      </c>
      <c r="K125" s="285">
        <f t="shared" si="33"/>
        <v>0</v>
      </c>
      <c r="L125" s="323">
        <f t="shared" si="34"/>
        <v>0</v>
      </c>
      <c r="N125" s="468"/>
      <c r="O125" s="469"/>
      <c r="P125" s="469"/>
      <c r="Q125" s="470"/>
      <c r="R125" s="470"/>
      <c r="S125" s="471"/>
      <c r="T125" s="471"/>
      <c r="U125" s="472"/>
      <c r="V125" s="472"/>
      <c r="W125" s="473"/>
      <c r="X125" s="474"/>
    </row>
    <row r="126" spans="2:24" x14ac:dyDescent="0.25">
      <c r="B126" s="327">
        <v>8</v>
      </c>
      <c r="C126" s="347">
        <f>TREND(C117:C118,B117:B118,B126)</f>
        <v>0</v>
      </c>
      <c r="D126" s="630">
        <f>TREND(D117:D118,B117:B118,B126)</f>
        <v>0</v>
      </c>
      <c r="E126" s="633">
        <f>TREND(E117:E118,B117:B118,B126)</f>
        <v>55</v>
      </c>
      <c r="F126" s="374">
        <f>TREND(F117:F118,B117:B118,B126)</f>
        <v>55</v>
      </c>
      <c r="G126" s="339">
        <f t="shared" si="29"/>
        <v>0</v>
      </c>
      <c r="H126" s="436">
        <f t="shared" si="30"/>
        <v>0</v>
      </c>
      <c r="I126" s="521">
        <f t="shared" si="31"/>
        <v>0</v>
      </c>
      <c r="J126" s="500">
        <f t="shared" si="32"/>
        <v>0</v>
      </c>
      <c r="K126" s="285">
        <f t="shared" si="33"/>
        <v>0</v>
      </c>
      <c r="L126" s="323">
        <f t="shared" si="34"/>
        <v>0</v>
      </c>
      <c r="N126" s="468"/>
      <c r="O126" s="469"/>
      <c r="P126" s="469"/>
      <c r="Q126" s="470"/>
      <c r="R126" s="470"/>
      <c r="S126" s="471"/>
      <c r="T126" s="471"/>
      <c r="U126" s="472"/>
      <c r="V126" s="472"/>
      <c r="W126" s="473"/>
      <c r="X126" s="474"/>
    </row>
    <row r="127" spans="2:24" x14ac:dyDescent="0.25">
      <c r="B127" s="327">
        <v>9</v>
      </c>
      <c r="C127" s="347">
        <f>TREND(C117:C118,B117:B118,B127)</f>
        <v>0</v>
      </c>
      <c r="D127" s="630">
        <f>TREND(D117:D118,B117:B118,B127)</f>
        <v>0</v>
      </c>
      <c r="E127" s="633">
        <f>TREND(E117:E118,B117:B118,B127)</f>
        <v>55</v>
      </c>
      <c r="F127" s="374">
        <f>TREND(F117:F118,B117:B118,B127)</f>
        <v>55</v>
      </c>
      <c r="G127" s="339">
        <f t="shared" si="29"/>
        <v>0</v>
      </c>
      <c r="H127" s="436">
        <f t="shared" si="30"/>
        <v>0</v>
      </c>
      <c r="I127" s="521">
        <f t="shared" si="31"/>
        <v>0</v>
      </c>
      <c r="J127" s="500">
        <f t="shared" si="32"/>
        <v>0</v>
      </c>
      <c r="K127" s="285">
        <f t="shared" si="33"/>
        <v>0</v>
      </c>
      <c r="L127" s="323">
        <f t="shared" si="34"/>
        <v>0</v>
      </c>
      <c r="N127" s="468"/>
      <c r="O127" s="469"/>
      <c r="P127" s="469"/>
      <c r="Q127" s="470"/>
      <c r="R127" s="470"/>
      <c r="S127" s="471"/>
      <c r="T127" s="471"/>
      <c r="U127" s="472"/>
      <c r="V127" s="472"/>
      <c r="W127" s="473"/>
      <c r="X127" s="474"/>
    </row>
    <row r="128" spans="2:24" x14ac:dyDescent="0.25">
      <c r="B128" s="327">
        <v>10</v>
      </c>
      <c r="C128" s="347">
        <f>TREND(C117:C118,B117:B118,B128)</f>
        <v>0</v>
      </c>
      <c r="D128" s="630">
        <f>TREND(D117:D118,B117:B118,B128)</f>
        <v>0</v>
      </c>
      <c r="E128" s="633">
        <f>TREND(E117:E118,B117:B118,B128)</f>
        <v>55</v>
      </c>
      <c r="F128" s="374">
        <f>TREND(F117:F118,B117:B118,B128)</f>
        <v>55</v>
      </c>
      <c r="G128" s="339">
        <f t="shared" si="29"/>
        <v>0</v>
      </c>
      <c r="H128" s="436">
        <f t="shared" si="30"/>
        <v>0</v>
      </c>
      <c r="I128" s="521">
        <f t="shared" si="31"/>
        <v>0</v>
      </c>
      <c r="J128" s="500">
        <f t="shared" si="32"/>
        <v>0</v>
      </c>
      <c r="K128" s="285">
        <f t="shared" si="33"/>
        <v>0</v>
      </c>
      <c r="L128" s="323">
        <f t="shared" si="34"/>
        <v>0</v>
      </c>
      <c r="N128" s="468"/>
      <c r="O128" s="469"/>
      <c r="P128" s="469"/>
      <c r="Q128" s="470"/>
      <c r="R128" s="470"/>
      <c r="S128" s="471"/>
      <c r="T128" s="471"/>
      <c r="U128" s="472"/>
      <c r="V128" s="472"/>
      <c r="W128" s="473"/>
      <c r="X128" s="474"/>
    </row>
    <row r="129" spans="2:24" x14ac:dyDescent="0.25">
      <c r="B129" s="327">
        <v>11</v>
      </c>
      <c r="C129" s="347">
        <f>TREND(C117:C118,B117:B118,B129)</f>
        <v>0</v>
      </c>
      <c r="D129" s="630">
        <f>TREND(D117:D118,B117:B118,B129)</f>
        <v>0</v>
      </c>
      <c r="E129" s="633">
        <f>TREND(E117:E118,B117:B118,B129)</f>
        <v>55</v>
      </c>
      <c r="F129" s="374">
        <f>TREND(F117:F118,B117:B118,B129)</f>
        <v>55</v>
      </c>
      <c r="G129" s="339">
        <f t="shared" si="29"/>
        <v>0</v>
      </c>
      <c r="H129" s="436">
        <f t="shared" si="30"/>
        <v>0</v>
      </c>
      <c r="I129" s="521">
        <f t="shared" si="31"/>
        <v>0</v>
      </c>
      <c r="J129" s="500">
        <f t="shared" si="32"/>
        <v>0</v>
      </c>
      <c r="K129" s="285">
        <f t="shared" si="33"/>
        <v>0</v>
      </c>
      <c r="L129" s="323">
        <f t="shared" si="34"/>
        <v>0</v>
      </c>
      <c r="N129" s="468"/>
      <c r="O129" s="469"/>
      <c r="P129" s="469"/>
      <c r="Q129" s="470"/>
      <c r="R129" s="470"/>
      <c r="S129" s="471"/>
      <c r="T129" s="471"/>
      <c r="U129" s="472"/>
      <c r="V129" s="472"/>
      <c r="W129" s="473"/>
      <c r="X129" s="474"/>
    </row>
    <row r="130" spans="2:24" x14ac:dyDescent="0.25">
      <c r="B130" s="327">
        <v>12</v>
      </c>
      <c r="C130" s="347">
        <f>TREND(C117:C118,B117:B118,B130)</f>
        <v>0</v>
      </c>
      <c r="D130" s="630">
        <f>TREND(D117:D118,B117:B118,B130)</f>
        <v>0</v>
      </c>
      <c r="E130" s="633">
        <f>TREND(E117:E118,B117:B118,B130)</f>
        <v>55</v>
      </c>
      <c r="F130" s="374">
        <f>TREND(F117:F118,B117:B118,B130)</f>
        <v>55</v>
      </c>
      <c r="G130" s="339">
        <f t="shared" si="29"/>
        <v>0</v>
      </c>
      <c r="H130" s="436">
        <f t="shared" si="30"/>
        <v>0</v>
      </c>
      <c r="I130" s="521">
        <f t="shared" si="31"/>
        <v>0</v>
      </c>
      <c r="J130" s="500">
        <f t="shared" si="32"/>
        <v>0</v>
      </c>
      <c r="K130" s="285">
        <f t="shared" si="33"/>
        <v>0</v>
      </c>
      <c r="L130" s="323">
        <f t="shared" si="34"/>
        <v>0</v>
      </c>
      <c r="N130" s="468"/>
      <c r="O130" s="469"/>
      <c r="P130" s="469"/>
      <c r="Q130" s="470"/>
      <c r="R130" s="470"/>
      <c r="S130" s="471"/>
      <c r="T130" s="471"/>
      <c r="U130" s="472"/>
      <c r="V130" s="472"/>
      <c r="W130" s="473"/>
      <c r="X130" s="474"/>
    </row>
    <row r="131" spans="2:24" x14ac:dyDescent="0.25">
      <c r="B131" s="327">
        <v>13</v>
      </c>
      <c r="C131" s="347">
        <f>TREND(C117:C118,B117:B118,B131)</f>
        <v>0</v>
      </c>
      <c r="D131" s="630">
        <f>TREND(D117:D118,B117:B118,B131)</f>
        <v>0</v>
      </c>
      <c r="E131" s="633">
        <f>TREND(E117:E118,B117:B118,B131)</f>
        <v>55</v>
      </c>
      <c r="F131" s="374">
        <f>TREND(F117:F118,B117:B118,B131)</f>
        <v>55</v>
      </c>
      <c r="G131" s="339">
        <f t="shared" si="29"/>
        <v>0</v>
      </c>
      <c r="H131" s="436">
        <f t="shared" si="30"/>
        <v>0</v>
      </c>
      <c r="I131" s="521">
        <f t="shared" si="31"/>
        <v>0</v>
      </c>
      <c r="J131" s="500">
        <f t="shared" si="32"/>
        <v>0</v>
      </c>
      <c r="K131" s="285">
        <f t="shared" si="33"/>
        <v>0</v>
      </c>
      <c r="L131" s="323">
        <f t="shared" si="34"/>
        <v>0</v>
      </c>
      <c r="N131" s="468"/>
      <c r="O131" s="469"/>
      <c r="P131" s="469"/>
      <c r="Q131" s="470"/>
      <c r="R131" s="470"/>
      <c r="S131" s="471"/>
      <c r="T131" s="471"/>
      <c r="U131" s="472"/>
      <c r="V131" s="472"/>
      <c r="W131" s="473"/>
      <c r="X131" s="474"/>
    </row>
    <row r="132" spans="2:24" x14ac:dyDescent="0.25">
      <c r="B132" s="327">
        <v>14</v>
      </c>
      <c r="C132" s="347">
        <f>TREND(C117:C118,B117:B118,B132)</f>
        <v>0</v>
      </c>
      <c r="D132" s="630">
        <f>TREND(D117:D118,B117:B118,B132)</f>
        <v>0</v>
      </c>
      <c r="E132" s="633">
        <f>TREND(E117:E118,B117:B118,B132)</f>
        <v>55</v>
      </c>
      <c r="F132" s="374">
        <f>TREND(F117:F118,B117:B118,B132)</f>
        <v>55</v>
      </c>
      <c r="G132" s="339">
        <f t="shared" si="29"/>
        <v>0</v>
      </c>
      <c r="H132" s="436">
        <f t="shared" si="30"/>
        <v>0</v>
      </c>
      <c r="I132" s="521">
        <f t="shared" si="31"/>
        <v>0</v>
      </c>
      <c r="J132" s="500">
        <f t="shared" si="32"/>
        <v>0</v>
      </c>
      <c r="K132" s="285">
        <f t="shared" si="33"/>
        <v>0</v>
      </c>
      <c r="L132" s="323">
        <f t="shared" si="34"/>
        <v>0</v>
      </c>
      <c r="N132" s="468"/>
      <c r="O132" s="469"/>
      <c r="P132" s="469"/>
      <c r="Q132" s="470"/>
      <c r="R132" s="470"/>
      <c r="S132" s="471"/>
      <c r="T132" s="471"/>
      <c r="U132" s="472"/>
      <c r="V132" s="472"/>
      <c r="W132" s="473"/>
      <c r="X132" s="474"/>
    </row>
    <row r="133" spans="2:24" x14ac:dyDescent="0.25">
      <c r="B133" s="327">
        <v>15</v>
      </c>
      <c r="C133" s="347">
        <f>TREND(C117:C118,B117:B118,B133)</f>
        <v>0</v>
      </c>
      <c r="D133" s="630">
        <f>TREND(D117:D118,B117:B118,B133)</f>
        <v>0</v>
      </c>
      <c r="E133" s="633">
        <f>TREND(E117:E118,B117:B118,B133)</f>
        <v>55</v>
      </c>
      <c r="F133" s="374">
        <f>TREND(F117:F118,B117:B118,B133)</f>
        <v>55</v>
      </c>
      <c r="G133" s="339">
        <f t="shared" si="29"/>
        <v>0</v>
      </c>
      <c r="H133" s="436">
        <f t="shared" si="30"/>
        <v>0</v>
      </c>
      <c r="I133" s="521">
        <f t="shared" si="31"/>
        <v>0</v>
      </c>
      <c r="J133" s="500">
        <f t="shared" si="32"/>
        <v>0</v>
      </c>
      <c r="K133" s="285">
        <f t="shared" si="33"/>
        <v>0</v>
      </c>
      <c r="L133" s="323">
        <f t="shared" si="34"/>
        <v>0</v>
      </c>
      <c r="N133" s="468"/>
      <c r="O133" s="469"/>
      <c r="P133" s="469"/>
      <c r="Q133" s="470"/>
      <c r="R133" s="470"/>
      <c r="S133" s="471"/>
      <c r="T133" s="471"/>
      <c r="U133" s="472"/>
      <c r="V133" s="472"/>
      <c r="W133" s="473"/>
      <c r="X133" s="474"/>
    </row>
    <row r="134" spans="2:24" x14ac:dyDescent="0.25">
      <c r="B134" s="327">
        <v>16</v>
      </c>
      <c r="C134" s="347">
        <f>TREND(C117:C118,B117:B118,B134)</f>
        <v>0</v>
      </c>
      <c r="D134" s="630">
        <f>TREND(D117:D118,B117:B118,B134)</f>
        <v>0</v>
      </c>
      <c r="E134" s="633">
        <f>TREND(E117:E118,B117:B118,B134)</f>
        <v>55</v>
      </c>
      <c r="F134" s="374">
        <f>TREND(F117:F118,B117:B118,B134)</f>
        <v>55</v>
      </c>
      <c r="G134" s="339">
        <f t="shared" si="29"/>
        <v>0</v>
      </c>
      <c r="H134" s="436">
        <f t="shared" si="30"/>
        <v>0</v>
      </c>
      <c r="I134" s="521">
        <f t="shared" si="31"/>
        <v>0</v>
      </c>
      <c r="J134" s="500">
        <f t="shared" si="32"/>
        <v>0</v>
      </c>
      <c r="K134" s="285">
        <f t="shared" si="33"/>
        <v>0</v>
      </c>
      <c r="L134" s="323">
        <f t="shared" si="34"/>
        <v>0</v>
      </c>
      <c r="N134" s="468"/>
      <c r="O134" s="469"/>
      <c r="P134" s="469"/>
      <c r="Q134" s="470"/>
      <c r="R134" s="470"/>
      <c r="S134" s="471"/>
      <c r="T134" s="471"/>
      <c r="U134" s="472"/>
      <c r="V134" s="472"/>
      <c r="W134" s="473"/>
      <c r="X134" s="474"/>
    </row>
    <row r="135" spans="2:24" x14ac:dyDescent="0.25">
      <c r="B135" s="327">
        <v>17</v>
      </c>
      <c r="C135" s="347">
        <f>TREND(C117:C118,B117:B118,B135)</f>
        <v>0</v>
      </c>
      <c r="D135" s="630">
        <f>TREND(D117:D118,B117:B118,B135)</f>
        <v>0</v>
      </c>
      <c r="E135" s="633">
        <f>TREND(E117:E118,B117:B118,B135)</f>
        <v>55</v>
      </c>
      <c r="F135" s="374">
        <f>TREND(F117:F118,B117:B118,B135)</f>
        <v>55</v>
      </c>
      <c r="G135" s="339">
        <f t="shared" si="29"/>
        <v>0</v>
      </c>
      <c r="H135" s="436">
        <f t="shared" si="30"/>
        <v>0</v>
      </c>
      <c r="I135" s="521">
        <f t="shared" si="31"/>
        <v>0</v>
      </c>
      <c r="J135" s="500">
        <f t="shared" si="32"/>
        <v>0</v>
      </c>
      <c r="K135" s="285">
        <f t="shared" si="33"/>
        <v>0</v>
      </c>
      <c r="L135" s="323">
        <f t="shared" si="34"/>
        <v>0</v>
      </c>
      <c r="N135" s="468"/>
      <c r="O135" s="469"/>
      <c r="P135" s="469"/>
      <c r="Q135" s="470"/>
      <c r="R135" s="470"/>
      <c r="S135" s="471"/>
      <c r="T135" s="471"/>
      <c r="U135" s="472"/>
      <c r="V135" s="472"/>
      <c r="W135" s="473"/>
      <c r="X135" s="474"/>
    </row>
    <row r="136" spans="2:24" x14ac:dyDescent="0.25">
      <c r="B136" s="327">
        <v>18</v>
      </c>
      <c r="C136" s="347">
        <f>TREND(C117:C118,B117:B118,B136)</f>
        <v>0</v>
      </c>
      <c r="D136" s="630">
        <f>TREND(D117:D118,B117:B118,B136)</f>
        <v>0</v>
      </c>
      <c r="E136" s="633">
        <f>TREND(E117:E118,B117:B118,B136)</f>
        <v>55</v>
      </c>
      <c r="F136" s="374">
        <f>TREND(F117:F118,B117:B118,B136)</f>
        <v>55</v>
      </c>
      <c r="G136" s="339">
        <f t="shared" si="29"/>
        <v>0</v>
      </c>
      <c r="H136" s="436">
        <f t="shared" si="30"/>
        <v>0</v>
      </c>
      <c r="I136" s="521">
        <f t="shared" si="31"/>
        <v>0</v>
      </c>
      <c r="J136" s="500">
        <f t="shared" si="32"/>
        <v>0</v>
      </c>
      <c r="K136" s="285">
        <f t="shared" si="33"/>
        <v>0</v>
      </c>
      <c r="L136" s="323">
        <f t="shared" si="34"/>
        <v>0</v>
      </c>
      <c r="N136" s="468"/>
      <c r="O136" s="469"/>
      <c r="P136" s="469"/>
      <c r="Q136" s="470"/>
      <c r="R136" s="470"/>
      <c r="S136" s="471"/>
      <c r="T136" s="471"/>
      <c r="U136" s="472"/>
      <c r="V136" s="472"/>
      <c r="W136" s="473"/>
      <c r="X136" s="474"/>
    </row>
    <row r="137" spans="2:24" x14ac:dyDescent="0.25">
      <c r="B137" s="359">
        <v>19</v>
      </c>
      <c r="C137" s="360">
        <f>TREND(C117:C118,B117:B118,B137)</f>
        <v>0</v>
      </c>
      <c r="D137" s="631">
        <f>TREND(D117:D118,B117:B118,B137)</f>
        <v>0</v>
      </c>
      <c r="E137" s="634">
        <f>TREND(E117:E118,B117:B118,B137)</f>
        <v>55</v>
      </c>
      <c r="F137" s="377">
        <f>TREND(F117:F118,B117:B118,B137)</f>
        <v>55</v>
      </c>
      <c r="G137" s="339">
        <f t="shared" si="29"/>
        <v>0</v>
      </c>
      <c r="H137" s="435">
        <f t="shared" si="30"/>
        <v>0</v>
      </c>
      <c r="I137" s="520">
        <f t="shared" si="31"/>
        <v>0</v>
      </c>
      <c r="J137" s="499">
        <f t="shared" si="32"/>
        <v>0</v>
      </c>
      <c r="K137" s="285">
        <f t="shared" si="33"/>
        <v>0</v>
      </c>
      <c r="L137" s="323">
        <f t="shared" si="34"/>
        <v>0</v>
      </c>
      <c r="N137" s="468"/>
      <c r="O137" s="469"/>
      <c r="P137" s="469"/>
      <c r="Q137" s="470"/>
      <c r="R137" s="470"/>
      <c r="S137" s="471"/>
      <c r="T137" s="471"/>
      <c r="U137" s="472"/>
      <c r="V137" s="472"/>
      <c r="W137" s="473"/>
      <c r="X137" s="474"/>
    </row>
    <row r="138" spans="2:24" x14ac:dyDescent="0.25">
      <c r="B138" s="357"/>
      <c r="C138" s="355"/>
      <c r="D138" s="355"/>
      <c r="E138" s="355"/>
      <c r="F138" s="355"/>
      <c r="G138" s="356"/>
      <c r="H138" s="356"/>
      <c r="I138" s="356"/>
      <c r="J138" s="356"/>
      <c r="K138" s="356"/>
      <c r="L138" s="358"/>
      <c r="N138" s="468"/>
      <c r="O138" s="469"/>
      <c r="P138" s="469"/>
      <c r="Q138" s="469"/>
      <c r="R138" s="469"/>
      <c r="S138" s="472"/>
      <c r="T138" s="472"/>
      <c r="U138" s="472"/>
      <c r="V138" s="472"/>
      <c r="W138" s="472"/>
      <c r="X138" s="475"/>
    </row>
    <row r="139" spans="2:24" ht="13" x14ac:dyDescent="0.25">
      <c r="B139" s="329" t="s">
        <v>172</v>
      </c>
      <c r="C139" s="330"/>
      <c r="D139" s="331"/>
      <c r="E139" s="331"/>
      <c r="F139" s="331"/>
      <c r="G139" s="331"/>
      <c r="H139" s="331"/>
      <c r="I139" s="331"/>
      <c r="J139" s="332"/>
      <c r="K139" s="341"/>
      <c r="L139" s="342">
        <f>SUM(L117:L137)</f>
        <v>0</v>
      </c>
      <c r="N139" s="465"/>
      <c r="O139" s="476"/>
      <c r="P139" s="271"/>
      <c r="Q139" s="271"/>
      <c r="R139" s="271"/>
      <c r="S139" s="271"/>
      <c r="T139" s="271"/>
      <c r="U139" s="271"/>
      <c r="V139" s="473"/>
      <c r="W139" s="271"/>
      <c r="X139" s="477"/>
    </row>
    <row r="140" spans="2:24" x14ac:dyDescent="0.25">
      <c r="N140" s="448"/>
      <c r="O140" s="448"/>
      <c r="P140" s="449"/>
      <c r="Q140" s="449"/>
      <c r="R140" s="449"/>
      <c r="S140" s="36"/>
      <c r="T140" s="450"/>
      <c r="U140" s="450"/>
      <c r="V140" s="450"/>
      <c r="W140" s="450"/>
      <c r="X140" s="450"/>
    </row>
    <row r="141" spans="2:24" x14ac:dyDescent="0.25">
      <c r="N141" s="448"/>
      <c r="O141" s="448"/>
      <c r="P141" s="449"/>
      <c r="Q141" s="449"/>
      <c r="R141" s="449"/>
      <c r="S141" s="36"/>
      <c r="T141" s="450"/>
      <c r="U141" s="450"/>
      <c r="V141" s="450"/>
      <c r="W141" s="450"/>
      <c r="X141" s="450"/>
    </row>
    <row r="142" spans="2:24" ht="13" x14ac:dyDescent="0.25">
      <c r="B142" s="350" t="s">
        <v>553</v>
      </c>
      <c r="C142" s="88"/>
      <c r="D142" s="88"/>
      <c r="E142" s="88"/>
      <c r="F142" s="88"/>
      <c r="G142" s="88"/>
      <c r="H142" s="309"/>
      <c r="I142" s="309"/>
      <c r="J142" s="88"/>
      <c r="K142" s="88"/>
      <c r="L142" s="88"/>
      <c r="N142" s="459"/>
      <c r="O142" s="271"/>
      <c r="P142" s="271"/>
      <c r="Q142" s="271"/>
      <c r="R142" s="271"/>
      <c r="S142" s="271"/>
      <c r="T142" s="309"/>
      <c r="U142" s="309"/>
      <c r="V142" s="271"/>
      <c r="W142" s="271"/>
      <c r="X142" s="271"/>
    </row>
    <row r="143" spans="2:24" x14ac:dyDescent="0.25">
      <c r="B143" s="88"/>
      <c r="C143" s="88"/>
      <c r="D143" s="274"/>
      <c r="E143" s="274"/>
      <c r="F143" s="274"/>
      <c r="G143" s="88"/>
      <c r="H143" s="88"/>
      <c r="I143" s="88"/>
      <c r="J143" s="88"/>
      <c r="K143" s="88"/>
      <c r="L143" s="351"/>
      <c r="N143" s="271"/>
      <c r="O143" s="271"/>
      <c r="P143" s="274"/>
      <c r="Q143" s="274"/>
      <c r="R143" s="274"/>
      <c r="S143" s="271"/>
      <c r="T143" s="271"/>
      <c r="U143" s="271"/>
      <c r="V143" s="271"/>
      <c r="W143" s="271"/>
      <c r="X143" s="460"/>
    </row>
    <row r="144" spans="2:24" ht="15.5" x14ac:dyDescent="0.25">
      <c r="B144" s="317"/>
      <c r="C144" s="320" t="s">
        <v>230</v>
      </c>
      <c r="D144" s="361"/>
      <c r="E144" s="320" t="s">
        <v>231</v>
      </c>
      <c r="F144" s="333"/>
      <c r="G144" s="335" t="s">
        <v>272</v>
      </c>
      <c r="H144" s="321"/>
      <c r="I144" s="437" t="s">
        <v>273</v>
      </c>
      <c r="J144" s="438"/>
      <c r="K144" s="322"/>
      <c r="L144" s="343"/>
      <c r="N144" s="271"/>
      <c r="O144" s="461"/>
      <c r="P144" s="3"/>
      <c r="Q144" s="461"/>
      <c r="R144" s="3"/>
      <c r="S144" s="461"/>
      <c r="T144" s="243"/>
      <c r="U144" s="461"/>
      <c r="V144" s="461"/>
      <c r="W144" s="462"/>
      <c r="X144" s="271"/>
    </row>
    <row r="145" spans="2:24" ht="14" x14ac:dyDescent="0.25">
      <c r="B145" s="318"/>
      <c r="C145" s="287" t="s">
        <v>237</v>
      </c>
      <c r="D145" s="362"/>
      <c r="E145" s="287" t="s">
        <v>238</v>
      </c>
      <c r="F145" s="334"/>
      <c r="G145" s="336" t="s">
        <v>274</v>
      </c>
      <c r="H145" s="288"/>
      <c r="I145" s="439" t="s">
        <v>275</v>
      </c>
      <c r="J145" s="440"/>
      <c r="K145" s="284"/>
      <c r="L145" s="344"/>
      <c r="N145" s="36"/>
      <c r="O145" s="463"/>
      <c r="P145" s="464"/>
      <c r="Q145" s="463"/>
      <c r="R145" s="464"/>
      <c r="S145" s="463"/>
      <c r="T145" s="463"/>
      <c r="U145" s="463"/>
      <c r="V145" s="463"/>
      <c r="W145" s="271"/>
      <c r="X145" s="271"/>
    </row>
    <row r="146" spans="2:24" ht="14" x14ac:dyDescent="0.25">
      <c r="B146" s="169" t="s">
        <v>135</v>
      </c>
      <c r="C146" s="316"/>
      <c r="D146" s="283"/>
      <c r="E146" s="316"/>
      <c r="F146" s="283"/>
      <c r="G146" s="316"/>
      <c r="H146" s="283"/>
      <c r="I146" s="432" t="s">
        <v>276</v>
      </c>
      <c r="J146" s="283" t="s">
        <v>277</v>
      </c>
      <c r="K146" s="286" t="s">
        <v>242</v>
      </c>
      <c r="L146" s="345" t="s">
        <v>139</v>
      </c>
      <c r="N146" s="465"/>
      <c r="O146" s="466"/>
      <c r="P146" s="466"/>
      <c r="Q146" s="466"/>
      <c r="R146" s="466"/>
      <c r="S146" s="466"/>
      <c r="T146" s="466"/>
      <c r="U146" s="466"/>
      <c r="V146" s="466"/>
      <c r="W146" s="465"/>
      <c r="X146" s="465"/>
    </row>
    <row r="147" spans="2:24" ht="14" x14ac:dyDescent="0.25">
      <c r="B147" s="319"/>
      <c r="C147" s="324" t="s">
        <v>0</v>
      </c>
      <c r="D147" s="325" t="s">
        <v>1</v>
      </c>
      <c r="E147" s="324" t="s">
        <v>0</v>
      </c>
      <c r="F147" s="325" t="s">
        <v>1</v>
      </c>
      <c r="G147" s="324" t="s">
        <v>0</v>
      </c>
      <c r="H147" s="325" t="s">
        <v>1</v>
      </c>
      <c r="I147" s="441" t="s">
        <v>147</v>
      </c>
      <c r="J147" s="325" t="s">
        <v>147</v>
      </c>
      <c r="K147" s="326" t="s">
        <v>148</v>
      </c>
      <c r="L147" s="346" t="s">
        <v>149</v>
      </c>
      <c r="N147" s="467"/>
      <c r="O147" s="466"/>
      <c r="P147" s="466"/>
      <c r="Q147" s="466"/>
      <c r="R147" s="466"/>
      <c r="S147" s="466"/>
      <c r="T147" s="466"/>
      <c r="U147" s="466"/>
      <c r="V147" s="466"/>
      <c r="W147" s="465"/>
      <c r="X147" s="465"/>
    </row>
    <row r="148" spans="2:24" x14ac:dyDescent="0.25">
      <c r="B148" s="327">
        <v>1</v>
      </c>
      <c r="C148" s="348">
        <f>PAV1NB*AnnualFactor</f>
        <v>0</v>
      </c>
      <c r="D148" s="349">
        <f>PAV1B*AnnualFactor</f>
        <v>0</v>
      </c>
      <c r="E148" s="363">
        <f>ROUND(PAS1NB,1)</f>
        <v>5</v>
      </c>
      <c r="F148" s="364">
        <f>ROUND(PAS1B,1)</f>
        <v>5</v>
      </c>
      <c r="G148" s="339">
        <f>SegmentA*C148</f>
        <v>0</v>
      </c>
      <c r="H148" s="434">
        <f>SegmentA*D148</f>
        <v>0</v>
      </c>
      <c r="I148" s="515">
        <f>IF(RADataAvail="Y",(G148*VLOOKUP(E148,FuelCon,2)*IF(Pavement,VLOOKUP(IRI1NB,FuelConPavAdj,2),1)-H148*VLOOKUP(F148,FuelCon,2)*IF(Pavement,VLOOKUP(IRI1B,FuelConPavAdj,2),1))*FuelAuto,SUM(I55,I86,I117)*VLOOKUP(TMSLookup,TMSAdj,7))</f>
        <v>0</v>
      </c>
      <c r="J148" s="498">
        <f>IF(RADataAvail="Y",(G148*IF(Pavement,VLOOKUP(IRI1NB,NonFuelPavAdj,2),1)-H148*IF(Pavement,VLOOKUP(IRI1B,NonFuelPavAdj,2),1))*NonFuelAuto,SUM(J55,J86,J117)*VLOOKUP(TMSLookup,TMSAdj,7))</f>
        <v>0</v>
      </c>
      <c r="K148" s="285">
        <f>SUM($I148:$J148)</f>
        <v>0</v>
      </c>
      <c r="L148" s="323">
        <f>$K148/(1+DiscRate)^($B148+Construct-1)</f>
        <v>0</v>
      </c>
      <c r="N148" s="468"/>
      <c r="O148" s="469"/>
      <c r="P148" s="469"/>
      <c r="Q148" s="470"/>
      <c r="R148" s="470"/>
      <c r="S148" s="471"/>
      <c r="T148" s="471"/>
      <c r="U148" s="472"/>
      <c r="V148" s="472"/>
      <c r="W148" s="473"/>
      <c r="X148" s="474"/>
    </row>
    <row r="149" spans="2:24" x14ac:dyDescent="0.25">
      <c r="B149" s="328">
        <v>20</v>
      </c>
      <c r="C149" s="353">
        <f>PAV20NB*AnnualFactor</f>
        <v>0</v>
      </c>
      <c r="D149" s="354">
        <f>PAV20B*AnnualFactor</f>
        <v>0</v>
      </c>
      <c r="E149" s="365">
        <f>ROUND(PAS20NB,1)</f>
        <v>5</v>
      </c>
      <c r="F149" s="366">
        <f>ROUND(PAS20B,1)</f>
        <v>5</v>
      </c>
      <c r="G149" s="339">
        <f>SegmentA*C149</f>
        <v>0</v>
      </c>
      <c r="H149" s="435">
        <f>SegmentA*D149</f>
        <v>0</v>
      </c>
      <c r="I149" s="520">
        <f>IF(RADataAvail="Y",(G149*VLOOKUP(E149,FuelCon,2)*IF(Pavement,VLOOKUP(IRI1NB,FuelConPavAdj,2),1)-H149*VLOOKUP(F149,FuelCon,2)*IF(Pavement,VLOOKUP(IRI1B,FuelConPavAdj,2),1))*FuelAuto,SUM(I56,I87,I118)*VLOOKUP(TMSLookup,TMSAdj,7))</f>
        <v>0</v>
      </c>
      <c r="J149" s="499">
        <f>IF(RADataAvail="Y",(G149*IF(Pavement,VLOOKUP(IRI1NB,NonFuelPavAdj,2),1)-H149*IF(Pavement,VLOOKUP(IRI1B,NonFuelPavAdj,2),1))*NonFuelAuto,SUM(J56,J87,J118)*VLOOKUP(TMSLookup,TMSAdj,7))</f>
        <v>0</v>
      </c>
      <c r="K149" s="285">
        <f>SUM($I149:$J149)</f>
        <v>0</v>
      </c>
      <c r="L149" s="323">
        <f>$K149/(1+DiscRate)^($B149+Construct-1)</f>
        <v>0</v>
      </c>
      <c r="N149" s="468"/>
      <c r="O149" s="469"/>
      <c r="P149" s="469"/>
      <c r="Q149" s="470"/>
      <c r="R149" s="470"/>
      <c r="S149" s="471"/>
      <c r="T149" s="471"/>
      <c r="U149" s="472"/>
      <c r="V149" s="472"/>
      <c r="W149" s="473"/>
      <c r="X149" s="474"/>
    </row>
    <row r="150" spans="2:24" x14ac:dyDescent="0.25">
      <c r="B150" s="357"/>
      <c r="C150" s="355"/>
      <c r="D150" s="355"/>
      <c r="E150" s="367"/>
      <c r="F150" s="367"/>
      <c r="G150" s="356"/>
      <c r="H150" s="356"/>
      <c r="I150" s="356"/>
      <c r="J150" s="356"/>
      <c r="K150" s="356"/>
      <c r="L150" s="358"/>
      <c r="N150" s="468"/>
      <c r="O150" s="469"/>
      <c r="P150" s="469"/>
      <c r="Q150" s="470"/>
      <c r="R150" s="470"/>
      <c r="S150" s="472"/>
      <c r="T150" s="472"/>
      <c r="U150" s="472"/>
      <c r="V150" s="472"/>
      <c r="W150" s="472"/>
      <c r="X150" s="475"/>
    </row>
    <row r="151" spans="2:24" x14ac:dyDescent="0.25">
      <c r="B151" s="352">
        <v>2</v>
      </c>
      <c r="C151" s="368">
        <f>TREND(C148:C149,B148:B149,B151)</f>
        <v>0</v>
      </c>
      <c r="D151" s="629">
        <f>TREND(D148:D149,B148:B149,B151)</f>
        <v>0</v>
      </c>
      <c r="E151" s="632">
        <f>TREND(E148:E149,B148:B149,B151)</f>
        <v>5</v>
      </c>
      <c r="F151" s="371">
        <f>TREND(F148:F149,B148:B149,B151)</f>
        <v>5</v>
      </c>
      <c r="G151" s="339">
        <f t="shared" ref="G151:G168" si="35">SegmentA*C151</f>
        <v>0</v>
      </c>
      <c r="H151" s="434">
        <f t="shared" ref="H151:H168" si="36">SegmentA*D151</f>
        <v>0</v>
      </c>
      <c r="I151" s="515">
        <f t="shared" ref="I151:I168" si="37">IF(RADataAvail="Y",(G151*VLOOKUP(E151,FuelCon,2)*IF(Pavement,VLOOKUP(IRI1NB,FuelConPavAdj,2),1)-H151*VLOOKUP(F151,FuelCon,2)*IF(Pavement,VLOOKUP(IRI1B,FuelConPavAdj,2),1))*FuelAuto,SUM(I58,I89,I120)*VLOOKUP(TMSLookup,TMSAdj,7))</f>
        <v>0</v>
      </c>
      <c r="J151" s="498">
        <f t="shared" ref="J151:J168" si="38">IF(RADataAvail="Y",(G151*IF(Pavement,VLOOKUP(IRI1NB,NonFuelPavAdj,2),1)-H151*IF(Pavement,VLOOKUP(IRI1B,NonFuelPavAdj,2),1))*NonFuelAuto,SUM(J58,J89,J120)*VLOOKUP(TMSLookup,TMSAdj,7))</f>
        <v>0</v>
      </c>
      <c r="K151" s="285">
        <f t="shared" ref="K151:K168" si="39">SUM($I151:$J151)</f>
        <v>0</v>
      </c>
      <c r="L151" s="323">
        <f t="shared" ref="L151:L168" si="40">$K151/(1+DiscRate)^($B151+Construct-1)</f>
        <v>0</v>
      </c>
      <c r="N151" s="468"/>
      <c r="O151" s="469"/>
      <c r="P151" s="469"/>
      <c r="Q151" s="470"/>
      <c r="R151" s="470"/>
      <c r="S151" s="471"/>
      <c r="T151" s="471"/>
      <c r="U151" s="472"/>
      <c r="V151" s="472"/>
      <c r="W151" s="473"/>
      <c r="X151" s="474"/>
    </row>
    <row r="152" spans="2:24" x14ac:dyDescent="0.25">
      <c r="B152" s="327">
        <v>3</v>
      </c>
      <c r="C152" s="347">
        <f>TREND(C148:C149,B148:B149,B152)</f>
        <v>0</v>
      </c>
      <c r="D152" s="630">
        <f>TREND(D148:D149,B148:B149,B152)</f>
        <v>0</v>
      </c>
      <c r="E152" s="633">
        <f>TREND(E148:E149,B148:B149,B152)</f>
        <v>5</v>
      </c>
      <c r="F152" s="374">
        <f>TREND(F148:F149,B148:B149,B152)</f>
        <v>5</v>
      </c>
      <c r="G152" s="339">
        <f t="shared" si="35"/>
        <v>0</v>
      </c>
      <c r="H152" s="436">
        <f t="shared" si="36"/>
        <v>0</v>
      </c>
      <c r="I152" s="521">
        <f t="shared" si="37"/>
        <v>0</v>
      </c>
      <c r="J152" s="500">
        <f t="shared" si="38"/>
        <v>0</v>
      </c>
      <c r="K152" s="285">
        <f t="shared" si="39"/>
        <v>0</v>
      </c>
      <c r="L152" s="323">
        <f t="shared" si="40"/>
        <v>0</v>
      </c>
      <c r="N152" s="468"/>
      <c r="O152" s="469"/>
      <c r="P152" s="469"/>
      <c r="Q152" s="470"/>
      <c r="R152" s="470"/>
      <c r="S152" s="471"/>
      <c r="T152" s="471"/>
      <c r="U152" s="472"/>
      <c r="V152" s="472"/>
      <c r="W152" s="473"/>
      <c r="X152" s="474"/>
    </row>
    <row r="153" spans="2:24" x14ac:dyDescent="0.25">
      <c r="B153" s="327">
        <v>4</v>
      </c>
      <c r="C153" s="347">
        <f>TREND(C148:C149,B148:B149,B153)</f>
        <v>0</v>
      </c>
      <c r="D153" s="630">
        <f>TREND(D148:D149,B148:B149,B153)</f>
        <v>0</v>
      </c>
      <c r="E153" s="633">
        <f>TREND(E148:E149,B148:B149,B153)</f>
        <v>5</v>
      </c>
      <c r="F153" s="374">
        <f>TREND(F148:F149,B148:B149,B153)</f>
        <v>5</v>
      </c>
      <c r="G153" s="339">
        <f t="shared" si="35"/>
        <v>0</v>
      </c>
      <c r="H153" s="436">
        <f t="shared" si="36"/>
        <v>0</v>
      </c>
      <c r="I153" s="521">
        <f t="shared" si="37"/>
        <v>0</v>
      </c>
      <c r="J153" s="500">
        <f t="shared" si="38"/>
        <v>0</v>
      </c>
      <c r="K153" s="285">
        <f t="shared" si="39"/>
        <v>0</v>
      </c>
      <c r="L153" s="323">
        <f t="shared" si="40"/>
        <v>0</v>
      </c>
      <c r="N153" s="468"/>
      <c r="O153" s="469"/>
      <c r="P153" s="469"/>
      <c r="Q153" s="470"/>
      <c r="R153" s="470"/>
      <c r="S153" s="471"/>
      <c r="T153" s="471"/>
      <c r="U153" s="472"/>
      <c r="V153" s="472"/>
      <c r="W153" s="473"/>
      <c r="X153" s="474"/>
    </row>
    <row r="154" spans="2:24" x14ac:dyDescent="0.25">
      <c r="B154" s="327">
        <v>5</v>
      </c>
      <c r="C154" s="347">
        <f>TREND(C148:C149,B148:B149,B154)</f>
        <v>0</v>
      </c>
      <c r="D154" s="630">
        <f>TREND(D148:D149,B148:B149,B154)</f>
        <v>0</v>
      </c>
      <c r="E154" s="633">
        <f>TREND(E148:E149,B148:B149,B154)</f>
        <v>5</v>
      </c>
      <c r="F154" s="374">
        <f>TREND(F148:F149,B148:B149,B154)</f>
        <v>5</v>
      </c>
      <c r="G154" s="339">
        <f t="shared" si="35"/>
        <v>0</v>
      </c>
      <c r="H154" s="436">
        <f t="shared" si="36"/>
        <v>0</v>
      </c>
      <c r="I154" s="521">
        <f t="shared" si="37"/>
        <v>0</v>
      </c>
      <c r="J154" s="500">
        <f t="shared" si="38"/>
        <v>0</v>
      </c>
      <c r="K154" s="285">
        <f t="shared" si="39"/>
        <v>0</v>
      </c>
      <c r="L154" s="323">
        <f t="shared" si="40"/>
        <v>0</v>
      </c>
      <c r="N154" s="468"/>
      <c r="O154" s="469"/>
      <c r="P154" s="469"/>
      <c r="Q154" s="470"/>
      <c r="R154" s="470"/>
      <c r="S154" s="471"/>
      <c r="T154" s="471"/>
      <c r="U154" s="472"/>
      <c r="V154" s="472"/>
      <c r="W154" s="473"/>
      <c r="X154" s="474"/>
    </row>
    <row r="155" spans="2:24" x14ac:dyDescent="0.25">
      <c r="B155" s="327">
        <v>6</v>
      </c>
      <c r="C155" s="347">
        <f>TREND(C148:C149,B148:B149,B155)</f>
        <v>0</v>
      </c>
      <c r="D155" s="630">
        <f>TREND(D148:D149,B148:B149,B155)</f>
        <v>0</v>
      </c>
      <c r="E155" s="633">
        <f>TREND(E148:E149,B148:B149,B155)</f>
        <v>5</v>
      </c>
      <c r="F155" s="374">
        <f>TREND(F148:F149,B148:B149,B155)</f>
        <v>5</v>
      </c>
      <c r="G155" s="339">
        <f t="shared" si="35"/>
        <v>0</v>
      </c>
      <c r="H155" s="436">
        <f t="shared" si="36"/>
        <v>0</v>
      </c>
      <c r="I155" s="521">
        <f t="shared" si="37"/>
        <v>0</v>
      </c>
      <c r="J155" s="500">
        <f t="shared" si="38"/>
        <v>0</v>
      </c>
      <c r="K155" s="285">
        <f t="shared" si="39"/>
        <v>0</v>
      </c>
      <c r="L155" s="323">
        <f t="shared" si="40"/>
        <v>0</v>
      </c>
      <c r="N155" s="468"/>
      <c r="O155" s="469"/>
      <c r="P155" s="469"/>
      <c r="Q155" s="470"/>
      <c r="R155" s="470"/>
      <c r="S155" s="471"/>
      <c r="T155" s="471"/>
      <c r="U155" s="472"/>
      <c r="V155" s="472"/>
      <c r="W155" s="473"/>
      <c r="X155" s="474"/>
    </row>
    <row r="156" spans="2:24" x14ac:dyDescent="0.25">
      <c r="B156" s="327">
        <v>7</v>
      </c>
      <c r="C156" s="347">
        <f>TREND(C148:C149,B148:B149,B156)</f>
        <v>0</v>
      </c>
      <c r="D156" s="630">
        <f>TREND(D148:D149,B148:B149,B156)</f>
        <v>0</v>
      </c>
      <c r="E156" s="633">
        <f>TREND(E148:E149,B148:B149,B156)</f>
        <v>5</v>
      </c>
      <c r="F156" s="374">
        <f>TREND(F148:F149,B148:B149,B156)</f>
        <v>5</v>
      </c>
      <c r="G156" s="339">
        <f t="shared" si="35"/>
        <v>0</v>
      </c>
      <c r="H156" s="436">
        <f t="shared" si="36"/>
        <v>0</v>
      </c>
      <c r="I156" s="521">
        <f t="shared" si="37"/>
        <v>0</v>
      </c>
      <c r="J156" s="500">
        <f t="shared" si="38"/>
        <v>0</v>
      </c>
      <c r="K156" s="285">
        <f t="shared" si="39"/>
        <v>0</v>
      </c>
      <c r="L156" s="323">
        <f t="shared" si="40"/>
        <v>0</v>
      </c>
      <c r="N156" s="468"/>
      <c r="O156" s="469"/>
      <c r="P156" s="469"/>
      <c r="Q156" s="470"/>
      <c r="R156" s="470"/>
      <c r="S156" s="471"/>
      <c r="T156" s="471"/>
      <c r="U156" s="472"/>
      <c r="V156" s="472"/>
      <c r="W156" s="473"/>
      <c r="X156" s="474"/>
    </row>
    <row r="157" spans="2:24" x14ac:dyDescent="0.25">
      <c r="B157" s="327">
        <v>8</v>
      </c>
      <c r="C157" s="347">
        <f>TREND(C148:C149,B148:B149,B157)</f>
        <v>0</v>
      </c>
      <c r="D157" s="630">
        <f>TREND(D148:D149,B148:B149,B157)</f>
        <v>0</v>
      </c>
      <c r="E157" s="633">
        <f>TREND(E148:E149,B148:B149,B157)</f>
        <v>5</v>
      </c>
      <c r="F157" s="374">
        <f>TREND(F148:F149,B148:B149,B157)</f>
        <v>5</v>
      </c>
      <c r="G157" s="339">
        <f t="shared" si="35"/>
        <v>0</v>
      </c>
      <c r="H157" s="436">
        <f t="shared" si="36"/>
        <v>0</v>
      </c>
      <c r="I157" s="521">
        <f t="shared" si="37"/>
        <v>0</v>
      </c>
      <c r="J157" s="500">
        <f t="shared" si="38"/>
        <v>0</v>
      </c>
      <c r="K157" s="285">
        <f t="shared" si="39"/>
        <v>0</v>
      </c>
      <c r="L157" s="323">
        <f t="shared" si="40"/>
        <v>0</v>
      </c>
      <c r="N157" s="468"/>
      <c r="O157" s="469"/>
      <c r="P157" s="469"/>
      <c r="Q157" s="470"/>
      <c r="R157" s="470"/>
      <c r="S157" s="471"/>
      <c r="T157" s="471"/>
      <c r="U157" s="472"/>
      <c r="V157" s="472"/>
      <c r="W157" s="473"/>
      <c r="X157" s="474"/>
    </row>
    <row r="158" spans="2:24" x14ac:dyDescent="0.25">
      <c r="B158" s="327">
        <v>9</v>
      </c>
      <c r="C158" s="347">
        <f>TREND(C148:C149,B148:B149,B158)</f>
        <v>0</v>
      </c>
      <c r="D158" s="630">
        <f>TREND(D148:D149,B148:B149,B158)</f>
        <v>0</v>
      </c>
      <c r="E158" s="633">
        <f>TREND(E148:E149,B148:B149,B158)</f>
        <v>5</v>
      </c>
      <c r="F158" s="374">
        <f>TREND(F148:F149,B148:B149,B158)</f>
        <v>5</v>
      </c>
      <c r="G158" s="339">
        <f t="shared" si="35"/>
        <v>0</v>
      </c>
      <c r="H158" s="436">
        <f t="shared" si="36"/>
        <v>0</v>
      </c>
      <c r="I158" s="521">
        <f t="shared" si="37"/>
        <v>0</v>
      </c>
      <c r="J158" s="500">
        <f t="shared" si="38"/>
        <v>0</v>
      </c>
      <c r="K158" s="285">
        <f t="shared" si="39"/>
        <v>0</v>
      </c>
      <c r="L158" s="323">
        <f t="shared" si="40"/>
        <v>0</v>
      </c>
      <c r="N158" s="468"/>
      <c r="O158" s="469"/>
      <c r="P158" s="469"/>
      <c r="Q158" s="470"/>
      <c r="R158" s="470"/>
      <c r="S158" s="471"/>
      <c r="T158" s="471"/>
      <c r="U158" s="472"/>
      <c r="V158" s="472"/>
      <c r="W158" s="473"/>
      <c r="X158" s="474"/>
    </row>
    <row r="159" spans="2:24" x14ac:dyDescent="0.25">
      <c r="B159" s="327">
        <v>10</v>
      </c>
      <c r="C159" s="347">
        <f>TREND(C148:C149,B148:B149,B159)</f>
        <v>0</v>
      </c>
      <c r="D159" s="630">
        <f>TREND(D148:D149,B148:B149,B159)</f>
        <v>0</v>
      </c>
      <c r="E159" s="633">
        <f>TREND(E148:E149,B148:B149,B159)</f>
        <v>5</v>
      </c>
      <c r="F159" s="374">
        <f>TREND(F148:F149,B148:B149,B159)</f>
        <v>5</v>
      </c>
      <c r="G159" s="339">
        <f t="shared" si="35"/>
        <v>0</v>
      </c>
      <c r="H159" s="436">
        <f t="shared" si="36"/>
        <v>0</v>
      </c>
      <c r="I159" s="521">
        <f t="shared" si="37"/>
        <v>0</v>
      </c>
      <c r="J159" s="500">
        <f t="shared" si="38"/>
        <v>0</v>
      </c>
      <c r="K159" s="285">
        <f t="shared" si="39"/>
        <v>0</v>
      </c>
      <c r="L159" s="323">
        <f t="shared" si="40"/>
        <v>0</v>
      </c>
      <c r="N159" s="468"/>
      <c r="O159" s="469"/>
      <c r="P159" s="469"/>
      <c r="Q159" s="470"/>
      <c r="R159" s="470"/>
      <c r="S159" s="471"/>
      <c r="T159" s="471"/>
      <c r="U159" s="472"/>
      <c r="V159" s="472"/>
      <c r="W159" s="473"/>
      <c r="X159" s="474"/>
    </row>
    <row r="160" spans="2:24" x14ac:dyDescent="0.25">
      <c r="B160" s="327">
        <v>11</v>
      </c>
      <c r="C160" s="347">
        <f>TREND(C148:C149,B148:B149,B160)</f>
        <v>0</v>
      </c>
      <c r="D160" s="630">
        <f>TREND(D148:D149,B148:B149,B160)</f>
        <v>0</v>
      </c>
      <c r="E160" s="633">
        <f>TREND(E148:E149,B148:B149,B160)</f>
        <v>5</v>
      </c>
      <c r="F160" s="374">
        <f>TREND(F148:F149,B148:B149,B160)</f>
        <v>5</v>
      </c>
      <c r="G160" s="339">
        <f t="shared" si="35"/>
        <v>0</v>
      </c>
      <c r="H160" s="436">
        <f t="shared" si="36"/>
        <v>0</v>
      </c>
      <c r="I160" s="521">
        <f t="shared" si="37"/>
        <v>0</v>
      </c>
      <c r="J160" s="500">
        <f t="shared" si="38"/>
        <v>0</v>
      </c>
      <c r="K160" s="285">
        <f t="shared" si="39"/>
        <v>0</v>
      </c>
      <c r="L160" s="323">
        <f t="shared" si="40"/>
        <v>0</v>
      </c>
      <c r="N160" s="468"/>
      <c r="O160" s="469"/>
      <c r="P160" s="469"/>
      <c r="Q160" s="470"/>
      <c r="R160" s="470"/>
      <c r="S160" s="471"/>
      <c r="T160" s="471"/>
      <c r="U160" s="472"/>
      <c r="V160" s="472"/>
      <c r="W160" s="473"/>
      <c r="X160" s="474"/>
    </row>
    <row r="161" spans="2:24" x14ac:dyDescent="0.25">
      <c r="B161" s="327">
        <v>12</v>
      </c>
      <c r="C161" s="347">
        <f>TREND(C148:C149,B148:B149,B161)</f>
        <v>0</v>
      </c>
      <c r="D161" s="630">
        <f>TREND(D148:D149,B148:B149,B161)</f>
        <v>0</v>
      </c>
      <c r="E161" s="633">
        <f>TREND(E148:E149,B148:B149,B161)</f>
        <v>5</v>
      </c>
      <c r="F161" s="374">
        <f>TREND(F148:F149,B148:B149,B161)</f>
        <v>5</v>
      </c>
      <c r="G161" s="339">
        <f t="shared" si="35"/>
        <v>0</v>
      </c>
      <c r="H161" s="436">
        <f t="shared" si="36"/>
        <v>0</v>
      </c>
      <c r="I161" s="521">
        <f t="shared" si="37"/>
        <v>0</v>
      </c>
      <c r="J161" s="500">
        <f t="shared" si="38"/>
        <v>0</v>
      </c>
      <c r="K161" s="285">
        <f t="shared" si="39"/>
        <v>0</v>
      </c>
      <c r="L161" s="323">
        <f t="shared" si="40"/>
        <v>0</v>
      </c>
      <c r="N161" s="468"/>
      <c r="O161" s="469"/>
      <c r="P161" s="469"/>
      <c r="Q161" s="470"/>
      <c r="R161" s="470"/>
      <c r="S161" s="471"/>
      <c r="T161" s="471"/>
      <c r="U161" s="472"/>
      <c r="V161" s="472"/>
      <c r="W161" s="473"/>
      <c r="X161" s="474"/>
    </row>
    <row r="162" spans="2:24" x14ac:dyDescent="0.25">
      <c r="B162" s="327">
        <v>13</v>
      </c>
      <c r="C162" s="347">
        <f>TREND(C148:C149,B148:B149,B162)</f>
        <v>0</v>
      </c>
      <c r="D162" s="630">
        <f>TREND(D148:D149,B148:B149,B162)</f>
        <v>0</v>
      </c>
      <c r="E162" s="633">
        <f>TREND(E148:E149,B148:B149,B162)</f>
        <v>5</v>
      </c>
      <c r="F162" s="374">
        <f>TREND(F148:F149,B148:B149,B162)</f>
        <v>5</v>
      </c>
      <c r="G162" s="339">
        <f t="shared" si="35"/>
        <v>0</v>
      </c>
      <c r="H162" s="436">
        <f t="shared" si="36"/>
        <v>0</v>
      </c>
      <c r="I162" s="521">
        <f t="shared" si="37"/>
        <v>0</v>
      </c>
      <c r="J162" s="500">
        <f t="shared" si="38"/>
        <v>0</v>
      </c>
      <c r="K162" s="285">
        <f t="shared" si="39"/>
        <v>0</v>
      </c>
      <c r="L162" s="323">
        <f t="shared" si="40"/>
        <v>0</v>
      </c>
      <c r="N162" s="468"/>
      <c r="O162" s="469"/>
      <c r="P162" s="469"/>
      <c r="Q162" s="470"/>
      <c r="R162" s="470"/>
      <c r="S162" s="471"/>
      <c r="T162" s="471"/>
      <c r="U162" s="472"/>
      <c r="V162" s="472"/>
      <c r="W162" s="473"/>
      <c r="X162" s="474"/>
    </row>
    <row r="163" spans="2:24" x14ac:dyDescent="0.25">
      <c r="B163" s="327">
        <v>14</v>
      </c>
      <c r="C163" s="347">
        <f>TREND(C148:C149,B148:B149,B163)</f>
        <v>0</v>
      </c>
      <c r="D163" s="630">
        <f>TREND(D148:D149,B148:B149,B163)</f>
        <v>0</v>
      </c>
      <c r="E163" s="633">
        <f>TREND(E148:E149,B148:B149,B163)</f>
        <v>5</v>
      </c>
      <c r="F163" s="374">
        <f>TREND(F148:F149,B148:B149,B163)</f>
        <v>5</v>
      </c>
      <c r="G163" s="339">
        <f t="shared" si="35"/>
        <v>0</v>
      </c>
      <c r="H163" s="436">
        <f t="shared" si="36"/>
        <v>0</v>
      </c>
      <c r="I163" s="521">
        <f t="shared" si="37"/>
        <v>0</v>
      </c>
      <c r="J163" s="500">
        <f t="shared" si="38"/>
        <v>0</v>
      </c>
      <c r="K163" s="285">
        <f t="shared" si="39"/>
        <v>0</v>
      </c>
      <c r="L163" s="323">
        <f t="shared" si="40"/>
        <v>0</v>
      </c>
      <c r="N163" s="468"/>
      <c r="O163" s="469"/>
      <c r="P163" s="469"/>
      <c r="Q163" s="470"/>
      <c r="R163" s="470"/>
      <c r="S163" s="471"/>
      <c r="T163" s="471"/>
      <c r="U163" s="472"/>
      <c r="V163" s="472"/>
      <c r="W163" s="473"/>
      <c r="X163" s="474"/>
    </row>
    <row r="164" spans="2:24" x14ac:dyDescent="0.25">
      <c r="B164" s="327">
        <v>15</v>
      </c>
      <c r="C164" s="347">
        <f>TREND(C148:C149,B148:B149,B164)</f>
        <v>0</v>
      </c>
      <c r="D164" s="630">
        <f>TREND(D148:D149,B148:B149,B164)</f>
        <v>0</v>
      </c>
      <c r="E164" s="633">
        <f>TREND(E148:E149,B148:B149,B164)</f>
        <v>5</v>
      </c>
      <c r="F164" s="374">
        <f>TREND(F148:F149,B148:B149,B164)</f>
        <v>5</v>
      </c>
      <c r="G164" s="339">
        <f t="shared" si="35"/>
        <v>0</v>
      </c>
      <c r="H164" s="436">
        <f t="shared" si="36"/>
        <v>0</v>
      </c>
      <c r="I164" s="521">
        <f t="shared" si="37"/>
        <v>0</v>
      </c>
      <c r="J164" s="500">
        <f t="shared" si="38"/>
        <v>0</v>
      </c>
      <c r="K164" s="285">
        <f t="shared" si="39"/>
        <v>0</v>
      </c>
      <c r="L164" s="323">
        <f t="shared" si="40"/>
        <v>0</v>
      </c>
      <c r="N164" s="468"/>
      <c r="O164" s="469"/>
      <c r="P164" s="469"/>
      <c r="Q164" s="470"/>
      <c r="R164" s="470"/>
      <c r="S164" s="471"/>
      <c r="T164" s="471"/>
      <c r="U164" s="472"/>
      <c r="V164" s="472"/>
      <c r="W164" s="473"/>
      <c r="X164" s="474"/>
    </row>
    <row r="165" spans="2:24" x14ac:dyDescent="0.25">
      <c r="B165" s="327">
        <v>16</v>
      </c>
      <c r="C165" s="347">
        <f>TREND(C148:C149,B148:B149,B165)</f>
        <v>0</v>
      </c>
      <c r="D165" s="630">
        <f>TREND(D148:D149,B148:B149,B165)</f>
        <v>0</v>
      </c>
      <c r="E165" s="633">
        <f>TREND(E148:E149,B148:B149,B165)</f>
        <v>5</v>
      </c>
      <c r="F165" s="374">
        <f>TREND(F148:F149,B148:B149,B165)</f>
        <v>5</v>
      </c>
      <c r="G165" s="339">
        <f t="shared" si="35"/>
        <v>0</v>
      </c>
      <c r="H165" s="436">
        <f t="shared" si="36"/>
        <v>0</v>
      </c>
      <c r="I165" s="521">
        <f t="shared" si="37"/>
        <v>0</v>
      </c>
      <c r="J165" s="500">
        <f t="shared" si="38"/>
        <v>0</v>
      </c>
      <c r="K165" s="285">
        <f t="shared" si="39"/>
        <v>0</v>
      </c>
      <c r="L165" s="323">
        <f t="shared" si="40"/>
        <v>0</v>
      </c>
      <c r="N165" s="468"/>
      <c r="O165" s="469"/>
      <c r="P165" s="469"/>
      <c r="Q165" s="470"/>
      <c r="R165" s="470"/>
      <c r="S165" s="471"/>
      <c r="T165" s="471"/>
      <c r="U165" s="472"/>
      <c r="V165" s="472"/>
      <c r="W165" s="473"/>
      <c r="X165" s="474"/>
    </row>
    <row r="166" spans="2:24" x14ac:dyDescent="0.25">
      <c r="B166" s="327">
        <v>17</v>
      </c>
      <c r="C166" s="347">
        <f>TREND(C148:C149,B148:B149,B166)</f>
        <v>0</v>
      </c>
      <c r="D166" s="630">
        <f>TREND(D148:D149,B148:B149,B166)</f>
        <v>0</v>
      </c>
      <c r="E166" s="633">
        <f>TREND(E148:E149,B148:B149,B166)</f>
        <v>5</v>
      </c>
      <c r="F166" s="374">
        <f>TREND(F148:F149,B148:B149,B166)</f>
        <v>5</v>
      </c>
      <c r="G166" s="339">
        <f t="shared" si="35"/>
        <v>0</v>
      </c>
      <c r="H166" s="436">
        <f t="shared" si="36"/>
        <v>0</v>
      </c>
      <c r="I166" s="521">
        <f t="shared" si="37"/>
        <v>0</v>
      </c>
      <c r="J166" s="500">
        <f t="shared" si="38"/>
        <v>0</v>
      </c>
      <c r="K166" s="285">
        <f t="shared" si="39"/>
        <v>0</v>
      </c>
      <c r="L166" s="323">
        <f t="shared" si="40"/>
        <v>0</v>
      </c>
      <c r="N166" s="468"/>
      <c r="O166" s="469"/>
      <c r="P166" s="469"/>
      <c r="Q166" s="470"/>
      <c r="R166" s="470"/>
      <c r="S166" s="471"/>
      <c r="T166" s="471"/>
      <c r="U166" s="472"/>
      <c r="V166" s="472"/>
      <c r="W166" s="473"/>
      <c r="X166" s="474"/>
    </row>
    <row r="167" spans="2:24" x14ac:dyDescent="0.25">
      <c r="B167" s="327">
        <v>18</v>
      </c>
      <c r="C167" s="347">
        <f>TREND(C148:C149,B148:B149,B167)</f>
        <v>0</v>
      </c>
      <c r="D167" s="630">
        <f>TREND(D148:D149,B148:B149,B167)</f>
        <v>0</v>
      </c>
      <c r="E167" s="633">
        <f>TREND(E148:E149,B148:B149,B167)</f>
        <v>5</v>
      </c>
      <c r="F167" s="374">
        <f>TREND(F148:F149,B148:B149,B167)</f>
        <v>5</v>
      </c>
      <c r="G167" s="339">
        <f t="shared" si="35"/>
        <v>0</v>
      </c>
      <c r="H167" s="436">
        <f t="shared" si="36"/>
        <v>0</v>
      </c>
      <c r="I167" s="521">
        <f t="shared" si="37"/>
        <v>0</v>
      </c>
      <c r="J167" s="500">
        <f t="shared" si="38"/>
        <v>0</v>
      </c>
      <c r="K167" s="285">
        <f t="shared" si="39"/>
        <v>0</v>
      </c>
      <c r="L167" s="323">
        <f t="shared" si="40"/>
        <v>0</v>
      </c>
      <c r="N167" s="468"/>
      <c r="O167" s="469"/>
      <c r="P167" s="469"/>
      <c r="Q167" s="470"/>
      <c r="R167" s="470"/>
      <c r="S167" s="471"/>
      <c r="T167" s="471"/>
      <c r="U167" s="472"/>
      <c r="V167" s="472"/>
      <c r="W167" s="473"/>
      <c r="X167" s="474"/>
    </row>
    <row r="168" spans="2:24" x14ac:dyDescent="0.25">
      <c r="B168" s="359">
        <v>19</v>
      </c>
      <c r="C168" s="360">
        <f>TREND(C148:C149,B148:B149,B168)</f>
        <v>0</v>
      </c>
      <c r="D168" s="631">
        <f>TREND(D148:D149,B148:B149,B168)</f>
        <v>0</v>
      </c>
      <c r="E168" s="634">
        <f>TREND(E148:E149,B148:B149,B168)</f>
        <v>5</v>
      </c>
      <c r="F168" s="377">
        <f>TREND(F148:F149,B148:B149,B168)</f>
        <v>5</v>
      </c>
      <c r="G168" s="339">
        <f t="shared" si="35"/>
        <v>0</v>
      </c>
      <c r="H168" s="435">
        <f t="shared" si="36"/>
        <v>0</v>
      </c>
      <c r="I168" s="520">
        <f t="shared" si="37"/>
        <v>0</v>
      </c>
      <c r="J168" s="499">
        <f t="shared" si="38"/>
        <v>0</v>
      </c>
      <c r="K168" s="285">
        <f t="shared" si="39"/>
        <v>0</v>
      </c>
      <c r="L168" s="323">
        <f t="shared" si="40"/>
        <v>0</v>
      </c>
      <c r="N168" s="468"/>
      <c r="O168" s="469"/>
      <c r="P168" s="469"/>
      <c r="Q168" s="470"/>
      <c r="R168" s="470"/>
      <c r="S168" s="471"/>
      <c r="T168" s="471"/>
      <c r="U168" s="472"/>
      <c r="V168" s="472"/>
      <c r="W168" s="473"/>
      <c r="X168" s="474"/>
    </row>
    <row r="169" spans="2:24" x14ac:dyDescent="0.25">
      <c r="B169" s="357"/>
      <c r="C169" s="355"/>
      <c r="D169" s="355"/>
      <c r="E169" s="355"/>
      <c r="F169" s="355"/>
      <c r="G169" s="356"/>
      <c r="H169" s="356"/>
      <c r="I169" s="356"/>
      <c r="J169" s="356"/>
      <c r="K169" s="356"/>
      <c r="L169" s="358"/>
      <c r="N169" s="468"/>
      <c r="O169" s="469"/>
      <c r="P169" s="469"/>
      <c r="Q169" s="469"/>
      <c r="R169" s="469"/>
      <c r="S169" s="472"/>
      <c r="T169" s="472"/>
      <c r="U169" s="472"/>
      <c r="V169" s="472"/>
      <c r="W169" s="472"/>
      <c r="X169" s="475"/>
    </row>
    <row r="170" spans="2:24" ht="13" x14ac:dyDescent="0.25">
      <c r="B170" s="329" t="s">
        <v>172</v>
      </c>
      <c r="C170" s="330"/>
      <c r="D170" s="331"/>
      <c r="E170" s="331"/>
      <c r="F170" s="331"/>
      <c r="G170" s="331"/>
      <c r="H170" s="331"/>
      <c r="I170" s="331"/>
      <c r="J170" s="332"/>
      <c r="K170" s="341"/>
      <c r="L170" s="342">
        <f>SUM(L148:L168)</f>
        <v>0</v>
      </c>
      <c r="N170" s="465"/>
      <c r="O170" s="476"/>
      <c r="P170" s="271"/>
      <c r="Q170" s="271"/>
      <c r="R170" s="271"/>
      <c r="S170" s="271"/>
      <c r="T170" s="271"/>
      <c r="U170" s="271"/>
      <c r="V170" s="473"/>
      <c r="W170" s="271"/>
      <c r="X170" s="477"/>
    </row>
    <row r="171" spans="2:24" x14ac:dyDescent="0.25">
      <c r="N171" s="448"/>
      <c r="O171" s="448"/>
      <c r="P171" s="449"/>
      <c r="Q171" s="449"/>
      <c r="R171" s="449"/>
      <c r="S171" s="36"/>
      <c r="T171" s="450"/>
      <c r="U171" s="450"/>
      <c r="V171" s="450"/>
      <c r="W171" s="450"/>
      <c r="X171" s="450"/>
    </row>
    <row r="172" spans="2:24" x14ac:dyDescent="0.25">
      <c r="N172" s="448"/>
      <c r="O172" s="448"/>
      <c r="P172" s="449"/>
      <c r="Q172" s="449"/>
      <c r="R172" s="449"/>
      <c r="S172" s="36"/>
      <c r="T172" s="450"/>
      <c r="U172" s="450"/>
      <c r="V172" s="450"/>
      <c r="W172" s="450"/>
      <c r="X172" s="450"/>
    </row>
    <row r="173" spans="2:24" ht="13" x14ac:dyDescent="0.25">
      <c r="B173" s="350" t="s">
        <v>254</v>
      </c>
      <c r="C173" s="88"/>
      <c r="D173" s="88"/>
      <c r="E173" s="88"/>
      <c r="F173" s="88"/>
      <c r="G173" s="88"/>
      <c r="H173" s="309"/>
      <c r="I173" s="309"/>
      <c r="J173" s="88"/>
      <c r="K173" s="88"/>
      <c r="L173" s="88"/>
      <c r="N173" s="448"/>
      <c r="O173" s="448"/>
      <c r="P173" s="449"/>
      <c r="Q173" s="449"/>
      <c r="R173" s="449"/>
      <c r="S173" s="36"/>
      <c r="T173" s="450"/>
      <c r="U173" s="450"/>
      <c r="V173" s="450"/>
      <c r="W173" s="450"/>
      <c r="X173" s="450"/>
    </row>
    <row r="174" spans="2:24" x14ac:dyDescent="0.25">
      <c r="B174" s="88"/>
      <c r="C174" s="88"/>
      <c r="D174" s="274"/>
      <c r="E174" s="274"/>
      <c r="F174" s="274"/>
      <c r="G174" s="88"/>
      <c r="H174" s="88"/>
      <c r="I174" s="88"/>
      <c r="J174" s="88"/>
      <c r="K174" s="88"/>
      <c r="L174" s="351"/>
      <c r="N174" s="448"/>
      <c r="O174" s="448"/>
      <c r="P174" s="449"/>
      <c r="Q174" s="449"/>
      <c r="R174" s="449"/>
      <c r="S174" s="36"/>
      <c r="T174" s="450"/>
      <c r="U174" s="450"/>
      <c r="V174" s="450"/>
      <c r="W174" s="450"/>
      <c r="X174" s="450"/>
    </row>
    <row r="175" spans="2:24" ht="15.5" x14ac:dyDescent="0.25">
      <c r="B175" s="317"/>
      <c r="C175" s="320" t="s">
        <v>230</v>
      </c>
      <c r="D175" s="361"/>
      <c r="E175" s="320" t="s">
        <v>231</v>
      </c>
      <c r="F175" s="333"/>
      <c r="G175" s="335" t="s">
        <v>272</v>
      </c>
      <c r="H175" s="321"/>
      <c r="I175" s="437" t="s">
        <v>273</v>
      </c>
      <c r="J175" s="438"/>
      <c r="K175" s="322"/>
      <c r="L175" s="343"/>
      <c r="N175" s="448"/>
      <c r="O175" s="448"/>
      <c r="P175" s="449"/>
      <c r="Q175" s="449"/>
      <c r="R175" s="449"/>
      <c r="S175" s="36"/>
      <c r="T175" s="450"/>
      <c r="U175" s="450"/>
      <c r="V175" s="450"/>
      <c r="W175" s="450"/>
      <c r="X175" s="450"/>
    </row>
    <row r="176" spans="2:24" ht="14" x14ac:dyDescent="0.25">
      <c r="B176" s="318"/>
      <c r="C176" s="287" t="s">
        <v>237</v>
      </c>
      <c r="D176" s="362"/>
      <c r="E176" s="287" t="s">
        <v>238</v>
      </c>
      <c r="F176" s="334"/>
      <c r="G176" s="336" t="s">
        <v>274</v>
      </c>
      <c r="H176" s="288"/>
      <c r="I176" s="439" t="s">
        <v>275</v>
      </c>
      <c r="J176" s="440"/>
      <c r="K176" s="284"/>
      <c r="L176" s="344"/>
      <c r="N176" s="448"/>
      <c r="O176" s="448"/>
      <c r="P176" s="449"/>
      <c r="Q176" s="449"/>
      <c r="R176" s="449"/>
      <c r="S176" s="36"/>
      <c r="T176" s="450"/>
      <c r="U176" s="450"/>
      <c r="V176" s="450"/>
      <c r="W176" s="450"/>
      <c r="X176" s="450"/>
    </row>
    <row r="177" spans="2:24" ht="14" x14ac:dyDescent="0.25">
      <c r="B177" s="169" t="s">
        <v>135</v>
      </c>
      <c r="C177" s="316"/>
      <c r="D177" s="283"/>
      <c r="E177" s="316"/>
      <c r="F177" s="283"/>
      <c r="G177" s="316"/>
      <c r="H177" s="283"/>
      <c r="I177" s="432" t="s">
        <v>276</v>
      </c>
      <c r="J177" s="283" t="s">
        <v>277</v>
      </c>
      <c r="K177" s="286" t="s">
        <v>242</v>
      </c>
      <c r="L177" s="345" t="s">
        <v>139</v>
      </c>
      <c r="N177" s="448"/>
      <c r="O177" s="448"/>
      <c r="P177" s="449"/>
      <c r="Q177" s="449"/>
      <c r="R177" s="449"/>
      <c r="S177" s="36"/>
      <c r="T177" s="450"/>
      <c r="U177" s="450"/>
      <c r="V177" s="450"/>
      <c r="W177" s="450"/>
      <c r="X177" s="450"/>
    </row>
    <row r="178" spans="2:24" ht="14" x14ac:dyDescent="0.25">
      <c r="B178" s="319"/>
      <c r="C178" s="324" t="s">
        <v>0</v>
      </c>
      <c r="D178" s="325" t="s">
        <v>1</v>
      </c>
      <c r="E178" s="324" t="s">
        <v>0</v>
      </c>
      <c r="F178" s="325" t="s">
        <v>1</v>
      </c>
      <c r="G178" s="324" t="s">
        <v>0</v>
      </c>
      <c r="H178" s="325" t="s">
        <v>1</v>
      </c>
      <c r="I178" s="441" t="s">
        <v>147</v>
      </c>
      <c r="J178" s="325" t="s">
        <v>147</v>
      </c>
      <c r="K178" s="326" t="s">
        <v>148</v>
      </c>
      <c r="L178" s="346" t="s">
        <v>149</v>
      </c>
      <c r="N178" s="448"/>
      <c r="O178" s="448"/>
      <c r="P178" s="449"/>
      <c r="Q178" s="449"/>
      <c r="R178" s="449"/>
      <c r="S178" s="36"/>
      <c r="T178" s="450"/>
      <c r="U178" s="450"/>
      <c r="V178" s="450"/>
      <c r="W178" s="450"/>
      <c r="X178" s="450"/>
    </row>
    <row r="179" spans="2:24" x14ac:dyDescent="0.25">
      <c r="B179" s="327">
        <v>1</v>
      </c>
      <c r="C179" s="348">
        <f>NNV1NB*AnnualFactor</f>
        <v>0</v>
      </c>
      <c r="D179" s="349">
        <f>NNV1B*AnnualFactor</f>
        <v>0</v>
      </c>
      <c r="E179" s="363">
        <f>ROUND(NNS1NB,1)</f>
        <v>55</v>
      </c>
      <c r="F179" s="364">
        <f>ROUND(NNS1B,1)</f>
        <v>55</v>
      </c>
      <c r="G179" s="339">
        <f>IF(HwyRail,(IdleSpeed/60)*(GateTime1/2)*C179,ImpactedNB*C179)</f>
        <v>0</v>
      </c>
      <c r="H179" s="434">
        <f>IF(HwyRail,(IdleSpeed/60)*(GateTime1/2)*D179,ImpactedB*D179)</f>
        <v>0</v>
      </c>
      <c r="I179" s="515">
        <f>(G179*VLOOKUP(E179,FuelCon,2)*IF(Pavement,VLOOKUP(IRI1NB,FuelConPavAdj,2),1)-H179*VLOOKUP(F179,FuelCon,2)*IF(Pavement,VLOOKUP(IRI1B,FuelConPavAdj,2),1))*FuelAuto</f>
        <v>0</v>
      </c>
      <c r="J179" s="498">
        <f>(G179*IF(Pavement,VLOOKUP(IRI1NB,NonFuelPavAdj,2),1)-H179*IF(Pavement,VLOOKUP(IRI1B,NonFuelPavAdj,2),1))*NonFuelAuto</f>
        <v>0</v>
      </c>
      <c r="K179" s="285">
        <f>SUM($I179:$J179)</f>
        <v>0</v>
      </c>
      <c r="L179" s="323">
        <f>$K179/(1+DiscRate)^($B179+Construct-1)</f>
        <v>0</v>
      </c>
      <c r="N179" s="448"/>
      <c r="O179" s="448"/>
      <c r="P179" s="449"/>
      <c r="Q179" s="449"/>
      <c r="R179" s="449"/>
      <c r="S179" s="36"/>
      <c r="T179" s="450"/>
      <c r="U179" s="450"/>
      <c r="V179" s="450"/>
      <c r="W179" s="450"/>
      <c r="X179" s="450"/>
    </row>
    <row r="180" spans="2:24" x14ac:dyDescent="0.25">
      <c r="B180" s="328">
        <v>20</v>
      </c>
      <c r="C180" s="353">
        <f>NNV20NB*AnnualFactor</f>
        <v>0</v>
      </c>
      <c r="D180" s="354">
        <f>NNV20B*AnnualFactor</f>
        <v>0</v>
      </c>
      <c r="E180" s="365">
        <f>ROUND(NNS20NB,1)</f>
        <v>55</v>
      </c>
      <c r="F180" s="366">
        <f>ROUND(NNS20B,1)</f>
        <v>55</v>
      </c>
      <c r="G180" s="339">
        <f>IF(HwyRail,(IdleSpeed/60)*(GateTime20/2)*C180,ImpactedNB*C180)</f>
        <v>0</v>
      </c>
      <c r="H180" s="435">
        <f>IF(HwyRail,(IdleSpeed/60)*(GateTime20/2)*D180,ImpactedB*D180)</f>
        <v>0</v>
      </c>
      <c r="I180" s="520">
        <f>(G180*VLOOKUP(E180,FuelCon,2)*IF(Pavement,VLOOKUP(IRI20NB,FuelConPavAdj,2),1)-H180*VLOOKUP(F180,FuelCon,2)*IF(Pavement,VLOOKUP(IRI20B,FuelConPavAdj,2),1))*FuelAuto</f>
        <v>0</v>
      </c>
      <c r="J180" s="499">
        <f>(G180*IF(Pavement,VLOOKUP(IRI20NB,NonFuelPavAdj,2),1)-H180*IF(Pavement,VLOOKUP(IRI20B,NonFuelPavAdj,2),1))*NonFuelAuto</f>
        <v>0</v>
      </c>
      <c r="K180" s="285">
        <f>SUM($I180:$J180)</f>
        <v>0</v>
      </c>
      <c r="L180" s="323">
        <f>$K180/(1+DiscRate)^($B180+Construct-1)</f>
        <v>0</v>
      </c>
      <c r="N180" s="448"/>
      <c r="O180" s="448"/>
      <c r="P180" s="449"/>
      <c r="Q180" s="449"/>
      <c r="R180" s="449"/>
      <c r="S180" s="36"/>
      <c r="T180" s="450"/>
      <c r="U180" s="450"/>
      <c r="V180" s="450"/>
      <c r="W180" s="450"/>
      <c r="X180" s="450"/>
    </row>
    <row r="181" spans="2:24" x14ac:dyDescent="0.25">
      <c r="B181" s="357"/>
      <c r="C181" s="355"/>
      <c r="D181" s="355"/>
      <c r="E181" s="367"/>
      <c r="F181" s="367"/>
      <c r="G181" s="356"/>
      <c r="H181" s="356"/>
      <c r="I181" s="356"/>
      <c r="J181" s="356"/>
      <c r="K181" s="356"/>
      <c r="L181" s="358"/>
    </row>
    <row r="182" spans="2:24" x14ac:dyDescent="0.25">
      <c r="B182" s="352">
        <v>2</v>
      </c>
      <c r="C182" s="368">
        <f>TREND(C179:C180,B179:B180,B182)</f>
        <v>0</v>
      </c>
      <c r="D182" s="629">
        <f>TREND(D179:D180,B179:B180,B182)</f>
        <v>0</v>
      </c>
      <c r="E182" s="632">
        <f>TREND(E179:E180,B179:B180,B182)</f>
        <v>55</v>
      </c>
      <c r="F182" s="371">
        <f>TREND(F179:F180,B179:B180,B182)</f>
        <v>55</v>
      </c>
      <c r="G182" s="339">
        <f>IF(HwyRail,TREND(G179:G180,B179:B180,B182),ImpactedNB*C182)</f>
        <v>0</v>
      </c>
      <c r="H182" s="434">
        <f>IF(HwyRail,TREND(H179:H180,B179:B180,B182),ImpactedB*D182)</f>
        <v>0</v>
      </c>
      <c r="I182" s="515">
        <f t="shared" ref="I182:I195" si="41">(G182*VLOOKUP(E182,FuelCon,2)*IF(Pavement,VLOOKUP(IRI1NB,FuelConPavAdj,2),1)-H182*VLOOKUP(F182,FuelCon,2)*IF(Pavement,VLOOKUP(IRI1B,FuelConPavAdj,2),1))*FuelAuto</f>
        <v>0</v>
      </c>
      <c r="J182" s="498">
        <f t="shared" ref="J182:J195" si="42">(G182*IF(Pavement,VLOOKUP(IRI1NB,NonFuelPavAdj,2),1)-H182*IF(Pavement,VLOOKUP(IRI1B,NonFuelPavAdj,2),1))*NonFuelAuto</f>
        <v>0</v>
      </c>
      <c r="K182" s="285">
        <f t="shared" ref="K182:K199" si="43">SUM($I182:$J182)</f>
        <v>0</v>
      </c>
      <c r="L182" s="323">
        <f t="shared" ref="L182:L199" si="44">$K182/(1+DiscRate)^($B182+Construct-1)</f>
        <v>0</v>
      </c>
    </row>
    <row r="183" spans="2:24" x14ac:dyDescent="0.25">
      <c r="B183" s="327">
        <v>3</v>
      </c>
      <c r="C183" s="347">
        <f>TREND(C179:C180,B179:B180,B183)</f>
        <v>0</v>
      </c>
      <c r="D183" s="630">
        <f>TREND(D179:D180,B179:B180,B183)</f>
        <v>0</v>
      </c>
      <c r="E183" s="633">
        <f>TREND(E179:E180,B179:B180,B183)</f>
        <v>55</v>
      </c>
      <c r="F183" s="374">
        <f>TREND(F179:F180,B179:B180,B183)</f>
        <v>55</v>
      </c>
      <c r="G183" s="339">
        <f>IF(HwyRail,TREND(G179:G180,B179:B180,B183),ImpactedNB*C183)</f>
        <v>0</v>
      </c>
      <c r="H183" s="436">
        <f>IF(HwyRail,TREND(H179:H180,B179:B180,B183),ImpactedB*D183)</f>
        <v>0</v>
      </c>
      <c r="I183" s="521">
        <f t="shared" si="41"/>
        <v>0</v>
      </c>
      <c r="J183" s="500">
        <f t="shared" si="42"/>
        <v>0</v>
      </c>
      <c r="K183" s="285">
        <f t="shared" si="43"/>
        <v>0</v>
      </c>
      <c r="L183" s="323">
        <f t="shared" si="44"/>
        <v>0</v>
      </c>
    </row>
    <row r="184" spans="2:24" x14ac:dyDescent="0.25">
      <c r="B184" s="327">
        <v>4</v>
      </c>
      <c r="C184" s="347">
        <f>TREND(C179:C180,B179:B180,B184)</f>
        <v>0</v>
      </c>
      <c r="D184" s="630">
        <f>TREND(D179:D180,B179:B180,B184)</f>
        <v>0</v>
      </c>
      <c r="E184" s="633">
        <f>TREND(E179:E180,B179:B180,B184)</f>
        <v>55</v>
      </c>
      <c r="F184" s="374">
        <f>TREND(F179:F180,B179:B180,B184)</f>
        <v>55</v>
      </c>
      <c r="G184" s="339">
        <f>IF(HwyRail,TREND(G179:G180,B179:B180,B184),ImpactedNB*C184)</f>
        <v>0</v>
      </c>
      <c r="H184" s="436">
        <f>IF(HwyRail,TREND(H179:H180,B179:B180,B184),ImpactedB*D184)</f>
        <v>0</v>
      </c>
      <c r="I184" s="521">
        <f t="shared" si="41"/>
        <v>0</v>
      </c>
      <c r="J184" s="500">
        <f t="shared" si="42"/>
        <v>0</v>
      </c>
      <c r="K184" s="285">
        <f t="shared" si="43"/>
        <v>0</v>
      </c>
      <c r="L184" s="323">
        <f t="shared" si="44"/>
        <v>0</v>
      </c>
    </row>
    <row r="185" spans="2:24" x14ac:dyDescent="0.25">
      <c r="B185" s="327">
        <v>5</v>
      </c>
      <c r="C185" s="347">
        <f>TREND(C179:C180,B179:B180,B185)</f>
        <v>0</v>
      </c>
      <c r="D185" s="630">
        <f>TREND(D179:D180,B179:B180,B185)</f>
        <v>0</v>
      </c>
      <c r="E185" s="633">
        <f>TREND(E179:E180,B179:B180,B185)</f>
        <v>55</v>
      </c>
      <c r="F185" s="374">
        <f>TREND(F179:F180,B179:B180,B185)</f>
        <v>55</v>
      </c>
      <c r="G185" s="339">
        <f>IF(HwyRail,TREND(G179:G180,B179:B180,B185),ImpactedNB*C185)</f>
        <v>0</v>
      </c>
      <c r="H185" s="436">
        <f>IF(HwyRail,TREND(H179:H180,B179:B180,B185),ImpactedB*D185)</f>
        <v>0</v>
      </c>
      <c r="I185" s="521">
        <f t="shared" si="41"/>
        <v>0</v>
      </c>
      <c r="J185" s="500">
        <f t="shared" si="42"/>
        <v>0</v>
      </c>
      <c r="K185" s="285">
        <f t="shared" si="43"/>
        <v>0</v>
      </c>
      <c r="L185" s="323">
        <f t="shared" si="44"/>
        <v>0</v>
      </c>
    </row>
    <row r="186" spans="2:24" x14ac:dyDescent="0.25">
      <c r="B186" s="327">
        <v>6</v>
      </c>
      <c r="C186" s="347">
        <f>TREND(C179:C180,B179:B180,B186)</f>
        <v>0</v>
      </c>
      <c r="D186" s="630">
        <f>TREND(D179:D180,B179:B180,B186)</f>
        <v>0</v>
      </c>
      <c r="E186" s="633">
        <f>TREND(E179:E180,B179:B180,B186)</f>
        <v>55</v>
      </c>
      <c r="F186" s="374">
        <f>TREND(F179:F180,B179:B180,B186)</f>
        <v>55</v>
      </c>
      <c r="G186" s="339">
        <f>IF(HwyRail,TREND(G179:G180,B179:B180,B186),ImpactedNB*C186)</f>
        <v>0</v>
      </c>
      <c r="H186" s="436">
        <f>IF(HwyRail,TREND(H179:H180,B179:B180,B186),ImpactedB*D186)</f>
        <v>0</v>
      </c>
      <c r="I186" s="521">
        <f t="shared" si="41"/>
        <v>0</v>
      </c>
      <c r="J186" s="500">
        <f t="shared" si="42"/>
        <v>0</v>
      </c>
      <c r="K186" s="285">
        <f t="shared" si="43"/>
        <v>0</v>
      </c>
      <c r="L186" s="323">
        <f t="shared" si="44"/>
        <v>0</v>
      </c>
    </row>
    <row r="187" spans="2:24" x14ac:dyDescent="0.25">
      <c r="B187" s="327">
        <v>7</v>
      </c>
      <c r="C187" s="347">
        <f>TREND(C179:C180,B179:B180,B187)</f>
        <v>0</v>
      </c>
      <c r="D187" s="630">
        <f>TREND(D179:D180,B179:B180,B187)</f>
        <v>0</v>
      </c>
      <c r="E187" s="633">
        <f>TREND(E179:E180,B179:B180,B187)</f>
        <v>55</v>
      </c>
      <c r="F187" s="374">
        <f>TREND(F179:F180,B179:B180,B187)</f>
        <v>55</v>
      </c>
      <c r="G187" s="339">
        <f>IF(HwyRail,TREND(G179:G180,B179:B180,B187),ImpactedNB*C187)</f>
        <v>0</v>
      </c>
      <c r="H187" s="436">
        <f>IF(HwyRail,TREND(H179:H180,B179:B180,B187),ImpactedB*D187)</f>
        <v>0</v>
      </c>
      <c r="I187" s="521">
        <f t="shared" si="41"/>
        <v>0</v>
      </c>
      <c r="J187" s="500">
        <f t="shared" si="42"/>
        <v>0</v>
      </c>
      <c r="K187" s="285">
        <f t="shared" si="43"/>
        <v>0</v>
      </c>
      <c r="L187" s="323">
        <f t="shared" si="44"/>
        <v>0</v>
      </c>
    </row>
    <row r="188" spans="2:24" x14ac:dyDescent="0.25">
      <c r="B188" s="327">
        <v>8</v>
      </c>
      <c r="C188" s="347">
        <f>TREND(C179:C180,B179:B180,B188)</f>
        <v>0</v>
      </c>
      <c r="D188" s="630">
        <f>TREND(D179:D180,B179:B180,B188)</f>
        <v>0</v>
      </c>
      <c r="E188" s="633">
        <f>TREND(E179:E180,B179:B180,B188)</f>
        <v>55</v>
      </c>
      <c r="F188" s="374">
        <f>TREND(F179:F180,B179:B180,B188)</f>
        <v>55</v>
      </c>
      <c r="G188" s="339">
        <f>IF(HwyRail,TREND(G179:G180,B179:B180,B188),ImpactedNB*C188)</f>
        <v>0</v>
      </c>
      <c r="H188" s="436">
        <f>IF(HwyRail,TREND(H179:H180,B179:B180,B188),ImpactedB*D188)</f>
        <v>0</v>
      </c>
      <c r="I188" s="521">
        <f t="shared" si="41"/>
        <v>0</v>
      </c>
      <c r="J188" s="500">
        <f t="shared" si="42"/>
        <v>0</v>
      </c>
      <c r="K188" s="285">
        <f t="shared" si="43"/>
        <v>0</v>
      </c>
      <c r="L188" s="323">
        <f t="shared" si="44"/>
        <v>0</v>
      </c>
    </row>
    <row r="189" spans="2:24" x14ac:dyDescent="0.25">
      <c r="B189" s="327">
        <v>9</v>
      </c>
      <c r="C189" s="347">
        <f>TREND(C179:C180,B179:B180,B189)</f>
        <v>0</v>
      </c>
      <c r="D189" s="630">
        <f>TREND(D179:D180,B179:B180,B189)</f>
        <v>0</v>
      </c>
      <c r="E189" s="633">
        <f>TREND(E179:E180,B179:B180,B189)</f>
        <v>55</v>
      </c>
      <c r="F189" s="374">
        <f>TREND(F179:F180,B179:B180,B189)</f>
        <v>55</v>
      </c>
      <c r="G189" s="339">
        <f>IF(HwyRail,TREND(G179:G180,B179:B180,B189),ImpactedNB*C189)</f>
        <v>0</v>
      </c>
      <c r="H189" s="436">
        <f>IF(HwyRail,TREND(H179:H180,B179:B180,B189),ImpactedB*D189)</f>
        <v>0</v>
      </c>
      <c r="I189" s="521">
        <f t="shared" si="41"/>
        <v>0</v>
      </c>
      <c r="J189" s="500">
        <f t="shared" si="42"/>
        <v>0</v>
      </c>
      <c r="K189" s="285">
        <f t="shared" si="43"/>
        <v>0</v>
      </c>
      <c r="L189" s="323">
        <f t="shared" si="44"/>
        <v>0</v>
      </c>
    </row>
    <row r="190" spans="2:24" x14ac:dyDescent="0.25">
      <c r="B190" s="327">
        <v>10</v>
      </c>
      <c r="C190" s="347">
        <f>TREND(C179:C180,B179:B180,B190)</f>
        <v>0</v>
      </c>
      <c r="D190" s="630">
        <f>TREND(D179:D180,B179:B180,B190)</f>
        <v>0</v>
      </c>
      <c r="E190" s="633">
        <f>TREND(E179:E180,B179:B180,B190)</f>
        <v>55</v>
      </c>
      <c r="F190" s="374">
        <f>TREND(F179:F180,B179:B180,B190)</f>
        <v>55</v>
      </c>
      <c r="G190" s="339">
        <f>IF(HwyRail,TREND(G179:G180,B179:B180,B190),ImpactedNB*C190)</f>
        <v>0</v>
      </c>
      <c r="H190" s="436">
        <f>IF(HwyRail,TREND(H179:H180,B179:B180,B190),ImpactedB*D190)</f>
        <v>0</v>
      </c>
      <c r="I190" s="521">
        <f t="shared" si="41"/>
        <v>0</v>
      </c>
      <c r="J190" s="500">
        <f t="shared" si="42"/>
        <v>0</v>
      </c>
      <c r="K190" s="285">
        <f t="shared" si="43"/>
        <v>0</v>
      </c>
      <c r="L190" s="323">
        <f t="shared" si="44"/>
        <v>0</v>
      </c>
    </row>
    <row r="191" spans="2:24" x14ac:dyDescent="0.25">
      <c r="B191" s="327">
        <v>11</v>
      </c>
      <c r="C191" s="347">
        <f>TREND(C179:C180,B179:B180,B191)</f>
        <v>0</v>
      </c>
      <c r="D191" s="630">
        <f>TREND(D179:D180,B179:B180,B191)</f>
        <v>0</v>
      </c>
      <c r="E191" s="633">
        <f>TREND(E179:E180,B179:B180,B191)</f>
        <v>55</v>
      </c>
      <c r="F191" s="374">
        <f>TREND(F179:F180,B179:B180,B191)</f>
        <v>55</v>
      </c>
      <c r="G191" s="339">
        <f>IF(HwyRail,TREND(G179:G180,B179:B180,B191),ImpactedNB*C191)</f>
        <v>0</v>
      </c>
      <c r="H191" s="436">
        <f>IF(HwyRail,TREND(H179:H180,B179:B180,B191),ImpactedB*D191)</f>
        <v>0</v>
      </c>
      <c r="I191" s="521">
        <f t="shared" si="41"/>
        <v>0</v>
      </c>
      <c r="J191" s="500">
        <f t="shared" si="42"/>
        <v>0</v>
      </c>
      <c r="K191" s="285">
        <f t="shared" si="43"/>
        <v>0</v>
      </c>
      <c r="L191" s="323">
        <f t="shared" si="44"/>
        <v>0</v>
      </c>
    </row>
    <row r="192" spans="2:24" x14ac:dyDescent="0.25">
      <c r="B192" s="327">
        <v>12</v>
      </c>
      <c r="C192" s="347">
        <f>TREND(C179:C180,B179:B180,B192)</f>
        <v>0</v>
      </c>
      <c r="D192" s="630">
        <f>TREND(D179:D180,B179:B180,B192)</f>
        <v>0</v>
      </c>
      <c r="E192" s="633">
        <f>TREND(E179:E180,B179:B180,B192)</f>
        <v>55</v>
      </c>
      <c r="F192" s="374">
        <f>TREND(F179:F180,B179:B180,B192)</f>
        <v>55</v>
      </c>
      <c r="G192" s="339">
        <f>IF(HwyRail,TREND(G179:G180,B179:B180,B192),ImpactedNB*C192)</f>
        <v>0</v>
      </c>
      <c r="H192" s="436">
        <f>IF(HwyRail,TREND(H179:H180,B179:B180,B192),ImpactedB*D192)</f>
        <v>0</v>
      </c>
      <c r="I192" s="521">
        <f t="shared" si="41"/>
        <v>0</v>
      </c>
      <c r="J192" s="500">
        <f t="shared" si="42"/>
        <v>0</v>
      </c>
      <c r="K192" s="285">
        <f t="shared" si="43"/>
        <v>0</v>
      </c>
      <c r="L192" s="323">
        <f t="shared" si="44"/>
        <v>0</v>
      </c>
    </row>
    <row r="193" spans="2:12" x14ac:dyDescent="0.25">
      <c r="B193" s="327">
        <v>13</v>
      </c>
      <c r="C193" s="347">
        <f>TREND(C179:C180,B179:B180,B193)</f>
        <v>0</v>
      </c>
      <c r="D193" s="630">
        <f>TREND(D179:D180,B179:B180,B193)</f>
        <v>0</v>
      </c>
      <c r="E193" s="633">
        <f>TREND(E179:E180,B179:B180,B193)</f>
        <v>55</v>
      </c>
      <c r="F193" s="374">
        <f>TREND(F179:F180,B179:B180,B193)</f>
        <v>55</v>
      </c>
      <c r="G193" s="339">
        <f>IF(HwyRail,TREND(G179:G180,B179:B180,B193),ImpactedNB*C193)</f>
        <v>0</v>
      </c>
      <c r="H193" s="436">
        <f>IF(HwyRail,TREND(H179:H180,B179:B180,B193),ImpactedB*D193)</f>
        <v>0</v>
      </c>
      <c r="I193" s="521">
        <f t="shared" si="41"/>
        <v>0</v>
      </c>
      <c r="J193" s="500">
        <f t="shared" si="42"/>
        <v>0</v>
      </c>
      <c r="K193" s="285">
        <f t="shared" si="43"/>
        <v>0</v>
      </c>
      <c r="L193" s="323">
        <f t="shared" si="44"/>
        <v>0</v>
      </c>
    </row>
    <row r="194" spans="2:12" x14ac:dyDescent="0.25">
      <c r="B194" s="327">
        <v>14</v>
      </c>
      <c r="C194" s="347">
        <f>TREND(C179:C180,B179:B180,B194)</f>
        <v>0</v>
      </c>
      <c r="D194" s="630">
        <f>TREND(D179:D180,B179:B180,B194)</f>
        <v>0</v>
      </c>
      <c r="E194" s="633">
        <f>TREND(E179:E180,B179:B180,B194)</f>
        <v>55</v>
      </c>
      <c r="F194" s="374">
        <f>TREND(F179:F180,B179:B180,B194)</f>
        <v>55</v>
      </c>
      <c r="G194" s="339">
        <f>IF(HwyRail,TREND(G179:G180,B179:B180,B194),ImpactedNB*C194)</f>
        <v>0</v>
      </c>
      <c r="H194" s="436">
        <f>IF(HwyRail,TREND(H179:H180,B179:B180,B194),ImpactedB*D194)</f>
        <v>0</v>
      </c>
      <c r="I194" s="521">
        <f t="shared" si="41"/>
        <v>0</v>
      </c>
      <c r="J194" s="500">
        <f t="shared" si="42"/>
        <v>0</v>
      </c>
      <c r="K194" s="285">
        <f t="shared" si="43"/>
        <v>0</v>
      </c>
      <c r="L194" s="323">
        <f t="shared" si="44"/>
        <v>0</v>
      </c>
    </row>
    <row r="195" spans="2:12" x14ac:dyDescent="0.25">
      <c r="B195" s="327">
        <v>15</v>
      </c>
      <c r="C195" s="347">
        <f>TREND(C179:C180,B179:B180,B195)</f>
        <v>0</v>
      </c>
      <c r="D195" s="630">
        <f>TREND(D179:D180,B179:B180,B195)</f>
        <v>0</v>
      </c>
      <c r="E195" s="633">
        <f>TREND(E179:E180,B179:B180,B195)</f>
        <v>55</v>
      </c>
      <c r="F195" s="374">
        <f>TREND(F179:F180,B179:B180,B195)</f>
        <v>55</v>
      </c>
      <c r="G195" s="339">
        <f>IF(HwyRail,TREND(G179:G180,B179:B180,B195),ImpactedNB*C195)</f>
        <v>0</v>
      </c>
      <c r="H195" s="436">
        <f>IF(HwyRail,TREND(H179:H180,B179:B180,B195),ImpactedB*D195)</f>
        <v>0</v>
      </c>
      <c r="I195" s="521">
        <f t="shared" si="41"/>
        <v>0</v>
      </c>
      <c r="J195" s="500">
        <f t="shared" si="42"/>
        <v>0</v>
      </c>
      <c r="K195" s="285">
        <f t="shared" si="43"/>
        <v>0</v>
      </c>
      <c r="L195" s="323">
        <f t="shared" si="44"/>
        <v>0</v>
      </c>
    </row>
    <row r="196" spans="2:12" x14ac:dyDescent="0.25">
      <c r="B196" s="327">
        <v>16</v>
      </c>
      <c r="C196" s="347">
        <f>TREND(C179:C180,B179:B180,B196)</f>
        <v>0</v>
      </c>
      <c r="D196" s="630">
        <f>TREND(D179:D180,B179:B180,B196)</f>
        <v>0</v>
      </c>
      <c r="E196" s="633">
        <f>TREND(E179:E180,B179:B180,B196)</f>
        <v>55</v>
      </c>
      <c r="F196" s="374">
        <f>TREND(F179:F180,B179:B180,B196)</f>
        <v>55</v>
      </c>
      <c r="G196" s="339">
        <f>IF(HwyRail,TREND(G179:G180,B179:B180,B196),ImpactedNB*C196)</f>
        <v>0</v>
      </c>
      <c r="H196" s="436">
        <f>IF(HwyRail,TREND(H179:H180,B179:B180,B196),ImpactedB*D196)</f>
        <v>0</v>
      </c>
      <c r="I196" s="521">
        <f>(G196*VLOOKUP(E196,FuelCon,2)*IF(Pavement,VLOOKUP(IRI20NB,FuelConPavAdj,2),1)-H196*VLOOKUP(F196,FuelCon,2)*IF(Pavement,VLOOKUP(IRI20B,FuelConPavAdj,2),1))*FuelAuto</f>
        <v>0</v>
      </c>
      <c r="J196" s="500">
        <f>(G196*IF(Pavement,VLOOKUP(IRI20NB,NonFuelPavAdj,2),1)-H196*IF(Pavement,VLOOKUP(IRI20B,NonFuelPavAdj,2),1))*NonFuelAuto</f>
        <v>0</v>
      </c>
      <c r="K196" s="285">
        <f t="shared" si="43"/>
        <v>0</v>
      </c>
      <c r="L196" s="323">
        <f t="shared" si="44"/>
        <v>0</v>
      </c>
    </row>
    <row r="197" spans="2:12" x14ac:dyDescent="0.25">
      <c r="B197" s="327">
        <v>17</v>
      </c>
      <c r="C197" s="347">
        <f>TREND(C179:C180,B179:B180,B197)</f>
        <v>0</v>
      </c>
      <c r="D197" s="630">
        <f>TREND(D179:D180,B179:B180,B197)</f>
        <v>0</v>
      </c>
      <c r="E197" s="633">
        <f>TREND(E179:E180,B179:B180,B197)</f>
        <v>55</v>
      </c>
      <c r="F197" s="374">
        <f>TREND(F179:F180,B179:B180,B197)</f>
        <v>55</v>
      </c>
      <c r="G197" s="339">
        <f>IF(HwyRail,TREND(G179:G180,B179:B180,B197),ImpactedNB*C197)</f>
        <v>0</v>
      </c>
      <c r="H197" s="436">
        <f>IF(HwyRail,TREND(H179:H180,B179:B180,B197),ImpactedB*D197)</f>
        <v>0</v>
      </c>
      <c r="I197" s="521">
        <f>(G197*VLOOKUP(E197,FuelCon,2)*IF(Pavement,VLOOKUP(IRI20NB,FuelConPavAdj,2),1)-H197*VLOOKUP(F197,FuelCon,2)*IF(Pavement,VLOOKUP(IRI20B,FuelConPavAdj,2),1))*FuelAuto</f>
        <v>0</v>
      </c>
      <c r="J197" s="500">
        <f>(G197*IF(Pavement,VLOOKUP(IRI20NB,NonFuelPavAdj,2),1)-H197*IF(Pavement,VLOOKUP(IRI20B,NonFuelPavAdj,2),1))*NonFuelAuto</f>
        <v>0</v>
      </c>
      <c r="K197" s="285">
        <f t="shared" si="43"/>
        <v>0</v>
      </c>
      <c r="L197" s="323">
        <f t="shared" si="44"/>
        <v>0</v>
      </c>
    </row>
    <row r="198" spans="2:12" x14ac:dyDescent="0.25">
      <c r="B198" s="327">
        <v>18</v>
      </c>
      <c r="C198" s="347">
        <f>TREND(C179:C180,B179:B180,B198)</f>
        <v>0</v>
      </c>
      <c r="D198" s="630">
        <f>TREND(D179:D180,B179:B180,B198)</f>
        <v>0</v>
      </c>
      <c r="E198" s="633">
        <f>TREND(E179:E180,B179:B180,B198)</f>
        <v>55</v>
      </c>
      <c r="F198" s="374">
        <f>TREND(F179:F180,B179:B180,B198)</f>
        <v>55</v>
      </c>
      <c r="G198" s="339">
        <f>IF(HwyRail,TREND(G179:G180,B179:B180,B198),ImpactedNB*C198)</f>
        <v>0</v>
      </c>
      <c r="H198" s="436">
        <f>IF(HwyRail,TREND(H179:H180,B179:B180,B198),ImpactedB*D198)</f>
        <v>0</v>
      </c>
      <c r="I198" s="521">
        <f>(G198*VLOOKUP(E198,FuelCon,2)*IF(Pavement,VLOOKUP(IRI20NB,FuelConPavAdj,2),1)-H198*VLOOKUP(F198,FuelCon,2)*IF(Pavement,VLOOKUP(IRI20B,FuelConPavAdj,2),1))*FuelAuto</f>
        <v>0</v>
      </c>
      <c r="J198" s="500">
        <f>(G198*IF(Pavement,VLOOKUP(IRI20NB,NonFuelPavAdj,2),1)-H198*IF(Pavement,VLOOKUP(IRI20B,NonFuelPavAdj,2),1))*NonFuelAuto</f>
        <v>0</v>
      </c>
      <c r="K198" s="285">
        <f t="shared" si="43"/>
        <v>0</v>
      </c>
      <c r="L198" s="323">
        <f t="shared" si="44"/>
        <v>0</v>
      </c>
    </row>
    <row r="199" spans="2:12" x14ac:dyDescent="0.25">
      <c r="B199" s="359">
        <v>19</v>
      </c>
      <c r="C199" s="360">
        <f>TREND(C179:C180,B179:B180,B199)</f>
        <v>0</v>
      </c>
      <c r="D199" s="631">
        <f>TREND(D179:D180,B179:B180,B199)</f>
        <v>0</v>
      </c>
      <c r="E199" s="634">
        <f>TREND(E179:E180,B179:B180,B199)</f>
        <v>55</v>
      </c>
      <c r="F199" s="377">
        <f>TREND(F179:F180,B179:B180,B199)</f>
        <v>55</v>
      </c>
      <c r="G199" s="339">
        <f>IF(HwyRail,TREND(G179:G180,B179:B180,B199),ImpactedNB*C199)</f>
        <v>0</v>
      </c>
      <c r="H199" s="435">
        <f>IF(HwyRail,TREND(H179:H180,B179:B180,B199),ImpactedB*D199)</f>
        <v>0</v>
      </c>
      <c r="I199" s="520">
        <f>(G199*VLOOKUP(E199,FuelCon,2)*IF(Pavement,VLOOKUP(IRI20NB,FuelConPavAdj,2),1)-H199*VLOOKUP(F199,FuelCon,2)*IF(Pavement,VLOOKUP(IRI20B,FuelConPavAdj,2),1))*FuelAuto</f>
        <v>0</v>
      </c>
      <c r="J199" s="499">
        <f>(G199*IF(Pavement,VLOOKUP(IRI20NB,NonFuelPavAdj,2),1)-H199*IF(Pavement,VLOOKUP(IRI20B,NonFuelPavAdj,2),1))*NonFuelAuto</f>
        <v>0</v>
      </c>
      <c r="K199" s="285">
        <f t="shared" si="43"/>
        <v>0</v>
      </c>
      <c r="L199" s="323">
        <f t="shared" si="44"/>
        <v>0</v>
      </c>
    </row>
    <row r="200" spans="2:12" x14ac:dyDescent="0.25">
      <c r="B200" s="357"/>
      <c r="C200" s="355"/>
      <c r="D200" s="355"/>
      <c r="E200" s="355"/>
      <c r="F200" s="355"/>
      <c r="G200" s="356"/>
      <c r="H200" s="356"/>
      <c r="I200" s="356"/>
      <c r="J200" s="356"/>
      <c r="K200" s="356"/>
      <c r="L200" s="358"/>
    </row>
    <row r="201" spans="2:12" ht="13" x14ac:dyDescent="0.25">
      <c r="B201" s="329" t="s">
        <v>172</v>
      </c>
      <c r="C201" s="330"/>
      <c r="D201" s="331"/>
      <c r="E201" s="331"/>
      <c r="F201" s="331"/>
      <c r="G201" s="331"/>
      <c r="H201" s="331"/>
      <c r="I201" s="331"/>
      <c r="J201" s="332"/>
      <c r="K201" s="341"/>
      <c r="L201" s="342">
        <f>SUM(L179:L199)</f>
        <v>0</v>
      </c>
    </row>
    <row r="204" spans="2:12" ht="13" x14ac:dyDescent="0.25">
      <c r="B204" s="350" t="s">
        <v>506</v>
      </c>
      <c r="C204" s="88"/>
      <c r="D204" s="88"/>
      <c r="E204" s="88"/>
      <c r="F204" s="88"/>
      <c r="G204" s="88"/>
      <c r="H204" s="309"/>
      <c r="I204" s="309"/>
      <c r="J204" s="88"/>
      <c r="K204" s="88"/>
      <c r="L204" s="88"/>
    </row>
    <row r="205" spans="2:12" x14ac:dyDescent="0.25">
      <c r="B205" s="88"/>
      <c r="C205" s="88"/>
      <c r="D205" s="274"/>
      <c r="E205" s="274"/>
      <c r="F205" s="274"/>
      <c r="G205" s="88"/>
      <c r="H205" s="88"/>
      <c r="I205" s="88"/>
      <c r="J205" s="88"/>
      <c r="K205" s="88"/>
      <c r="L205" s="351"/>
    </row>
    <row r="206" spans="2:12" ht="15.5" x14ac:dyDescent="0.25">
      <c r="B206" s="317"/>
      <c r="C206" s="320" t="s">
        <v>230</v>
      </c>
      <c r="D206" s="361"/>
      <c r="E206" s="320" t="s">
        <v>231</v>
      </c>
      <c r="F206" s="333"/>
      <c r="G206" s="335" t="s">
        <v>272</v>
      </c>
      <c r="H206" s="321"/>
      <c r="I206" s="437" t="s">
        <v>273</v>
      </c>
      <c r="J206" s="438"/>
      <c r="K206" s="322"/>
      <c r="L206" s="343"/>
    </row>
    <row r="207" spans="2:12" ht="14" x14ac:dyDescent="0.25">
      <c r="B207" s="318"/>
      <c r="C207" s="287" t="s">
        <v>237</v>
      </c>
      <c r="D207" s="362"/>
      <c r="E207" s="287" t="s">
        <v>238</v>
      </c>
      <c r="F207" s="334"/>
      <c r="G207" s="336" t="s">
        <v>274</v>
      </c>
      <c r="H207" s="288"/>
      <c r="I207" s="439" t="s">
        <v>275</v>
      </c>
      <c r="J207" s="440"/>
      <c r="K207" s="284"/>
      <c r="L207" s="344"/>
    </row>
    <row r="208" spans="2:12" ht="14" x14ac:dyDescent="0.25">
      <c r="B208" s="169" t="s">
        <v>135</v>
      </c>
      <c r="C208" s="316"/>
      <c r="D208" s="283"/>
      <c r="E208" s="316"/>
      <c r="F208" s="283"/>
      <c r="G208" s="316"/>
      <c r="H208" s="283"/>
      <c r="I208" s="432" t="s">
        <v>276</v>
      </c>
      <c r="J208" s="283" t="s">
        <v>277</v>
      </c>
      <c r="K208" s="286" t="s">
        <v>242</v>
      </c>
      <c r="L208" s="345" t="s">
        <v>139</v>
      </c>
    </row>
    <row r="209" spans="2:12" ht="14" x14ac:dyDescent="0.25">
      <c r="B209" s="319"/>
      <c r="C209" s="324" t="s">
        <v>0</v>
      </c>
      <c r="D209" s="325" t="s">
        <v>1</v>
      </c>
      <c r="E209" s="324" t="s">
        <v>0</v>
      </c>
      <c r="F209" s="325" t="s">
        <v>1</v>
      </c>
      <c r="G209" s="324" t="s">
        <v>0</v>
      </c>
      <c r="H209" s="325" t="s">
        <v>1</v>
      </c>
      <c r="I209" s="441" t="s">
        <v>147</v>
      </c>
      <c r="J209" s="325" t="s">
        <v>147</v>
      </c>
      <c r="K209" s="326" t="s">
        <v>148</v>
      </c>
      <c r="L209" s="346" t="s">
        <v>149</v>
      </c>
    </row>
    <row r="210" spans="2:12" x14ac:dyDescent="0.25">
      <c r="B210" s="327">
        <v>1</v>
      </c>
      <c r="C210" s="348">
        <f>NWV1NB*AnnualFactor</f>
        <v>0</v>
      </c>
      <c r="D210" s="349">
        <f>NWV1B*AnnualFactor</f>
        <v>0</v>
      </c>
      <c r="E210" s="363">
        <f>ROUND(NWS1NB,1)</f>
        <v>55</v>
      </c>
      <c r="F210" s="364">
        <f>ROUND(NWS1B,1)</f>
        <v>55</v>
      </c>
      <c r="G210" s="339">
        <f>ImpactedNB*C210</f>
        <v>0</v>
      </c>
      <c r="H210" s="434">
        <f>ImpactedB*D210</f>
        <v>0</v>
      </c>
      <c r="I210" s="515">
        <f>(G210*VLOOKUP(E210,FuelCon,2)*IF(Pavement,VLOOKUP(IRI1NB,FuelConPavAdj,2),1)-H210*VLOOKUP(F210,FuelCon,2)*IF(Pavement,VLOOKUP(IRI1B,FuelConPavAdj,2),1))*FuelAuto</f>
        <v>0</v>
      </c>
      <c r="J210" s="498">
        <f>(G210*IF(Pavement,VLOOKUP(IRI1NB,NonFuelPavAdj,2),1)-H210*IF(Pavement,VLOOKUP(IRI1B,NonFuelPavAdj,2),1))*NonFuelAuto</f>
        <v>0</v>
      </c>
      <c r="K210" s="285">
        <f>SUM($I210:$J210)</f>
        <v>0</v>
      </c>
      <c r="L210" s="323">
        <f>$K210/(1+DiscRate)^($B210+Construct-1)</f>
        <v>0</v>
      </c>
    </row>
    <row r="211" spans="2:12" x14ac:dyDescent="0.25">
      <c r="B211" s="328">
        <v>20</v>
      </c>
      <c r="C211" s="353">
        <f>NWV20NB*AnnualFactor</f>
        <v>0</v>
      </c>
      <c r="D211" s="354">
        <f>NWV20B*AnnualFactor</f>
        <v>0</v>
      </c>
      <c r="E211" s="365">
        <f>ROUND(NWS20NB,1)</f>
        <v>55</v>
      </c>
      <c r="F211" s="366">
        <f>ROUND(NWS20B,1)</f>
        <v>55</v>
      </c>
      <c r="G211" s="339">
        <f>ImpactedNB*C211</f>
        <v>0</v>
      </c>
      <c r="H211" s="435">
        <f>ImpactedB*D211</f>
        <v>0</v>
      </c>
      <c r="I211" s="520">
        <f>(G211*VLOOKUP(E211,FuelCon,2)*IF(Pavement,VLOOKUP(IRI20NB,FuelConPavAdj,2),1)-H211*VLOOKUP(F211,FuelCon,2)*IF(Pavement,VLOOKUP(IRI20B,FuelConPavAdj,2),1))*FuelAuto</f>
        <v>0</v>
      </c>
      <c r="J211" s="499">
        <f>(G211*IF(Pavement,VLOOKUP(IRI20NB,NonFuelPavAdj,2),1)-H211*IF(Pavement,VLOOKUP(IRI20B,NonFuelPavAdj,2),1))*NonFuelAuto</f>
        <v>0</v>
      </c>
      <c r="K211" s="285">
        <f>SUM($I211:$J211)</f>
        <v>0</v>
      </c>
      <c r="L211" s="323">
        <f>$K211/(1+DiscRate)^($B211+Construct-1)</f>
        <v>0</v>
      </c>
    </row>
    <row r="212" spans="2:12" x14ac:dyDescent="0.25">
      <c r="B212" s="357"/>
      <c r="C212" s="355"/>
      <c r="D212" s="355"/>
      <c r="E212" s="367"/>
      <c r="F212" s="367"/>
      <c r="G212" s="356"/>
      <c r="H212" s="356"/>
      <c r="I212" s="356"/>
      <c r="J212" s="356"/>
      <c r="K212" s="356"/>
      <c r="L212" s="358"/>
    </row>
    <row r="213" spans="2:12" x14ac:dyDescent="0.25">
      <c r="B213" s="352">
        <v>2</v>
      </c>
      <c r="C213" s="368">
        <f>TREND(C210:C211,B210:B211,B213)</f>
        <v>0</v>
      </c>
      <c r="D213" s="629">
        <f>TREND(D210:D211,B210:B211,B213)</f>
        <v>0</v>
      </c>
      <c r="E213" s="632">
        <f>TREND(E210:E211,B210:B211,B213)</f>
        <v>55</v>
      </c>
      <c r="F213" s="371">
        <f>TREND(F210:F211,B210:B211,B213)</f>
        <v>55</v>
      </c>
      <c r="G213" s="339">
        <f t="shared" ref="G213:G230" si="45">ImpactedNB*C213</f>
        <v>0</v>
      </c>
      <c r="H213" s="434">
        <f t="shared" ref="H213:H230" si="46">ImpactedB*D213</f>
        <v>0</v>
      </c>
      <c r="I213" s="515">
        <f t="shared" ref="I213:I226" si="47">(G213*VLOOKUP(E213,FuelCon,2)*IF(Pavement,VLOOKUP(IRI1NB,FuelConPavAdj,2),1)-H213*VLOOKUP(F213,FuelCon,2)*IF(Pavement,VLOOKUP(IRI1B,FuelConPavAdj,2),1))*FuelAuto</f>
        <v>0</v>
      </c>
      <c r="J213" s="498">
        <f t="shared" ref="J213:J226" si="48">(G213*IF(Pavement,VLOOKUP(IRI1NB,NonFuelPavAdj,2),1)-H213*IF(Pavement,VLOOKUP(IRI1B,NonFuelPavAdj,2),1))*NonFuelAuto</f>
        <v>0</v>
      </c>
      <c r="K213" s="285">
        <f t="shared" ref="K213:K230" si="49">SUM($I213:$J213)</f>
        <v>0</v>
      </c>
      <c r="L213" s="323">
        <f t="shared" ref="L213:L230" si="50">$K213/(1+DiscRate)^($B213+Construct-1)</f>
        <v>0</v>
      </c>
    </row>
    <row r="214" spans="2:12" x14ac:dyDescent="0.25">
      <c r="B214" s="327">
        <v>3</v>
      </c>
      <c r="C214" s="347">
        <f>TREND(C210:C211,B210:B211,B214)</f>
        <v>0</v>
      </c>
      <c r="D214" s="630">
        <f>TREND(D210:D211,B210:B211,B214)</f>
        <v>0</v>
      </c>
      <c r="E214" s="633">
        <f>TREND(E210:E211,B210:B211,B214)</f>
        <v>55</v>
      </c>
      <c r="F214" s="374">
        <f>TREND(F210:F211,B210:B211,B214)</f>
        <v>55</v>
      </c>
      <c r="G214" s="339">
        <f t="shared" si="45"/>
        <v>0</v>
      </c>
      <c r="H214" s="436">
        <f t="shared" si="46"/>
        <v>0</v>
      </c>
      <c r="I214" s="521">
        <f t="shared" si="47"/>
        <v>0</v>
      </c>
      <c r="J214" s="500">
        <f t="shared" si="48"/>
        <v>0</v>
      </c>
      <c r="K214" s="285">
        <f t="shared" si="49"/>
        <v>0</v>
      </c>
      <c r="L214" s="323">
        <f t="shared" si="50"/>
        <v>0</v>
      </c>
    </row>
    <row r="215" spans="2:12" x14ac:dyDescent="0.25">
      <c r="B215" s="327">
        <v>4</v>
      </c>
      <c r="C215" s="347">
        <f>TREND(C210:C211,B210:B211,B215)</f>
        <v>0</v>
      </c>
      <c r="D215" s="630">
        <f>TREND(D210:D211,B210:B211,B215)</f>
        <v>0</v>
      </c>
      <c r="E215" s="633">
        <f>TREND(E210:E211,B210:B211,B215)</f>
        <v>55</v>
      </c>
      <c r="F215" s="374">
        <f>TREND(F210:F211,B210:B211,B215)</f>
        <v>55</v>
      </c>
      <c r="G215" s="339">
        <f t="shared" si="45"/>
        <v>0</v>
      </c>
      <c r="H215" s="436">
        <f t="shared" si="46"/>
        <v>0</v>
      </c>
      <c r="I215" s="521">
        <f t="shared" si="47"/>
        <v>0</v>
      </c>
      <c r="J215" s="500">
        <f t="shared" si="48"/>
        <v>0</v>
      </c>
      <c r="K215" s="285">
        <f t="shared" si="49"/>
        <v>0</v>
      </c>
      <c r="L215" s="323">
        <f t="shared" si="50"/>
        <v>0</v>
      </c>
    </row>
    <row r="216" spans="2:12" x14ac:dyDescent="0.25">
      <c r="B216" s="327">
        <v>5</v>
      </c>
      <c r="C216" s="347">
        <f>TREND(C210:C211,B210:B211,B216)</f>
        <v>0</v>
      </c>
      <c r="D216" s="630">
        <f>TREND(D210:D211,B210:B211,B216)</f>
        <v>0</v>
      </c>
      <c r="E216" s="633">
        <f>TREND(E210:E211,B210:B211,B216)</f>
        <v>55</v>
      </c>
      <c r="F216" s="374">
        <f>TREND(F210:F211,B210:B211,B216)</f>
        <v>55</v>
      </c>
      <c r="G216" s="339">
        <f t="shared" si="45"/>
        <v>0</v>
      </c>
      <c r="H216" s="436">
        <f t="shared" si="46"/>
        <v>0</v>
      </c>
      <c r="I216" s="521">
        <f t="shared" si="47"/>
        <v>0</v>
      </c>
      <c r="J216" s="500">
        <f t="shared" si="48"/>
        <v>0</v>
      </c>
      <c r="K216" s="285">
        <f t="shared" si="49"/>
        <v>0</v>
      </c>
      <c r="L216" s="323">
        <f t="shared" si="50"/>
        <v>0</v>
      </c>
    </row>
    <row r="217" spans="2:12" x14ac:dyDescent="0.25">
      <c r="B217" s="327">
        <v>6</v>
      </c>
      <c r="C217" s="347">
        <f>TREND(C210:C211,B210:B211,B217)</f>
        <v>0</v>
      </c>
      <c r="D217" s="630">
        <f>TREND(D210:D211,B210:B211,B217)</f>
        <v>0</v>
      </c>
      <c r="E217" s="633">
        <f>TREND(E210:E211,B210:B211,B217)</f>
        <v>55</v>
      </c>
      <c r="F217" s="374">
        <f>TREND(F210:F211,B210:B211,B217)</f>
        <v>55</v>
      </c>
      <c r="G217" s="339">
        <f t="shared" si="45"/>
        <v>0</v>
      </c>
      <c r="H217" s="436">
        <f t="shared" si="46"/>
        <v>0</v>
      </c>
      <c r="I217" s="521">
        <f t="shared" si="47"/>
        <v>0</v>
      </c>
      <c r="J217" s="500">
        <f t="shared" si="48"/>
        <v>0</v>
      </c>
      <c r="K217" s="285">
        <f t="shared" si="49"/>
        <v>0</v>
      </c>
      <c r="L217" s="323">
        <f t="shared" si="50"/>
        <v>0</v>
      </c>
    </row>
    <row r="218" spans="2:12" x14ac:dyDescent="0.25">
      <c r="B218" s="327">
        <v>7</v>
      </c>
      <c r="C218" s="347">
        <f>TREND(C210:C211,B210:B211,B218)</f>
        <v>0</v>
      </c>
      <c r="D218" s="630">
        <f>TREND(D210:D211,B210:B211,B218)</f>
        <v>0</v>
      </c>
      <c r="E218" s="633">
        <f>TREND(E210:E211,B210:B211,B218)</f>
        <v>55</v>
      </c>
      <c r="F218" s="374">
        <f>TREND(F210:F211,B210:B211,B218)</f>
        <v>55</v>
      </c>
      <c r="G218" s="339">
        <f t="shared" si="45"/>
        <v>0</v>
      </c>
      <c r="H218" s="436">
        <f t="shared" si="46"/>
        <v>0</v>
      </c>
      <c r="I218" s="521">
        <f t="shared" si="47"/>
        <v>0</v>
      </c>
      <c r="J218" s="500">
        <f t="shared" si="48"/>
        <v>0</v>
      </c>
      <c r="K218" s="285">
        <f t="shared" si="49"/>
        <v>0</v>
      </c>
      <c r="L218" s="323">
        <f t="shared" si="50"/>
        <v>0</v>
      </c>
    </row>
    <row r="219" spans="2:12" x14ac:dyDescent="0.25">
      <c r="B219" s="327">
        <v>8</v>
      </c>
      <c r="C219" s="347">
        <f>TREND(C210:C211,B210:B211,B219)</f>
        <v>0</v>
      </c>
      <c r="D219" s="630">
        <f>TREND(D210:D211,B210:B211,B219)</f>
        <v>0</v>
      </c>
      <c r="E219" s="633">
        <f>TREND(E210:E211,B210:B211,B219)</f>
        <v>55</v>
      </c>
      <c r="F219" s="374">
        <f>TREND(F210:F211,B210:B211,B219)</f>
        <v>55</v>
      </c>
      <c r="G219" s="339">
        <f t="shared" si="45"/>
        <v>0</v>
      </c>
      <c r="H219" s="436">
        <f t="shared" si="46"/>
        <v>0</v>
      </c>
      <c r="I219" s="521">
        <f t="shared" si="47"/>
        <v>0</v>
      </c>
      <c r="J219" s="500">
        <f t="shared" si="48"/>
        <v>0</v>
      </c>
      <c r="K219" s="285">
        <f t="shared" si="49"/>
        <v>0</v>
      </c>
      <c r="L219" s="323">
        <f t="shared" si="50"/>
        <v>0</v>
      </c>
    </row>
    <row r="220" spans="2:12" x14ac:dyDescent="0.25">
      <c r="B220" s="327">
        <v>9</v>
      </c>
      <c r="C220" s="347">
        <f>TREND(C210:C211,B210:B211,B220)</f>
        <v>0</v>
      </c>
      <c r="D220" s="630">
        <f>TREND(D210:D211,B210:B211,B220)</f>
        <v>0</v>
      </c>
      <c r="E220" s="633">
        <f>TREND(E210:E211,B210:B211,B220)</f>
        <v>55</v>
      </c>
      <c r="F220" s="374">
        <f>TREND(F210:F211,B210:B211,B220)</f>
        <v>55</v>
      </c>
      <c r="G220" s="339">
        <f t="shared" si="45"/>
        <v>0</v>
      </c>
      <c r="H220" s="436">
        <f t="shared" si="46"/>
        <v>0</v>
      </c>
      <c r="I220" s="521">
        <f t="shared" si="47"/>
        <v>0</v>
      </c>
      <c r="J220" s="500">
        <f t="shared" si="48"/>
        <v>0</v>
      </c>
      <c r="K220" s="285">
        <f t="shared" si="49"/>
        <v>0</v>
      </c>
      <c r="L220" s="323">
        <f t="shared" si="50"/>
        <v>0</v>
      </c>
    </row>
    <row r="221" spans="2:12" x14ac:dyDescent="0.25">
      <c r="B221" s="327">
        <v>10</v>
      </c>
      <c r="C221" s="347">
        <f>TREND(C210:C211,B210:B211,B221)</f>
        <v>0</v>
      </c>
      <c r="D221" s="630">
        <f>TREND(D210:D211,B210:B211,B221)</f>
        <v>0</v>
      </c>
      <c r="E221" s="633">
        <f>TREND(E210:E211,B210:B211,B221)</f>
        <v>55</v>
      </c>
      <c r="F221" s="374">
        <f>TREND(F210:F211,B210:B211,B221)</f>
        <v>55</v>
      </c>
      <c r="G221" s="339">
        <f t="shared" si="45"/>
        <v>0</v>
      </c>
      <c r="H221" s="436">
        <f t="shared" si="46"/>
        <v>0</v>
      </c>
      <c r="I221" s="521">
        <f t="shared" si="47"/>
        <v>0</v>
      </c>
      <c r="J221" s="500">
        <f t="shared" si="48"/>
        <v>0</v>
      </c>
      <c r="K221" s="285">
        <f t="shared" si="49"/>
        <v>0</v>
      </c>
      <c r="L221" s="323">
        <f t="shared" si="50"/>
        <v>0</v>
      </c>
    </row>
    <row r="222" spans="2:12" x14ac:dyDescent="0.25">
      <c r="B222" s="327">
        <v>11</v>
      </c>
      <c r="C222" s="347">
        <f>TREND(C210:C211,B210:B211,B222)</f>
        <v>0</v>
      </c>
      <c r="D222" s="630">
        <f>TREND(D210:D211,B210:B211,B222)</f>
        <v>0</v>
      </c>
      <c r="E222" s="633">
        <f>TREND(E210:E211,B210:B211,B222)</f>
        <v>55</v>
      </c>
      <c r="F222" s="374">
        <f>TREND(F210:F211,B210:B211,B222)</f>
        <v>55</v>
      </c>
      <c r="G222" s="339">
        <f t="shared" si="45"/>
        <v>0</v>
      </c>
      <c r="H222" s="436">
        <f t="shared" si="46"/>
        <v>0</v>
      </c>
      <c r="I222" s="521">
        <f t="shared" si="47"/>
        <v>0</v>
      </c>
      <c r="J222" s="500">
        <f t="shared" si="48"/>
        <v>0</v>
      </c>
      <c r="K222" s="285">
        <f t="shared" si="49"/>
        <v>0</v>
      </c>
      <c r="L222" s="323">
        <f t="shared" si="50"/>
        <v>0</v>
      </c>
    </row>
    <row r="223" spans="2:12" x14ac:dyDescent="0.25">
      <c r="B223" s="327">
        <v>12</v>
      </c>
      <c r="C223" s="347">
        <f>TREND(C210:C211,B210:B211,B223)</f>
        <v>0</v>
      </c>
      <c r="D223" s="630">
        <f>TREND(D210:D211,B210:B211,B223)</f>
        <v>0</v>
      </c>
      <c r="E223" s="633">
        <f>TREND(E210:E211,B210:B211,B223)</f>
        <v>55</v>
      </c>
      <c r="F223" s="374">
        <f>TREND(F210:F211,B210:B211,B223)</f>
        <v>55</v>
      </c>
      <c r="G223" s="339">
        <f t="shared" si="45"/>
        <v>0</v>
      </c>
      <c r="H223" s="436">
        <f t="shared" si="46"/>
        <v>0</v>
      </c>
      <c r="I223" s="521">
        <f t="shared" si="47"/>
        <v>0</v>
      </c>
      <c r="J223" s="500">
        <f t="shared" si="48"/>
        <v>0</v>
      </c>
      <c r="K223" s="285">
        <f t="shared" si="49"/>
        <v>0</v>
      </c>
      <c r="L223" s="323">
        <f t="shared" si="50"/>
        <v>0</v>
      </c>
    </row>
    <row r="224" spans="2:12" x14ac:dyDescent="0.25">
      <c r="B224" s="327">
        <v>13</v>
      </c>
      <c r="C224" s="347">
        <f>TREND(C210:C211,B210:B211,B224)</f>
        <v>0</v>
      </c>
      <c r="D224" s="630">
        <f>TREND(D210:D211,B210:B211,B224)</f>
        <v>0</v>
      </c>
      <c r="E224" s="633">
        <f>TREND(E210:E211,B210:B211,B224)</f>
        <v>55</v>
      </c>
      <c r="F224" s="374">
        <f>TREND(F210:F211,B210:B211,B224)</f>
        <v>55</v>
      </c>
      <c r="G224" s="339">
        <f t="shared" si="45"/>
        <v>0</v>
      </c>
      <c r="H224" s="436">
        <f t="shared" si="46"/>
        <v>0</v>
      </c>
      <c r="I224" s="521">
        <f t="shared" si="47"/>
        <v>0</v>
      </c>
      <c r="J224" s="500">
        <f t="shared" si="48"/>
        <v>0</v>
      </c>
      <c r="K224" s="285">
        <f t="shared" si="49"/>
        <v>0</v>
      </c>
      <c r="L224" s="323">
        <f t="shared" si="50"/>
        <v>0</v>
      </c>
    </row>
    <row r="225" spans="2:12" x14ac:dyDescent="0.25">
      <c r="B225" s="327">
        <v>14</v>
      </c>
      <c r="C225" s="347">
        <f>TREND(C210:C211,B210:B211,B225)</f>
        <v>0</v>
      </c>
      <c r="D225" s="630">
        <f>TREND(D210:D211,B210:B211,B225)</f>
        <v>0</v>
      </c>
      <c r="E225" s="633">
        <f>TREND(E210:E211,B210:B211,B225)</f>
        <v>55</v>
      </c>
      <c r="F225" s="374">
        <f>TREND(F210:F211,B210:B211,B225)</f>
        <v>55</v>
      </c>
      <c r="G225" s="339">
        <f t="shared" si="45"/>
        <v>0</v>
      </c>
      <c r="H225" s="436">
        <f t="shared" si="46"/>
        <v>0</v>
      </c>
      <c r="I225" s="521">
        <f t="shared" si="47"/>
        <v>0</v>
      </c>
      <c r="J225" s="500">
        <f t="shared" si="48"/>
        <v>0</v>
      </c>
      <c r="K225" s="285">
        <f t="shared" si="49"/>
        <v>0</v>
      </c>
      <c r="L225" s="323">
        <f t="shared" si="50"/>
        <v>0</v>
      </c>
    </row>
    <row r="226" spans="2:12" x14ac:dyDescent="0.25">
      <c r="B226" s="327">
        <v>15</v>
      </c>
      <c r="C226" s="347">
        <f>TREND(C210:C211,B210:B211,B226)</f>
        <v>0</v>
      </c>
      <c r="D226" s="630">
        <f>TREND(D210:D211,B210:B211,B226)</f>
        <v>0</v>
      </c>
      <c r="E226" s="633">
        <f>TREND(E210:E211,B210:B211,B226)</f>
        <v>55</v>
      </c>
      <c r="F226" s="374">
        <f>TREND(F210:F211,B210:B211,B226)</f>
        <v>55</v>
      </c>
      <c r="G226" s="339">
        <f t="shared" si="45"/>
        <v>0</v>
      </c>
      <c r="H226" s="436">
        <f t="shared" si="46"/>
        <v>0</v>
      </c>
      <c r="I226" s="521">
        <f t="shared" si="47"/>
        <v>0</v>
      </c>
      <c r="J226" s="500">
        <f t="shared" si="48"/>
        <v>0</v>
      </c>
      <c r="K226" s="285">
        <f t="shared" si="49"/>
        <v>0</v>
      </c>
      <c r="L226" s="323">
        <f t="shared" si="50"/>
        <v>0</v>
      </c>
    </row>
    <row r="227" spans="2:12" x14ac:dyDescent="0.25">
      <c r="B227" s="327">
        <v>16</v>
      </c>
      <c r="C227" s="347">
        <f>TREND(C210:C211,B210:B211,B227)</f>
        <v>0</v>
      </c>
      <c r="D227" s="630">
        <f>TREND(D210:D211,B210:B211,B227)</f>
        <v>0</v>
      </c>
      <c r="E227" s="633">
        <f>TREND(E210:E211,B210:B211,B227)</f>
        <v>55</v>
      </c>
      <c r="F227" s="374">
        <f>TREND(F210:F211,B210:B211,B227)</f>
        <v>55</v>
      </c>
      <c r="G227" s="339">
        <f t="shared" si="45"/>
        <v>0</v>
      </c>
      <c r="H227" s="436">
        <f t="shared" si="46"/>
        <v>0</v>
      </c>
      <c r="I227" s="521">
        <f>(G227*VLOOKUP(E227,FuelCon,2)*IF(Pavement,VLOOKUP(IRI20NB,FuelConPavAdj,2),1)-H227*VLOOKUP(F227,FuelCon,2)*IF(Pavement,VLOOKUP(IRI20B,FuelConPavAdj,2),1))*FuelAuto</f>
        <v>0</v>
      </c>
      <c r="J227" s="500">
        <f>(G227*IF(Pavement,VLOOKUP(IRI20NB,NonFuelPavAdj,2),1)-H227*IF(Pavement,VLOOKUP(IRI20B,NonFuelPavAdj,2),1))*NonFuelAuto</f>
        <v>0</v>
      </c>
      <c r="K227" s="285">
        <f t="shared" si="49"/>
        <v>0</v>
      </c>
      <c r="L227" s="323">
        <f t="shared" si="50"/>
        <v>0</v>
      </c>
    </row>
    <row r="228" spans="2:12" x14ac:dyDescent="0.25">
      <c r="B228" s="327">
        <v>17</v>
      </c>
      <c r="C228" s="347">
        <f>TREND(C210:C211,B210:B211,B228)</f>
        <v>0</v>
      </c>
      <c r="D228" s="630">
        <f>TREND(D210:D211,B210:B211,B228)</f>
        <v>0</v>
      </c>
      <c r="E228" s="633">
        <f>TREND(E210:E211,B210:B211,B228)</f>
        <v>55</v>
      </c>
      <c r="F228" s="374">
        <f>TREND(F210:F211,B210:B211,B228)</f>
        <v>55</v>
      </c>
      <c r="G228" s="339">
        <f t="shared" si="45"/>
        <v>0</v>
      </c>
      <c r="H228" s="436">
        <f t="shared" si="46"/>
        <v>0</v>
      </c>
      <c r="I228" s="521">
        <f>(G228*VLOOKUP(E228,FuelCon,2)*IF(Pavement,VLOOKUP(IRI20NB,FuelConPavAdj,2),1)-H228*VLOOKUP(F228,FuelCon,2)*IF(Pavement,VLOOKUP(IRI20B,FuelConPavAdj,2),1))*FuelAuto</f>
        <v>0</v>
      </c>
      <c r="J228" s="500">
        <f>(G228*IF(Pavement,VLOOKUP(IRI20NB,NonFuelPavAdj,2),1)-H228*IF(Pavement,VLOOKUP(IRI20B,NonFuelPavAdj,2),1))*NonFuelAuto</f>
        <v>0</v>
      </c>
      <c r="K228" s="285">
        <f t="shared" si="49"/>
        <v>0</v>
      </c>
      <c r="L228" s="323">
        <f t="shared" si="50"/>
        <v>0</v>
      </c>
    </row>
    <row r="229" spans="2:12" x14ac:dyDescent="0.25">
      <c r="B229" s="327">
        <v>18</v>
      </c>
      <c r="C229" s="347">
        <f>TREND(C210:C211,B210:B211,B229)</f>
        <v>0</v>
      </c>
      <c r="D229" s="630">
        <f>TREND(D210:D211,B210:B211,B229)</f>
        <v>0</v>
      </c>
      <c r="E229" s="633">
        <f>TREND(E210:E211,B210:B211,B229)</f>
        <v>55</v>
      </c>
      <c r="F229" s="374">
        <f>TREND(F210:F211,B210:B211,B229)</f>
        <v>55</v>
      </c>
      <c r="G229" s="339">
        <f t="shared" si="45"/>
        <v>0</v>
      </c>
      <c r="H229" s="436">
        <f t="shared" si="46"/>
        <v>0</v>
      </c>
      <c r="I229" s="521">
        <f>(G229*VLOOKUP(E229,FuelCon,2)*IF(Pavement,VLOOKUP(IRI20NB,FuelConPavAdj,2),1)-H229*VLOOKUP(F229,FuelCon,2)*IF(Pavement,VLOOKUP(IRI20B,FuelConPavAdj,2),1))*FuelAuto</f>
        <v>0</v>
      </c>
      <c r="J229" s="500">
        <f>(G229*IF(Pavement,VLOOKUP(IRI20NB,NonFuelPavAdj,2),1)-H229*IF(Pavement,VLOOKUP(IRI20B,NonFuelPavAdj,2),1))*NonFuelAuto</f>
        <v>0</v>
      </c>
      <c r="K229" s="285">
        <f t="shared" si="49"/>
        <v>0</v>
      </c>
      <c r="L229" s="323">
        <f t="shared" si="50"/>
        <v>0</v>
      </c>
    </row>
    <row r="230" spans="2:12" x14ac:dyDescent="0.25">
      <c r="B230" s="359">
        <v>19</v>
      </c>
      <c r="C230" s="360">
        <f>TREND(C210:C211,B210:B211,B230)</f>
        <v>0</v>
      </c>
      <c r="D230" s="631">
        <f>TREND(D210:D211,B210:B211,B230)</f>
        <v>0</v>
      </c>
      <c r="E230" s="634">
        <f>TREND(E210:E211,B210:B211,B230)</f>
        <v>55</v>
      </c>
      <c r="F230" s="377">
        <f>TREND(F210:F211,B210:B211,B230)</f>
        <v>55</v>
      </c>
      <c r="G230" s="339">
        <f t="shared" si="45"/>
        <v>0</v>
      </c>
      <c r="H230" s="435">
        <f t="shared" si="46"/>
        <v>0</v>
      </c>
      <c r="I230" s="520">
        <f>(G230*VLOOKUP(E230,FuelCon,2)*IF(Pavement,VLOOKUP(IRI20NB,FuelConPavAdj,2),1)-H230*VLOOKUP(F230,FuelCon,2)*IF(Pavement,VLOOKUP(IRI20B,FuelConPavAdj,2),1))*FuelAuto</f>
        <v>0</v>
      </c>
      <c r="J230" s="499">
        <f>(G230*IF(Pavement,VLOOKUP(IRI20NB,NonFuelPavAdj,2),1)-H230*IF(Pavement,VLOOKUP(IRI20B,NonFuelPavAdj,2),1))*NonFuelAuto</f>
        <v>0</v>
      </c>
      <c r="K230" s="285">
        <f t="shared" si="49"/>
        <v>0</v>
      </c>
      <c r="L230" s="323">
        <f t="shared" si="50"/>
        <v>0</v>
      </c>
    </row>
    <row r="231" spans="2:12" x14ac:dyDescent="0.25">
      <c r="B231" s="357"/>
      <c r="C231" s="355"/>
      <c r="D231" s="355"/>
      <c r="E231" s="355"/>
      <c r="F231" s="355"/>
      <c r="G231" s="356"/>
      <c r="H231" s="356"/>
      <c r="I231" s="356"/>
      <c r="J231" s="356"/>
      <c r="K231" s="356"/>
      <c r="L231" s="358"/>
    </row>
    <row r="232" spans="2:12" ht="13" x14ac:dyDescent="0.25">
      <c r="B232" s="329" t="s">
        <v>172</v>
      </c>
      <c r="C232" s="330"/>
      <c r="D232" s="331"/>
      <c r="E232" s="331"/>
      <c r="F232" s="331"/>
      <c r="G232" s="331"/>
      <c r="H232" s="331"/>
      <c r="I232" s="331"/>
      <c r="J232" s="332"/>
      <c r="K232" s="341"/>
      <c r="L232" s="342">
        <f>SUM(L210:L230)</f>
        <v>0</v>
      </c>
    </row>
    <row r="235" spans="2:12" ht="13" x14ac:dyDescent="0.25">
      <c r="B235" s="350" t="s">
        <v>255</v>
      </c>
      <c r="C235" s="88"/>
      <c r="D235" s="88"/>
      <c r="E235" s="88"/>
      <c r="F235" s="88"/>
      <c r="G235" s="88"/>
      <c r="H235" s="309"/>
      <c r="I235" s="309"/>
      <c r="J235" s="88"/>
      <c r="K235" s="88"/>
      <c r="L235" s="88"/>
    </row>
    <row r="236" spans="2:12" x14ac:dyDescent="0.25">
      <c r="B236" s="88"/>
      <c r="C236" s="88"/>
      <c r="D236" s="274"/>
      <c r="E236" s="274"/>
      <c r="F236" s="274"/>
      <c r="G236" s="88"/>
      <c r="H236" s="88"/>
      <c r="I236" s="88"/>
      <c r="J236" s="88"/>
      <c r="K236" s="88"/>
      <c r="L236" s="351"/>
    </row>
    <row r="237" spans="2:12" ht="15.5" x14ac:dyDescent="0.25">
      <c r="B237" s="317"/>
      <c r="C237" s="320" t="s">
        <v>230</v>
      </c>
      <c r="D237" s="361"/>
      <c r="E237" s="320" t="s">
        <v>231</v>
      </c>
      <c r="F237" s="333"/>
      <c r="G237" s="335" t="s">
        <v>272</v>
      </c>
      <c r="H237" s="321"/>
      <c r="I237" s="437" t="s">
        <v>273</v>
      </c>
      <c r="J237" s="438"/>
      <c r="K237" s="322"/>
      <c r="L237" s="343"/>
    </row>
    <row r="238" spans="2:12" ht="14" x14ac:dyDescent="0.25">
      <c r="B238" s="318"/>
      <c r="C238" s="287" t="s">
        <v>237</v>
      </c>
      <c r="D238" s="362"/>
      <c r="E238" s="287" t="s">
        <v>238</v>
      </c>
      <c r="F238" s="334"/>
      <c r="G238" s="336" t="s">
        <v>274</v>
      </c>
      <c r="H238" s="288"/>
      <c r="I238" s="439" t="s">
        <v>275</v>
      </c>
      <c r="J238" s="440"/>
      <c r="K238" s="284"/>
      <c r="L238" s="344"/>
    </row>
    <row r="239" spans="2:12" ht="14" x14ac:dyDescent="0.25">
      <c r="B239" s="169" t="s">
        <v>135</v>
      </c>
      <c r="C239" s="316"/>
      <c r="D239" s="283"/>
      <c r="E239" s="316"/>
      <c r="F239" s="283"/>
      <c r="G239" s="316"/>
      <c r="H239" s="283"/>
      <c r="I239" s="432" t="s">
        <v>276</v>
      </c>
      <c r="J239" s="283" t="s">
        <v>277</v>
      </c>
      <c r="K239" s="286" t="s">
        <v>242</v>
      </c>
      <c r="L239" s="345" t="s">
        <v>139</v>
      </c>
    </row>
    <row r="240" spans="2:12" ht="14" x14ac:dyDescent="0.25">
      <c r="B240" s="319"/>
      <c r="C240" s="324" t="s">
        <v>0</v>
      </c>
      <c r="D240" s="325" t="s">
        <v>1</v>
      </c>
      <c r="E240" s="324" t="s">
        <v>0</v>
      </c>
      <c r="F240" s="325" t="s">
        <v>1</v>
      </c>
      <c r="G240" s="324" t="s">
        <v>0</v>
      </c>
      <c r="H240" s="325" t="s">
        <v>1</v>
      </c>
      <c r="I240" s="441" t="s">
        <v>147</v>
      </c>
      <c r="J240" s="325" t="s">
        <v>147</v>
      </c>
      <c r="K240" s="326" t="s">
        <v>148</v>
      </c>
      <c r="L240" s="346" t="s">
        <v>149</v>
      </c>
    </row>
    <row r="241" spans="2:12" x14ac:dyDescent="0.25">
      <c r="B241" s="327">
        <v>1</v>
      </c>
      <c r="C241" s="348">
        <f>NTV1NB*AnnualFactor</f>
        <v>0</v>
      </c>
      <c r="D241" s="349">
        <f>NTV1B*AnnualFactor</f>
        <v>0</v>
      </c>
      <c r="E241" s="363">
        <f>ROUND(NTS1NB,1)</f>
        <v>55</v>
      </c>
      <c r="F241" s="364">
        <f>ROUND(NTS1B,1)</f>
        <v>55</v>
      </c>
      <c r="G241" s="339">
        <f>IF(HwyRail,(IdleSpeed/60)*(GateTime1/2)*C241,ImpactedNB*C241)</f>
        <v>0</v>
      </c>
      <c r="H241" s="434">
        <f>IF(HwyRail,(IdleSpeed/60)*(GateTime1/2)*D241,ImpactedB*D241)</f>
        <v>0</v>
      </c>
      <c r="I241" s="515">
        <f>(G241*VLOOKUP(E241,FuelCon,3)*IF(Pavement,VLOOKUP(IRI1NB,FuelConPavAdj,3),1)-H241*VLOOKUP(F241,FuelCon,3)*IF(Pavement,VLOOKUP(IRI1B,FuelConPavAdj,3),1))*FuelTruck</f>
        <v>0</v>
      </c>
      <c r="J241" s="498">
        <f>(G241*IF(Pavement,VLOOKUP(IRI1NB,NonFuelPavAdj,3),1)-H241*IF(Pavement,VLOOKUP(IRI1B,NonFuelPavAdj,3),1))*NonFuelTruck</f>
        <v>0</v>
      </c>
      <c r="K241" s="285">
        <f>SUM($I241:$J241)</f>
        <v>0</v>
      </c>
      <c r="L241" s="323">
        <f>$K241/(1+DiscRate)^($B241+Construct-1)</f>
        <v>0</v>
      </c>
    </row>
    <row r="242" spans="2:12" x14ac:dyDescent="0.25">
      <c r="B242" s="328">
        <v>20</v>
      </c>
      <c r="C242" s="353">
        <f>NTV20NB*AnnualFactor</f>
        <v>0</v>
      </c>
      <c r="D242" s="354">
        <f>NTV20B*AnnualFactor</f>
        <v>0</v>
      </c>
      <c r="E242" s="365">
        <f>ROUND(NTS20NB,1)</f>
        <v>55</v>
      </c>
      <c r="F242" s="366">
        <f>ROUND(NTS20B,1)</f>
        <v>55</v>
      </c>
      <c r="G242" s="339">
        <f>IF(HwyRail,(IdleSpeed/60)*(GateTime20/2)*C242,ImpactedNB*C242)</f>
        <v>0</v>
      </c>
      <c r="H242" s="435">
        <f>IF(HwyRail,(IdleSpeed/60)*(GateTime20/2)*D242,ImpactedB*D242)</f>
        <v>0</v>
      </c>
      <c r="I242" s="520">
        <f>(G242*VLOOKUP(E242,FuelCon,3)*IF(Pavement,VLOOKUP(IRI20NB,FuelConPavAdj,3),1)-H242*VLOOKUP(F242,FuelCon,3)*IF(Pavement,VLOOKUP(IRI20B,FuelConPavAdj,3),1))*FuelTruck</f>
        <v>0</v>
      </c>
      <c r="J242" s="499">
        <f>(G242*IF(Pavement,VLOOKUP(IRI20NB,NonFuelPavAdj,3),1)-H242*IF(Pavement,VLOOKUP(IRI20B,NonFuelPavAdj,3),1))*NonFuelTruck</f>
        <v>0</v>
      </c>
      <c r="K242" s="285">
        <f>SUM($I242:$J242)</f>
        <v>0</v>
      </c>
      <c r="L242" s="323">
        <f>$K242/(1+DiscRate)^($B242+Construct-1)</f>
        <v>0</v>
      </c>
    </row>
    <row r="243" spans="2:12" x14ac:dyDescent="0.25">
      <c r="B243" s="357"/>
      <c r="C243" s="355"/>
      <c r="D243" s="355"/>
      <c r="E243" s="367"/>
      <c r="F243" s="367"/>
      <c r="G243" s="356"/>
      <c r="H243" s="356"/>
      <c r="I243" s="356"/>
      <c r="J243" s="356"/>
      <c r="K243" s="356"/>
      <c r="L243" s="358"/>
    </row>
    <row r="244" spans="2:12" x14ac:dyDescent="0.25">
      <c r="B244" s="352">
        <v>2</v>
      </c>
      <c r="C244" s="368">
        <f>TREND(C241:C242,B241:B242,B244)</f>
        <v>0</v>
      </c>
      <c r="D244" s="629">
        <f>TREND(D241:D242,B241:B242,B244)</f>
        <v>0</v>
      </c>
      <c r="E244" s="632">
        <f>TREND(E241:E242,B241:B242,B244)</f>
        <v>55</v>
      </c>
      <c r="F244" s="371">
        <f>TREND(F241:F242,B241:B242,B244)</f>
        <v>55</v>
      </c>
      <c r="G244" s="339">
        <f>IF(HwyRail,TREND(G241:G242,B241:B242,B244),ImpactedNB*C244)</f>
        <v>0</v>
      </c>
      <c r="H244" s="434">
        <f>IF(HwyRail,TREND(H241:H242,B241:B242,B244),ImpactedB*D244)</f>
        <v>0</v>
      </c>
      <c r="I244" s="515">
        <f t="shared" ref="I244:I257" si="51">(G244*VLOOKUP(E244,FuelCon,3)*IF(Pavement,VLOOKUP(IRI1NB,FuelConPavAdj,3),1)-H244*VLOOKUP(F244,FuelCon,3)*IF(Pavement,VLOOKUP(IRI1B,FuelConPavAdj,3),1))*FuelTruck</f>
        <v>0</v>
      </c>
      <c r="J244" s="498">
        <f t="shared" ref="J244:J257" si="52">(G244*IF(Pavement,VLOOKUP(IRI1NB,NonFuelPavAdj,3),1)-H244*IF(Pavement,VLOOKUP(IRI1B,NonFuelPavAdj,3),1))*NonFuelTruck</f>
        <v>0</v>
      </c>
      <c r="K244" s="285">
        <f t="shared" ref="K244:K261" si="53">SUM($I244:$J244)</f>
        <v>0</v>
      </c>
      <c r="L244" s="323">
        <f t="shared" ref="L244:L261" si="54">$K244/(1+DiscRate)^($B244+Construct-1)</f>
        <v>0</v>
      </c>
    </row>
    <row r="245" spans="2:12" x14ac:dyDescent="0.25">
      <c r="B245" s="327">
        <v>3</v>
      </c>
      <c r="C245" s="347">
        <f>TREND(C241:C242,B241:B242,B245)</f>
        <v>0</v>
      </c>
      <c r="D245" s="630">
        <f>TREND(D241:D242,B241:B242,B245)</f>
        <v>0</v>
      </c>
      <c r="E245" s="633">
        <f>TREND(E241:E242,B241:B242,B245)</f>
        <v>55</v>
      </c>
      <c r="F245" s="374">
        <f>TREND(F241:F242,B241:B242,B245)</f>
        <v>55</v>
      </c>
      <c r="G245" s="339">
        <f>IF(HwyRail,TREND(G241:G242,B241:B242,B245),ImpactedNB*C245)</f>
        <v>0</v>
      </c>
      <c r="H245" s="436">
        <f>IF(HwyRail,TREND(H241:H242,B241:B242,B245),ImpactedB*D245)</f>
        <v>0</v>
      </c>
      <c r="I245" s="521">
        <f t="shared" si="51"/>
        <v>0</v>
      </c>
      <c r="J245" s="500">
        <f t="shared" si="52"/>
        <v>0</v>
      </c>
      <c r="K245" s="285">
        <f t="shared" si="53"/>
        <v>0</v>
      </c>
      <c r="L245" s="323">
        <f t="shared" si="54"/>
        <v>0</v>
      </c>
    </row>
    <row r="246" spans="2:12" x14ac:dyDescent="0.25">
      <c r="B246" s="327">
        <v>4</v>
      </c>
      <c r="C246" s="347">
        <f>TREND(C241:C242,B241:B242,B246)</f>
        <v>0</v>
      </c>
      <c r="D246" s="630">
        <f>TREND(D241:D242,B241:B242,B246)</f>
        <v>0</v>
      </c>
      <c r="E246" s="633">
        <f>TREND(E241:E242,B241:B242,B246)</f>
        <v>55</v>
      </c>
      <c r="F246" s="374">
        <f>TREND(F241:F242,B241:B242,B246)</f>
        <v>55</v>
      </c>
      <c r="G246" s="339">
        <f>IF(HwyRail,TREND(G241:G242,B241:B242,B246),ImpactedNB*C246)</f>
        <v>0</v>
      </c>
      <c r="H246" s="436">
        <f>IF(HwyRail,TREND(H241:H242,B241:B242,B246),ImpactedB*D246)</f>
        <v>0</v>
      </c>
      <c r="I246" s="521">
        <f t="shared" si="51"/>
        <v>0</v>
      </c>
      <c r="J246" s="500">
        <f t="shared" si="52"/>
        <v>0</v>
      </c>
      <c r="K246" s="285">
        <f t="shared" si="53"/>
        <v>0</v>
      </c>
      <c r="L246" s="323">
        <f t="shared" si="54"/>
        <v>0</v>
      </c>
    </row>
    <row r="247" spans="2:12" x14ac:dyDescent="0.25">
      <c r="B247" s="327">
        <v>5</v>
      </c>
      <c r="C247" s="347">
        <f>TREND(C241:C242,B241:B242,B247)</f>
        <v>0</v>
      </c>
      <c r="D247" s="630">
        <f>TREND(D241:D242,B241:B242,B247)</f>
        <v>0</v>
      </c>
      <c r="E247" s="633">
        <f>TREND(E241:E242,B241:B242,B247)</f>
        <v>55</v>
      </c>
      <c r="F247" s="374">
        <f>TREND(F241:F242,B241:B242,B247)</f>
        <v>55</v>
      </c>
      <c r="G247" s="339">
        <f>IF(HwyRail,TREND(G241:G242,B241:B242,B247),ImpactedNB*C247)</f>
        <v>0</v>
      </c>
      <c r="H247" s="436">
        <f>IF(HwyRail,TREND(H241:H242,B241:B242,B247),ImpactedB*D247)</f>
        <v>0</v>
      </c>
      <c r="I247" s="521">
        <f t="shared" si="51"/>
        <v>0</v>
      </c>
      <c r="J247" s="500">
        <f t="shared" si="52"/>
        <v>0</v>
      </c>
      <c r="K247" s="285">
        <f t="shared" si="53"/>
        <v>0</v>
      </c>
      <c r="L247" s="323">
        <f t="shared" si="54"/>
        <v>0</v>
      </c>
    </row>
    <row r="248" spans="2:12" x14ac:dyDescent="0.25">
      <c r="B248" s="327">
        <v>6</v>
      </c>
      <c r="C248" s="347">
        <f>TREND(C241:C242,B241:B242,B248)</f>
        <v>0</v>
      </c>
      <c r="D248" s="630">
        <f>TREND(D241:D242,B241:B242,B248)</f>
        <v>0</v>
      </c>
      <c r="E248" s="633">
        <f>TREND(E241:E242,B241:B242,B248)</f>
        <v>55</v>
      </c>
      <c r="F248" s="374">
        <f>TREND(F241:F242,B241:B242,B248)</f>
        <v>55</v>
      </c>
      <c r="G248" s="339">
        <f>IF(HwyRail,TREND(G241:G242,B241:B242,B248),ImpactedNB*C248)</f>
        <v>0</v>
      </c>
      <c r="H248" s="436">
        <f>IF(HwyRail,TREND(H241:H242,B241:B242,B248),ImpactedB*D248)</f>
        <v>0</v>
      </c>
      <c r="I248" s="521">
        <f t="shared" si="51"/>
        <v>0</v>
      </c>
      <c r="J248" s="500">
        <f t="shared" si="52"/>
        <v>0</v>
      </c>
      <c r="K248" s="285">
        <f t="shared" si="53"/>
        <v>0</v>
      </c>
      <c r="L248" s="323">
        <f t="shared" si="54"/>
        <v>0</v>
      </c>
    </row>
    <row r="249" spans="2:12" x14ac:dyDescent="0.25">
      <c r="B249" s="327">
        <v>7</v>
      </c>
      <c r="C249" s="347">
        <f>TREND(C241:C242,B241:B242,B249)</f>
        <v>0</v>
      </c>
      <c r="D249" s="630">
        <f>TREND(D241:D242,B241:B242,B249)</f>
        <v>0</v>
      </c>
      <c r="E249" s="633">
        <f>TREND(E241:E242,B241:B242,B249)</f>
        <v>55</v>
      </c>
      <c r="F249" s="374">
        <f>TREND(F241:F242,B241:B242,B249)</f>
        <v>55</v>
      </c>
      <c r="G249" s="339">
        <f>IF(HwyRail,TREND(G241:G242,B241:B242,B249),ImpactedNB*C249)</f>
        <v>0</v>
      </c>
      <c r="H249" s="436">
        <f>IF(HwyRail,TREND(H241:H242,B241:B242,B249),ImpactedB*D249)</f>
        <v>0</v>
      </c>
      <c r="I249" s="521">
        <f t="shared" si="51"/>
        <v>0</v>
      </c>
      <c r="J249" s="500">
        <f t="shared" si="52"/>
        <v>0</v>
      </c>
      <c r="K249" s="285">
        <f t="shared" si="53"/>
        <v>0</v>
      </c>
      <c r="L249" s="323">
        <f t="shared" si="54"/>
        <v>0</v>
      </c>
    </row>
    <row r="250" spans="2:12" x14ac:dyDescent="0.25">
      <c r="B250" s="327">
        <v>8</v>
      </c>
      <c r="C250" s="347">
        <f>TREND(C241:C242,B241:B242,B250)</f>
        <v>0</v>
      </c>
      <c r="D250" s="630">
        <f>TREND(D241:D242,B241:B242,B250)</f>
        <v>0</v>
      </c>
      <c r="E250" s="633">
        <f>TREND(E241:E242,B241:B242,B250)</f>
        <v>55</v>
      </c>
      <c r="F250" s="374">
        <f>TREND(F241:F242,B241:B242,B250)</f>
        <v>55</v>
      </c>
      <c r="G250" s="339">
        <f>IF(HwyRail,TREND(G241:G242,B241:B242,B250),ImpactedNB*C250)</f>
        <v>0</v>
      </c>
      <c r="H250" s="436">
        <f>IF(HwyRail,TREND(H241:H242,B241:B242,B250),ImpactedB*D250)</f>
        <v>0</v>
      </c>
      <c r="I250" s="521">
        <f t="shared" si="51"/>
        <v>0</v>
      </c>
      <c r="J250" s="500">
        <f t="shared" si="52"/>
        <v>0</v>
      </c>
      <c r="K250" s="285">
        <f t="shared" si="53"/>
        <v>0</v>
      </c>
      <c r="L250" s="323">
        <f t="shared" si="54"/>
        <v>0</v>
      </c>
    </row>
    <row r="251" spans="2:12" x14ac:dyDescent="0.25">
      <c r="B251" s="327">
        <v>9</v>
      </c>
      <c r="C251" s="347">
        <f>TREND(C241:C242,B241:B242,B251)</f>
        <v>0</v>
      </c>
      <c r="D251" s="630">
        <f>TREND(D241:D242,B241:B242,B251)</f>
        <v>0</v>
      </c>
      <c r="E251" s="633">
        <f>TREND(E241:E242,B241:B242,B251)</f>
        <v>55</v>
      </c>
      <c r="F251" s="374">
        <f>TREND(F241:F242,B241:B242,B251)</f>
        <v>55</v>
      </c>
      <c r="G251" s="339">
        <f>IF(HwyRail,TREND(G241:G242,B241:B242,B251),ImpactedNB*C251)</f>
        <v>0</v>
      </c>
      <c r="H251" s="436">
        <f>IF(HwyRail,TREND(H241:H242,B241:B242,B251),ImpactedB*D251)</f>
        <v>0</v>
      </c>
      <c r="I251" s="521">
        <f t="shared" si="51"/>
        <v>0</v>
      </c>
      <c r="J251" s="500">
        <f t="shared" si="52"/>
        <v>0</v>
      </c>
      <c r="K251" s="285">
        <f t="shared" si="53"/>
        <v>0</v>
      </c>
      <c r="L251" s="323">
        <f t="shared" si="54"/>
        <v>0</v>
      </c>
    </row>
    <row r="252" spans="2:12" x14ac:dyDescent="0.25">
      <c r="B252" s="327">
        <v>10</v>
      </c>
      <c r="C252" s="347">
        <f>TREND(C241:C242,B241:B242,B252)</f>
        <v>0</v>
      </c>
      <c r="D252" s="630">
        <f>TREND(D241:D242,B241:B242,B252)</f>
        <v>0</v>
      </c>
      <c r="E252" s="633">
        <f>TREND(E241:E242,B241:B242,B252)</f>
        <v>55</v>
      </c>
      <c r="F252" s="374">
        <f>TREND(F241:F242,B241:B242,B252)</f>
        <v>55</v>
      </c>
      <c r="G252" s="339">
        <f>IF(HwyRail,TREND(G241:G242,B241:B242,B252),ImpactedNB*C252)</f>
        <v>0</v>
      </c>
      <c r="H252" s="436">
        <f>IF(HwyRail,TREND(H241:H242,B241:B242,B252),ImpactedB*D252)</f>
        <v>0</v>
      </c>
      <c r="I252" s="521">
        <f t="shared" si="51"/>
        <v>0</v>
      </c>
      <c r="J252" s="500">
        <f t="shared" si="52"/>
        <v>0</v>
      </c>
      <c r="K252" s="285">
        <f t="shared" si="53"/>
        <v>0</v>
      </c>
      <c r="L252" s="323">
        <f t="shared" si="54"/>
        <v>0</v>
      </c>
    </row>
    <row r="253" spans="2:12" x14ac:dyDescent="0.25">
      <c r="B253" s="327">
        <v>11</v>
      </c>
      <c r="C253" s="347">
        <f>TREND(C241:C242,B241:B242,B253)</f>
        <v>0</v>
      </c>
      <c r="D253" s="630">
        <f>TREND(D241:D242,B241:B242,B253)</f>
        <v>0</v>
      </c>
      <c r="E253" s="633">
        <f>TREND(E241:E242,B241:B242,B253)</f>
        <v>55</v>
      </c>
      <c r="F253" s="374">
        <f>TREND(F241:F242,B241:B242,B253)</f>
        <v>55</v>
      </c>
      <c r="G253" s="339">
        <f>IF(HwyRail,TREND(G241:G242,B241:B242,B253),ImpactedNB*C253)</f>
        <v>0</v>
      </c>
      <c r="H253" s="436">
        <f>IF(HwyRail,TREND(H241:H242,B241:B242,B253),ImpactedB*D253)</f>
        <v>0</v>
      </c>
      <c r="I253" s="521">
        <f t="shared" si="51"/>
        <v>0</v>
      </c>
      <c r="J253" s="500">
        <f t="shared" si="52"/>
        <v>0</v>
      </c>
      <c r="K253" s="285">
        <f t="shared" si="53"/>
        <v>0</v>
      </c>
      <c r="L253" s="323">
        <f t="shared" si="54"/>
        <v>0</v>
      </c>
    </row>
    <row r="254" spans="2:12" x14ac:dyDescent="0.25">
      <c r="B254" s="327">
        <v>12</v>
      </c>
      <c r="C254" s="347">
        <f>TREND(C241:C242,B241:B242,B254)</f>
        <v>0</v>
      </c>
      <c r="D254" s="630">
        <f>TREND(D241:D242,B241:B242,B254)</f>
        <v>0</v>
      </c>
      <c r="E254" s="633">
        <f>TREND(E241:E242,B241:B242,B254)</f>
        <v>55</v>
      </c>
      <c r="F254" s="374">
        <f>TREND(F241:F242,B241:B242,B254)</f>
        <v>55</v>
      </c>
      <c r="G254" s="339">
        <f>IF(HwyRail,TREND(G241:G242,B241:B242,B254),ImpactedNB*C254)</f>
        <v>0</v>
      </c>
      <c r="H254" s="436">
        <f>IF(HwyRail,TREND(H241:H242,B241:B242,B254),ImpactedB*D254)</f>
        <v>0</v>
      </c>
      <c r="I254" s="521">
        <f t="shared" si="51"/>
        <v>0</v>
      </c>
      <c r="J254" s="500">
        <f t="shared" si="52"/>
        <v>0</v>
      </c>
      <c r="K254" s="285">
        <f t="shared" si="53"/>
        <v>0</v>
      </c>
      <c r="L254" s="323">
        <f t="shared" si="54"/>
        <v>0</v>
      </c>
    </row>
    <row r="255" spans="2:12" x14ac:dyDescent="0.25">
      <c r="B255" s="327">
        <v>13</v>
      </c>
      <c r="C255" s="347">
        <f>TREND(C241:C242,B241:B242,B255)</f>
        <v>0</v>
      </c>
      <c r="D255" s="630">
        <f>TREND(D241:D242,B241:B242,B255)</f>
        <v>0</v>
      </c>
      <c r="E255" s="633">
        <f>TREND(E241:E242,B241:B242,B255)</f>
        <v>55</v>
      </c>
      <c r="F255" s="374">
        <f>TREND(F241:F242,B241:B242,B255)</f>
        <v>55</v>
      </c>
      <c r="G255" s="339">
        <f>IF(HwyRail,TREND(G241:G242,B241:B242,B255),ImpactedNB*C255)</f>
        <v>0</v>
      </c>
      <c r="H255" s="436">
        <f>IF(HwyRail,TREND(H241:H242,B241:B242,B255),ImpactedB*D255)</f>
        <v>0</v>
      </c>
      <c r="I255" s="521">
        <f t="shared" si="51"/>
        <v>0</v>
      </c>
      <c r="J255" s="500">
        <f t="shared" si="52"/>
        <v>0</v>
      </c>
      <c r="K255" s="285">
        <f t="shared" si="53"/>
        <v>0</v>
      </c>
      <c r="L255" s="323">
        <f t="shared" si="54"/>
        <v>0</v>
      </c>
    </row>
    <row r="256" spans="2:12" x14ac:dyDescent="0.25">
      <c r="B256" s="327">
        <v>14</v>
      </c>
      <c r="C256" s="347">
        <f>TREND(C241:C242,B241:B242,B256)</f>
        <v>0</v>
      </c>
      <c r="D256" s="630">
        <f>TREND(D241:D242,B241:B242,B256)</f>
        <v>0</v>
      </c>
      <c r="E256" s="633">
        <f>TREND(E241:E242,B241:B242,B256)</f>
        <v>55</v>
      </c>
      <c r="F256" s="374">
        <f>TREND(F241:F242,B241:B242,B256)</f>
        <v>55</v>
      </c>
      <c r="G256" s="339">
        <f>IF(HwyRail,TREND(G241:G242,B241:B242,B256),ImpactedNB*C256)</f>
        <v>0</v>
      </c>
      <c r="H256" s="436">
        <f>IF(HwyRail,TREND(H241:H242,B241:B242,B256),ImpactedB*D256)</f>
        <v>0</v>
      </c>
      <c r="I256" s="521">
        <f t="shared" si="51"/>
        <v>0</v>
      </c>
      <c r="J256" s="500">
        <f t="shared" si="52"/>
        <v>0</v>
      </c>
      <c r="K256" s="285">
        <f t="shared" si="53"/>
        <v>0</v>
      </c>
      <c r="L256" s="323">
        <f t="shared" si="54"/>
        <v>0</v>
      </c>
    </row>
    <row r="257" spans="2:12" x14ac:dyDescent="0.25">
      <c r="B257" s="327">
        <v>15</v>
      </c>
      <c r="C257" s="347">
        <f>TREND(C241:C242,B241:B242,B257)</f>
        <v>0</v>
      </c>
      <c r="D257" s="630">
        <f>TREND(D241:D242,B241:B242,B257)</f>
        <v>0</v>
      </c>
      <c r="E257" s="633">
        <f>TREND(E241:E242,B241:B242,B257)</f>
        <v>55</v>
      </c>
      <c r="F257" s="374">
        <f>TREND(F241:F242,B241:B242,B257)</f>
        <v>55</v>
      </c>
      <c r="G257" s="339">
        <f>IF(HwyRail,TREND(G241:G242,B241:B242,B257),ImpactedNB*C257)</f>
        <v>0</v>
      </c>
      <c r="H257" s="436">
        <f>IF(HwyRail,TREND(H241:H242,B241:B242,B257),ImpactedB*D257)</f>
        <v>0</v>
      </c>
      <c r="I257" s="521">
        <f t="shared" si="51"/>
        <v>0</v>
      </c>
      <c r="J257" s="500">
        <f t="shared" si="52"/>
        <v>0</v>
      </c>
      <c r="K257" s="285">
        <f t="shared" si="53"/>
        <v>0</v>
      </c>
      <c r="L257" s="323">
        <f t="shared" si="54"/>
        <v>0</v>
      </c>
    </row>
    <row r="258" spans="2:12" x14ac:dyDescent="0.25">
      <c r="B258" s="327">
        <v>16</v>
      </c>
      <c r="C258" s="347">
        <f>TREND(C241:C242,B241:B242,B258)</f>
        <v>0</v>
      </c>
      <c r="D258" s="630">
        <f>TREND(D241:D242,B241:B242,B258)</f>
        <v>0</v>
      </c>
      <c r="E258" s="633">
        <f>TREND(E241:E242,B241:B242,B258)</f>
        <v>55</v>
      </c>
      <c r="F258" s="374">
        <f>TREND(F241:F242,B241:B242,B258)</f>
        <v>55</v>
      </c>
      <c r="G258" s="339">
        <f>IF(HwyRail,TREND(G241:G242,B241:B242,B258),ImpactedNB*C258)</f>
        <v>0</v>
      </c>
      <c r="H258" s="436">
        <f>IF(HwyRail,TREND(H241:H242,B241:B242,B258),ImpactedB*D258)</f>
        <v>0</v>
      </c>
      <c r="I258" s="521">
        <f>(G258*VLOOKUP(E258,FuelCon,3)*IF(Pavement,VLOOKUP(IRI20NB,FuelConPavAdj,3),1)-H258*VLOOKUP(F258,FuelCon,3)*IF(Pavement,VLOOKUP(IRI20B,FuelConPavAdj,3),1))*FuelTruck</f>
        <v>0</v>
      </c>
      <c r="J258" s="500">
        <f>(G258*IF(Pavement,VLOOKUP(IRI20NB,NonFuelPavAdj,3),1)-H258*IF(Pavement,VLOOKUP(IRI20B,NonFuelPavAdj,3),1))*NonFuelTruck</f>
        <v>0</v>
      </c>
      <c r="K258" s="285">
        <f t="shared" si="53"/>
        <v>0</v>
      </c>
      <c r="L258" s="323">
        <f t="shared" si="54"/>
        <v>0</v>
      </c>
    </row>
    <row r="259" spans="2:12" x14ac:dyDescent="0.25">
      <c r="B259" s="327">
        <v>17</v>
      </c>
      <c r="C259" s="347">
        <f>TREND(C241:C242,B241:B242,B259)</f>
        <v>0</v>
      </c>
      <c r="D259" s="630">
        <f>TREND(D241:D242,B241:B242,B259)</f>
        <v>0</v>
      </c>
      <c r="E259" s="633">
        <f>TREND(E241:E242,B241:B242,B259)</f>
        <v>55</v>
      </c>
      <c r="F259" s="374">
        <f>TREND(F241:F242,B241:B242,B259)</f>
        <v>55</v>
      </c>
      <c r="G259" s="339">
        <f>IF(HwyRail,TREND(G241:G242,B241:B242,B259),ImpactedNB*C259)</f>
        <v>0</v>
      </c>
      <c r="H259" s="436">
        <f>IF(HwyRail,TREND(H241:H242,B241:B242,B259),ImpactedB*D259)</f>
        <v>0</v>
      </c>
      <c r="I259" s="521">
        <f>(G259*VLOOKUP(E259,FuelCon,3)*IF(Pavement,VLOOKUP(IRI20NB,FuelConPavAdj,3),1)-H259*VLOOKUP(F259,FuelCon,3)*IF(Pavement,VLOOKUP(IRI20B,FuelConPavAdj,3),1))*FuelTruck</f>
        <v>0</v>
      </c>
      <c r="J259" s="500">
        <f>(G259*IF(Pavement,VLOOKUP(IRI20NB,NonFuelPavAdj,3),1)-H259*IF(Pavement,VLOOKUP(IRI20B,NonFuelPavAdj,3),1))*NonFuelTruck</f>
        <v>0</v>
      </c>
      <c r="K259" s="285">
        <f t="shared" si="53"/>
        <v>0</v>
      </c>
      <c r="L259" s="323">
        <f t="shared" si="54"/>
        <v>0</v>
      </c>
    </row>
    <row r="260" spans="2:12" x14ac:dyDescent="0.25">
      <c r="B260" s="327">
        <v>18</v>
      </c>
      <c r="C260" s="347">
        <f>TREND(C241:C242,B241:B242,B260)</f>
        <v>0</v>
      </c>
      <c r="D260" s="630">
        <f>TREND(D241:D242,B241:B242,B260)</f>
        <v>0</v>
      </c>
      <c r="E260" s="633">
        <f>TREND(E241:E242,B241:B242,B260)</f>
        <v>55</v>
      </c>
      <c r="F260" s="374">
        <f>TREND(F241:F242,B241:B242,B260)</f>
        <v>55</v>
      </c>
      <c r="G260" s="339">
        <f>IF(HwyRail,TREND(G241:G242,B241:B242,B260),ImpactedNB*C260)</f>
        <v>0</v>
      </c>
      <c r="H260" s="436">
        <f>IF(HwyRail,TREND(H241:H242,B241:B242,B260),ImpactedB*D260)</f>
        <v>0</v>
      </c>
      <c r="I260" s="521">
        <f>(G260*VLOOKUP(E260,FuelCon,3)*IF(Pavement,VLOOKUP(IRI20NB,FuelConPavAdj,3),1)-H260*VLOOKUP(F260,FuelCon,3)*IF(Pavement,VLOOKUP(IRI20B,FuelConPavAdj,3),1))*FuelTruck</f>
        <v>0</v>
      </c>
      <c r="J260" s="500">
        <f>(G260*IF(Pavement,VLOOKUP(IRI20NB,NonFuelPavAdj,3),1)-H260*IF(Pavement,VLOOKUP(IRI20B,NonFuelPavAdj,3),1))*NonFuelTruck</f>
        <v>0</v>
      </c>
      <c r="K260" s="285">
        <f t="shared" si="53"/>
        <v>0</v>
      </c>
      <c r="L260" s="323">
        <f t="shared" si="54"/>
        <v>0</v>
      </c>
    </row>
    <row r="261" spans="2:12" x14ac:dyDescent="0.25">
      <c r="B261" s="359">
        <v>19</v>
      </c>
      <c r="C261" s="360">
        <f>TREND(C241:C242,B241:B242,B261)</f>
        <v>0</v>
      </c>
      <c r="D261" s="631">
        <f>TREND(D241:D242,B241:B242,B261)</f>
        <v>0</v>
      </c>
      <c r="E261" s="634">
        <f>TREND(E241:E242,B241:B242,B261)</f>
        <v>55</v>
      </c>
      <c r="F261" s="377">
        <f>TREND(F241:F242,B241:B242,B261)</f>
        <v>55</v>
      </c>
      <c r="G261" s="339">
        <f>IF(HwyRail,TREND(G241:G242,B241:B242,B261),ImpactedNB*C261)</f>
        <v>0</v>
      </c>
      <c r="H261" s="435">
        <f>IF(HwyRail,TREND(H241:H242,B241:B242,B261),ImpactedB*D261)</f>
        <v>0</v>
      </c>
      <c r="I261" s="520">
        <f>(G261*VLOOKUP(E261,FuelCon,3)*IF(Pavement,VLOOKUP(IRI20NB,FuelConPavAdj,3),1)-H261*VLOOKUP(F261,FuelCon,3)*IF(Pavement,VLOOKUP(IRI20B,FuelConPavAdj,3),1))*FuelTruck</f>
        <v>0</v>
      </c>
      <c r="J261" s="499">
        <f>(G261*IF(Pavement,VLOOKUP(IRI20NB,NonFuelPavAdj,3),1)-H261*IF(Pavement,VLOOKUP(IRI20B,NonFuelPavAdj,3),1))*NonFuelTruck</f>
        <v>0</v>
      </c>
      <c r="K261" s="285">
        <f t="shared" si="53"/>
        <v>0</v>
      </c>
      <c r="L261" s="323">
        <f t="shared" si="54"/>
        <v>0</v>
      </c>
    </row>
    <row r="262" spans="2:12" x14ac:dyDescent="0.25">
      <c r="B262" s="357"/>
      <c r="C262" s="355"/>
      <c r="D262" s="355"/>
      <c r="E262" s="355"/>
      <c r="F262" s="355"/>
      <c r="G262" s="356"/>
      <c r="H262" s="356"/>
      <c r="I262" s="356"/>
      <c r="J262" s="356"/>
      <c r="K262" s="356"/>
      <c r="L262" s="358"/>
    </row>
    <row r="263" spans="2:12" ht="13" x14ac:dyDescent="0.25">
      <c r="B263" s="329" t="s">
        <v>172</v>
      </c>
      <c r="C263" s="330"/>
      <c r="D263" s="331"/>
      <c r="E263" s="331"/>
      <c r="F263" s="331"/>
      <c r="G263" s="331"/>
      <c r="H263" s="331"/>
      <c r="I263" s="331"/>
      <c r="J263" s="332"/>
      <c r="K263" s="341"/>
      <c r="L263" s="342">
        <f>SUM(L241:L261)</f>
        <v>0</v>
      </c>
    </row>
    <row r="267" spans="2:12" x14ac:dyDescent="0.25">
      <c r="I267" s="195" t="s">
        <v>176</v>
      </c>
      <c r="J267" s="193"/>
      <c r="K267" s="194"/>
      <c r="L267" s="196"/>
    </row>
    <row r="268" spans="2:12" x14ac:dyDescent="0.25">
      <c r="I268" s="109"/>
      <c r="J268" s="695" t="s">
        <v>256</v>
      </c>
      <c r="K268" s="695"/>
      <c r="L268" s="696"/>
    </row>
  </sheetData>
  <phoneticPr fontId="0" type="noConversion"/>
  <printOptions horizontalCentered="1"/>
  <pageMargins left="0.25" right="0.25" top="0.75" bottom="0.75" header="0.5" footer="0.5"/>
  <pageSetup scale="72" orientation="landscape" r:id="rId1"/>
  <headerFooter alignWithMargins="0">
    <oddFooter>&amp;L&amp;8Transportation Economics
Caltrans DOTP&amp;C&amp;8Cal-B/C &amp;A&amp;R&amp;8Page &amp;P
&amp;D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F268"/>
  <sheetViews>
    <sheetView showGridLines="0" zoomScale="65" zoomScaleNormal="65" workbookViewId="0"/>
  </sheetViews>
  <sheetFormatPr defaultColWidth="9.1796875" defaultRowHeight="12.5" x14ac:dyDescent="0.25"/>
  <cols>
    <col min="1" max="1" width="9.1796875" style="1"/>
    <col min="2" max="2" width="7.7265625" style="111" customWidth="1"/>
    <col min="3" max="3" width="14.7265625" style="111" customWidth="1"/>
    <col min="4" max="4" width="14.7265625" style="280" customWidth="1"/>
    <col min="5" max="5" width="14.7265625" style="1" customWidth="1"/>
    <col min="6" max="9" width="14.7265625" style="281" customWidth="1"/>
    <col min="10" max="10" width="16.1796875" style="281" customWidth="1"/>
    <col min="11" max="11" width="9.1796875" style="1"/>
    <col min="12" max="12" width="7.7265625" style="111" customWidth="1"/>
    <col min="13" max="13" width="14.7265625" style="111" customWidth="1"/>
    <col min="14" max="14" width="14.7265625" style="280" customWidth="1"/>
    <col min="15" max="18" width="14.7265625" style="281" customWidth="1"/>
    <col min="19" max="19" width="9.1796875" style="1"/>
    <col min="20" max="20" width="7.54296875" style="1" customWidth="1"/>
    <col min="21" max="29" width="14.453125" style="1" customWidth="1"/>
    <col min="30" max="30" width="16" style="1" customWidth="1"/>
    <col min="31" max="31" width="2.453125" style="36" customWidth="1"/>
    <col min="32" max="32" width="17.54296875" style="1" customWidth="1"/>
    <col min="33" max="16384" width="9.1796875" style="1"/>
  </cols>
  <sheetData>
    <row r="1" spans="1:32" ht="20" x14ac:dyDescent="0.4">
      <c r="B1" s="310" t="s">
        <v>280</v>
      </c>
      <c r="L1" s="447"/>
      <c r="M1" s="448"/>
      <c r="N1" s="449"/>
      <c r="O1" s="450"/>
      <c r="P1" s="450"/>
      <c r="Q1" s="450"/>
      <c r="R1" s="450"/>
    </row>
    <row r="2" spans="1:32" x14ac:dyDescent="0.25">
      <c r="L2" s="448"/>
      <c r="M2" s="448"/>
      <c r="N2" s="449"/>
      <c r="O2" s="450"/>
      <c r="P2" s="450"/>
      <c r="Q2" s="450"/>
      <c r="R2" s="450"/>
    </row>
    <row r="3" spans="1:32" ht="17.5" x14ac:dyDescent="0.25">
      <c r="B3" s="289" t="s">
        <v>281</v>
      </c>
      <c r="C3" s="1"/>
      <c r="D3" s="271"/>
      <c r="E3" s="272"/>
      <c r="F3" s="272"/>
      <c r="G3" s="272"/>
      <c r="H3" s="271"/>
      <c r="I3" s="271"/>
      <c r="J3" s="273"/>
      <c r="L3" s="289"/>
      <c r="M3" s="36"/>
      <c r="N3" s="271"/>
      <c r="O3" s="272"/>
      <c r="P3" s="271"/>
      <c r="Q3" s="271"/>
      <c r="R3" s="271"/>
    </row>
    <row r="4" spans="1:32" ht="17.5" x14ac:dyDescent="0.25">
      <c r="B4" s="289"/>
      <c r="C4" s="1"/>
      <c r="D4" s="271"/>
      <c r="E4" s="272"/>
      <c r="F4" s="272"/>
      <c r="G4" s="272"/>
      <c r="H4" s="271"/>
      <c r="I4" s="271"/>
      <c r="J4" s="273"/>
      <c r="L4" s="289"/>
      <c r="M4" s="36"/>
      <c r="N4" s="271"/>
      <c r="O4" s="272"/>
      <c r="P4" s="271"/>
      <c r="Q4" s="271"/>
      <c r="R4" s="271"/>
    </row>
    <row r="5" spans="1:32" ht="17.5" x14ac:dyDescent="0.25">
      <c r="B5" s="308" t="s">
        <v>216</v>
      </c>
      <c r="C5" s="55"/>
      <c r="D5" s="128"/>
      <c r="E5" s="298"/>
      <c r="F5" s="298"/>
      <c r="G5" s="298"/>
      <c r="H5" s="128"/>
      <c r="I5" s="128"/>
      <c r="J5" s="129"/>
      <c r="L5" s="451"/>
      <c r="M5" s="36"/>
      <c r="N5" s="271"/>
      <c r="O5" s="272"/>
      <c r="P5" s="271"/>
      <c r="Q5" s="271"/>
      <c r="R5" s="271"/>
    </row>
    <row r="6" spans="1:32" ht="13" x14ac:dyDescent="0.25">
      <c r="B6" s="299"/>
      <c r="C6" s="33"/>
      <c r="D6" s="290"/>
      <c r="E6" s="291"/>
      <c r="F6" s="291"/>
      <c r="G6" s="291"/>
      <c r="H6" s="290"/>
      <c r="I6" s="290"/>
      <c r="J6" s="300"/>
      <c r="L6" s="452"/>
      <c r="M6" s="36"/>
      <c r="N6" s="271"/>
      <c r="O6" s="272"/>
      <c r="P6" s="271"/>
      <c r="Q6" s="271"/>
      <c r="R6" s="271"/>
    </row>
    <row r="7" spans="1:32" x14ac:dyDescent="0.25">
      <c r="B7" s="292" t="s">
        <v>282</v>
      </c>
      <c r="C7" s="293"/>
      <c r="D7" s="294"/>
      <c r="E7" s="693"/>
      <c r="F7" s="291"/>
      <c r="G7" s="694" t="s">
        <v>283</v>
      </c>
      <c r="H7" s="293"/>
      <c r="I7" s="444"/>
      <c r="J7" s="300"/>
      <c r="L7" s="453"/>
      <c r="M7" s="271"/>
      <c r="N7" s="272"/>
      <c r="O7" s="271"/>
      <c r="P7" s="271"/>
      <c r="Q7" s="450"/>
      <c r="R7" s="271"/>
    </row>
    <row r="8" spans="1:32" x14ac:dyDescent="0.25">
      <c r="B8" s="301" t="s">
        <v>261</v>
      </c>
      <c r="C8" s="33"/>
      <c r="D8" s="689" t="s">
        <v>262</v>
      </c>
      <c r="E8" s="689" t="s">
        <v>263</v>
      </c>
      <c r="F8" s="302"/>
      <c r="G8" s="303"/>
      <c r="H8" s="446"/>
      <c r="I8" s="290"/>
      <c r="J8" s="300"/>
      <c r="L8" s="454"/>
      <c r="M8" s="36"/>
      <c r="N8" s="271"/>
      <c r="O8" s="456"/>
      <c r="P8" s="271"/>
      <c r="Q8" s="271"/>
      <c r="R8" s="271"/>
    </row>
    <row r="9" spans="1:32" x14ac:dyDescent="0.25">
      <c r="B9" s="11"/>
      <c r="C9" s="290"/>
      <c r="D9" s="290"/>
      <c r="E9" s="290"/>
      <c r="F9" s="33"/>
      <c r="G9" s="33"/>
      <c r="H9" s="28"/>
      <c r="I9" s="290"/>
      <c r="J9" s="300"/>
      <c r="L9" s="271"/>
      <c r="M9" s="271"/>
      <c r="N9" s="271"/>
      <c r="O9" s="36"/>
      <c r="P9" s="36"/>
      <c r="Q9" s="271"/>
      <c r="R9" s="271"/>
    </row>
    <row r="10" spans="1:32" x14ac:dyDescent="0.25">
      <c r="B10" s="292" t="s">
        <v>284</v>
      </c>
      <c r="C10" s="293"/>
      <c r="D10" s="294"/>
      <c r="E10" s="693"/>
      <c r="F10" s="291"/>
      <c r="G10" s="694" t="s">
        <v>286</v>
      </c>
      <c r="H10" s="445"/>
      <c r="I10" s="444"/>
      <c r="J10" s="300"/>
      <c r="L10" s="453"/>
      <c r="M10" s="271"/>
      <c r="N10" s="272"/>
      <c r="O10" s="271"/>
      <c r="P10" s="36"/>
      <c r="Q10" s="450"/>
      <c r="R10" s="271"/>
    </row>
    <row r="11" spans="1:32" x14ac:dyDescent="0.25">
      <c r="B11" s="304"/>
      <c r="C11" s="305"/>
      <c r="D11" s="306"/>
      <c r="E11" s="307"/>
      <c r="F11" s="305"/>
      <c r="G11" s="305"/>
      <c r="H11" s="61"/>
      <c r="I11" s="61"/>
      <c r="J11" s="62"/>
      <c r="L11" s="455"/>
      <c r="M11" s="271"/>
      <c r="N11" s="455"/>
      <c r="O11" s="271"/>
      <c r="P11" s="36"/>
      <c r="Q11" s="36"/>
      <c r="R11" s="36"/>
    </row>
    <row r="12" spans="1:32" x14ac:dyDescent="0.25">
      <c r="A12" s="277"/>
      <c r="B12" s="1"/>
      <c r="C12" s="1"/>
      <c r="D12" s="1"/>
      <c r="F12" s="1"/>
      <c r="G12" s="1"/>
      <c r="H12" s="1"/>
      <c r="I12" s="1"/>
      <c r="J12" s="1"/>
      <c r="L12" s="271"/>
      <c r="M12" s="455"/>
      <c r="N12" s="458"/>
      <c r="O12" s="455"/>
      <c r="P12" s="36"/>
      <c r="Q12" s="36"/>
      <c r="R12" s="36"/>
    </row>
    <row r="13" spans="1:32" x14ac:dyDescent="0.25">
      <c r="A13" s="277"/>
      <c r="B13" s="88"/>
      <c r="C13" s="277"/>
      <c r="D13" s="278"/>
      <c r="E13" s="88"/>
      <c r="F13" s="277"/>
      <c r="G13" s="277"/>
      <c r="H13" s="1"/>
      <c r="I13" s="1"/>
      <c r="J13" s="1"/>
      <c r="L13" s="88"/>
      <c r="M13" s="277"/>
      <c r="N13" s="278"/>
      <c r="O13" s="277"/>
      <c r="P13" s="1"/>
      <c r="Q13" s="1"/>
      <c r="R13" s="1"/>
      <c r="T13" s="88"/>
      <c r="U13" s="277"/>
      <c r="V13" s="278"/>
      <c r="W13" s="278"/>
      <c r="X13" s="278"/>
      <c r="Y13" s="278"/>
      <c r="Z13" s="278"/>
      <c r="AA13" s="278"/>
      <c r="AB13" s="88"/>
      <c r="AC13" s="277"/>
      <c r="AD13" s="277"/>
      <c r="AE13" s="455"/>
    </row>
    <row r="14" spans="1:32" x14ac:dyDescent="0.25">
      <c r="A14" s="277"/>
      <c r="B14" s="88"/>
      <c r="C14" s="277"/>
      <c r="D14" s="278"/>
      <c r="E14" s="88"/>
      <c r="F14" s="277"/>
      <c r="G14" s="277"/>
      <c r="H14" s="1"/>
      <c r="I14" s="1"/>
      <c r="J14" s="1"/>
      <c r="L14" s="88"/>
      <c r="M14" s="277"/>
      <c r="N14" s="278"/>
      <c r="O14" s="277"/>
      <c r="P14" s="1"/>
      <c r="Q14" s="1"/>
      <c r="R14" s="1"/>
      <c r="T14" s="88"/>
      <c r="U14" s="277"/>
      <c r="V14" s="278"/>
      <c r="W14" s="278"/>
      <c r="X14" s="278"/>
      <c r="Y14" s="278"/>
      <c r="Z14" s="278"/>
      <c r="AA14" s="278"/>
      <c r="AB14" s="88"/>
      <c r="AC14" s="277"/>
      <c r="AD14" s="277"/>
      <c r="AE14" s="455"/>
    </row>
    <row r="15" spans="1:32" ht="20" x14ac:dyDescent="0.4">
      <c r="A15" s="277"/>
      <c r="B15" s="315" t="s">
        <v>223</v>
      </c>
      <c r="C15" s="314" t="s">
        <v>224</v>
      </c>
      <c r="D15" s="312"/>
      <c r="E15" s="312"/>
      <c r="F15" s="311"/>
      <c r="G15" s="311"/>
      <c r="H15" s="313"/>
      <c r="I15" s="313"/>
      <c r="J15" s="313"/>
      <c r="L15" s="315" t="s">
        <v>225</v>
      </c>
      <c r="M15" s="314" t="s">
        <v>226</v>
      </c>
      <c r="N15" s="312"/>
      <c r="O15" s="311"/>
      <c r="P15" s="313"/>
      <c r="Q15" s="313"/>
      <c r="R15" s="313"/>
      <c r="T15" s="315" t="s">
        <v>227</v>
      </c>
      <c r="U15" s="314" t="s">
        <v>287</v>
      </c>
      <c r="V15" s="312"/>
      <c r="W15" s="312"/>
      <c r="X15" s="312"/>
      <c r="Y15" s="312"/>
      <c r="Z15" s="312"/>
      <c r="AA15" s="312"/>
      <c r="AB15" s="312"/>
      <c r="AC15" s="311"/>
      <c r="AD15" s="311"/>
      <c r="AE15" s="586"/>
      <c r="AF15" s="523"/>
    </row>
    <row r="16" spans="1:32" x14ac:dyDescent="0.25">
      <c r="A16" s="277"/>
      <c r="B16" s="88"/>
      <c r="C16" s="277"/>
      <c r="D16" s="278"/>
      <c r="E16" s="88"/>
      <c r="F16" s="277"/>
      <c r="G16" s="277"/>
      <c r="H16" s="279"/>
      <c r="I16" s="88"/>
      <c r="J16" s="1"/>
      <c r="L16" s="88"/>
      <c r="M16" s="277"/>
      <c r="N16" s="278"/>
      <c r="O16" s="277"/>
      <c r="P16" s="279"/>
      <c r="Q16" s="88"/>
      <c r="R16" s="1"/>
      <c r="T16" s="88"/>
      <c r="U16" s="277"/>
      <c r="V16" s="278"/>
      <c r="W16" s="278"/>
      <c r="X16" s="278"/>
      <c r="Y16" s="278"/>
      <c r="Z16" s="278"/>
      <c r="AA16" s="278"/>
      <c r="AB16" s="88"/>
      <c r="AC16" s="277"/>
      <c r="AD16" s="277"/>
      <c r="AE16" s="455"/>
    </row>
    <row r="17" spans="1:32" x14ac:dyDescent="0.25">
      <c r="A17" s="516"/>
      <c r="B17" s="88"/>
      <c r="C17" s="516"/>
      <c r="D17" s="517"/>
      <c r="E17" s="88"/>
      <c r="F17" s="516"/>
      <c r="G17" s="516"/>
      <c r="H17" s="351"/>
      <c r="I17" s="88"/>
      <c r="J17" s="1"/>
      <c r="L17" s="88"/>
      <c r="M17" s="516"/>
      <c r="N17" s="517"/>
      <c r="O17" s="516"/>
      <c r="P17" s="351"/>
      <c r="Q17" s="88"/>
      <c r="R17" s="1"/>
    </row>
    <row r="18" spans="1:32" ht="13" x14ac:dyDescent="0.25">
      <c r="B18" s="350" t="s">
        <v>229</v>
      </c>
      <c r="C18" s="88"/>
      <c r="D18" s="88"/>
      <c r="E18" s="88"/>
      <c r="F18" s="309"/>
      <c r="G18" s="309"/>
      <c r="H18" s="88"/>
      <c r="I18" s="88"/>
      <c r="J18" s="88"/>
      <c r="L18" s="350" t="s">
        <v>288</v>
      </c>
      <c r="M18" s="88"/>
      <c r="N18" s="88"/>
      <c r="O18" s="309"/>
      <c r="P18" s="88"/>
      <c r="Q18" s="88"/>
      <c r="R18" s="88"/>
    </row>
    <row r="19" spans="1:32" x14ac:dyDescent="0.25">
      <c r="B19" s="88"/>
      <c r="C19" s="88"/>
      <c r="D19" s="274"/>
      <c r="E19" s="88"/>
      <c r="F19" s="88"/>
      <c r="G19" s="88"/>
      <c r="H19" s="88"/>
      <c r="I19" s="88"/>
      <c r="J19" s="351"/>
      <c r="L19" s="88"/>
      <c r="M19" s="88"/>
      <c r="N19" s="274"/>
      <c r="O19" s="88"/>
      <c r="P19" s="88"/>
      <c r="Q19" s="88"/>
      <c r="R19" s="351"/>
    </row>
    <row r="20" spans="1:32" ht="15.5" x14ac:dyDescent="0.25">
      <c r="B20" s="317"/>
      <c r="C20" s="320" t="s">
        <v>230</v>
      </c>
      <c r="D20" s="361"/>
      <c r="E20" s="335" t="s">
        <v>272</v>
      </c>
      <c r="F20" s="321"/>
      <c r="G20" s="437" t="s">
        <v>867</v>
      </c>
      <c r="H20" s="438"/>
      <c r="I20" s="322"/>
      <c r="J20" s="343"/>
      <c r="L20" s="317"/>
      <c r="M20" s="320" t="s">
        <v>290</v>
      </c>
      <c r="N20" s="361"/>
      <c r="O20" s="437" t="s">
        <v>289</v>
      </c>
      <c r="P20" s="438"/>
      <c r="Q20" s="322"/>
      <c r="R20" s="343"/>
      <c r="T20" s="317"/>
      <c r="U20" s="569" t="s">
        <v>235</v>
      </c>
      <c r="V20" s="569"/>
      <c r="W20" s="569"/>
      <c r="X20" s="569"/>
      <c r="Y20" s="569"/>
      <c r="Z20" s="569"/>
      <c r="AA20" s="569"/>
      <c r="AB20" s="569"/>
      <c r="AC20" s="569" t="s">
        <v>236</v>
      </c>
      <c r="AD20" s="480" t="s">
        <v>139</v>
      </c>
      <c r="AE20" s="587"/>
      <c r="AF20" s="480"/>
    </row>
    <row r="21" spans="1:32" ht="14" x14ac:dyDescent="0.25">
      <c r="B21" s="318"/>
      <c r="C21" s="287" t="s">
        <v>237</v>
      </c>
      <c r="D21" s="362"/>
      <c r="E21" s="336" t="s">
        <v>274</v>
      </c>
      <c r="F21" s="288"/>
      <c r="G21" s="439" t="s">
        <v>275</v>
      </c>
      <c r="H21" s="440"/>
      <c r="I21" s="284"/>
      <c r="J21" s="344"/>
      <c r="L21" s="318"/>
      <c r="M21" s="287" t="s">
        <v>291</v>
      </c>
      <c r="N21" s="362"/>
      <c r="O21" s="439" t="s">
        <v>275</v>
      </c>
      <c r="P21" s="440"/>
      <c r="Q21" s="284"/>
      <c r="R21" s="344"/>
      <c r="T21" s="318"/>
      <c r="U21" s="570"/>
      <c r="V21" s="571"/>
      <c r="W21" s="571"/>
      <c r="X21" s="571"/>
      <c r="Y21" s="571"/>
      <c r="Z21" s="571"/>
      <c r="AA21" s="571"/>
      <c r="AB21" s="572"/>
      <c r="AC21" s="570"/>
      <c r="AD21" s="345" t="s">
        <v>241</v>
      </c>
      <c r="AE21" s="587"/>
      <c r="AF21" s="345"/>
    </row>
    <row r="22" spans="1:32" ht="14" x14ac:dyDescent="0.25">
      <c r="B22" s="169" t="s">
        <v>135</v>
      </c>
      <c r="C22" s="316"/>
      <c r="D22" s="283"/>
      <c r="E22" s="316"/>
      <c r="F22" s="283"/>
      <c r="G22" s="316"/>
      <c r="H22" s="283"/>
      <c r="I22" s="286" t="s">
        <v>242</v>
      </c>
      <c r="J22" s="345" t="s">
        <v>139</v>
      </c>
      <c r="L22" s="169" t="s">
        <v>135</v>
      </c>
      <c r="M22" s="316"/>
      <c r="N22" s="283"/>
      <c r="O22" s="316"/>
      <c r="P22" s="283"/>
      <c r="Q22" s="286" t="s">
        <v>242</v>
      </c>
      <c r="R22" s="345" t="s">
        <v>139</v>
      </c>
      <c r="T22" s="169" t="s">
        <v>135</v>
      </c>
      <c r="U22" s="573" t="s">
        <v>173</v>
      </c>
      <c r="V22" s="574" t="s">
        <v>173</v>
      </c>
      <c r="W22" s="574" t="s">
        <v>173</v>
      </c>
      <c r="X22" s="574" t="s">
        <v>173</v>
      </c>
      <c r="Y22" s="574" t="s">
        <v>173</v>
      </c>
      <c r="Z22" s="574" t="s">
        <v>171</v>
      </c>
      <c r="AA22" s="574" t="s">
        <v>171</v>
      </c>
      <c r="AB22" s="574" t="s">
        <v>171</v>
      </c>
      <c r="AC22" s="574" t="s">
        <v>292</v>
      </c>
      <c r="AD22" s="345" t="s">
        <v>293</v>
      </c>
      <c r="AE22" s="587"/>
      <c r="AF22" s="345" t="s">
        <v>242</v>
      </c>
    </row>
    <row r="23" spans="1:32" ht="14" x14ac:dyDescent="0.25">
      <c r="B23" s="319"/>
      <c r="C23" s="324" t="s">
        <v>0</v>
      </c>
      <c r="D23" s="325" t="s">
        <v>1</v>
      </c>
      <c r="E23" s="324" t="s">
        <v>0</v>
      </c>
      <c r="F23" s="325" t="s">
        <v>1</v>
      </c>
      <c r="G23" s="324" t="s">
        <v>0</v>
      </c>
      <c r="H23" s="325" t="s">
        <v>1</v>
      </c>
      <c r="I23" s="326" t="s">
        <v>148</v>
      </c>
      <c r="J23" s="346" t="s">
        <v>149</v>
      </c>
      <c r="L23" s="319"/>
      <c r="M23" s="324" t="s">
        <v>0</v>
      </c>
      <c r="N23" s="325" t="s">
        <v>1</v>
      </c>
      <c r="O23" s="324" t="s">
        <v>0</v>
      </c>
      <c r="P23" s="325" t="s">
        <v>1</v>
      </c>
      <c r="Q23" s="326" t="s">
        <v>148</v>
      </c>
      <c r="R23" s="346" t="s">
        <v>149</v>
      </c>
      <c r="T23" s="319"/>
      <c r="U23" s="575" t="s">
        <v>247</v>
      </c>
      <c r="V23" s="575" t="s">
        <v>248</v>
      </c>
      <c r="W23" s="575" t="s">
        <v>501</v>
      </c>
      <c r="X23" s="575" t="s">
        <v>249</v>
      </c>
      <c r="Y23" s="575" t="s">
        <v>556</v>
      </c>
      <c r="Z23" s="575" t="s">
        <v>248</v>
      </c>
      <c r="AA23" s="575" t="s">
        <v>501</v>
      </c>
      <c r="AB23" s="575" t="s">
        <v>249</v>
      </c>
      <c r="AC23" s="575" t="s">
        <v>294</v>
      </c>
      <c r="AD23" s="346" t="str">
        <f>IF(Accidents&lt;&gt;"N","Benefits","* Benefits")</f>
        <v>Benefits</v>
      </c>
      <c r="AE23" s="587"/>
      <c r="AF23" s="346" t="s">
        <v>148</v>
      </c>
    </row>
    <row r="24" spans="1:32" x14ac:dyDescent="0.25">
      <c r="B24" s="327">
        <v>1</v>
      </c>
      <c r="C24" s="348">
        <f>PHV1NB*AnnualFactor</f>
        <v>0</v>
      </c>
      <c r="D24" s="349">
        <f>PHV1B*AnnualFactor</f>
        <v>0</v>
      </c>
      <c r="E24" s="339">
        <f>ImpactedNB*C24</f>
        <v>0</v>
      </c>
      <c r="F24" s="434">
        <f>ImpactedB*D24</f>
        <v>0</v>
      </c>
      <c r="G24" s="515">
        <f>IF(OR(Intersect,FreeConn,HOVConn,HOVDrop,OffRamp,OnRamp),C24,E24)/1000000*(HwyFatCost*FatalRateNB+HwyInjCost*InjuryRateNB+HwyPDOCost*PDORateNB)</f>
        <v>0</v>
      </c>
      <c r="H24" s="498">
        <f>IF(OR(Intersect,FreeConn,HOVConn,HOVDrop,OffRamp,OnRamp),D24,F24)/1000000*(HwyFatCost*FatalRateB+HwyInjCost*InjuryRateB+HwyPDOCost*PDORateB)</f>
        <v>0</v>
      </c>
      <c r="I24" s="285">
        <f>G24-H24</f>
        <v>0</v>
      </c>
      <c r="J24" s="323">
        <f>$I24/(1+DiscRate)^($B24+Construct-1)</f>
        <v>0</v>
      </c>
      <c r="L24" s="327">
        <v>1</v>
      </c>
      <c r="M24" s="348">
        <f>IF(OR(PassRail,LRT,Bus),TVehMi1NB,0)</f>
        <v>0</v>
      </c>
      <c r="N24" s="349">
        <f>IF(OR(PassRail,LRT,Bus),TVehMi1B,0)</f>
        <v>0</v>
      </c>
      <c r="O24" s="515">
        <f>IF(HwyRail,Fat3Yr*RailFatCost+Inj3Yr*RailInjCost,M24*IF(PassRail,PassRailAccCost,IF(LRT,LRTAccCost,IF(Bus,BusAccCost,0)))/1000000)</f>
        <v>0</v>
      </c>
      <c r="P24" s="498">
        <f>IF(HwyRail,0,N24*(1-TAccReductPer)*IF(PassRail,PassRailAccCost,IF(LRT,LRTAccCost,IF(Bus,BusAccCost,0)))/1000000)</f>
        <v>0</v>
      </c>
      <c r="Q24" s="285">
        <f>O24-P24</f>
        <v>0</v>
      </c>
      <c r="R24" s="323">
        <f>$Q24/(1+DiscRate)^($L24+Construct-1)</f>
        <v>0</v>
      </c>
      <c r="T24" s="327">
        <v>1</v>
      </c>
      <c r="U24" s="478">
        <f>J24</f>
        <v>0</v>
      </c>
      <c r="V24" s="478">
        <f>J55</f>
        <v>0</v>
      </c>
      <c r="W24" s="478">
        <f>J86</f>
        <v>0</v>
      </c>
      <c r="X24" s="478">
        <f>J117</f>
        <v>0</v>
      </c>
      <c r="Y24" s="478">
        <f>J148</f>
        <v>0</v>
      </c>
      <c r="Z24" s="478">
        <f>J179</f>
        <v>0</v>
      </c>
      <c r="AA24" s="478">
        <f>J210</f>
        <v>0</v>
      </c>
      <c r="AB24" s="478">
        <f>J241</f>
        <v>0</v>
      </c>
      <c r="AC24" s="478">
        <f>R24</f>
        <v>0</v>
      </c>
      <c r="AD24" s="323">
        <f>IF(Accidents&lt;&gt;"N",SUM(U24:AC24),0)</f>
        <v>0</v>
      </c>
      <c r="AE24" s="588"/>
      <c r="AF24" s="323">
        <f>$AD24*(1+DiscRate)^($B24+Construct-1)</f>
        <v>0</v>
      </c>
    </row>
    <row r="25" spans="1:32" x14ac:dyDescent="0.25">
      <c r="B25" s="328">
        <v>20</v>
      </c>
      <c r="C25" s="353">
        <f>PHV20NB*AnnualFactor</f>
        <v>0</v>
      </c>
      <c r="D25" s="354">
        <f>PHV20B*AnnualFactor</f>
        <v>0</v>
      </c>
      <c r="E25" s="339">
        <f>ImpactedNB*C25</f>
        <v>0</v>
      </c>
      <c r="F25" s="435">
        <f>ImpactedB*D25</f>
        <v>0</v>
      </c>
      <c r="G25" s="520">
        <f>IF(OR(Intersect,FreeConn,HOVConn,HOVDrop,OffRamp,OnRamp),C25,E25)/1000000*(HwyFatCost*FatalRateNB+HwyInjCost*InjuryRateNB+HwyPDOCost*PDORateNB)</f>
        <v>0</v>
      </c>
      <c r="H25" s="499">
        <f>IF(OR(Intersect,FreeConn,HOVConn,HOVDrop,OffRamp,OnRamp),D25,F25)/1000000*(HwyFatCost*FatalRateB+HwyInjCost*InjuryRateB+HwyPDOCost*PDORateB)</f>
        <v>0</v>
      </c>
      <c r="I25" s="285">
        <f>G25-H25</f>
        <v>0</v>
      </c>
      <c r="J25" s="323">
        <f>$I25/(1+DiscRate)^($B25+Construct-1)</f>
        <v>0</v>
      </c>
      <c r="L25" s="328">
        <v>20</v>
      </c>
      <c r="M25" s="353">
        <f>IF(OR(PassRail,LRT,Bus),TVehMi20NB,0)</f>
        <v>0</v>
      </c>
      <c r="N25" s="354">
        <f>IF(OR(PassRail,LRT,Bus),TVehMi20B,0)</f>
        <v>0</v>
      </c>
      <c r="O25" s="520">
        <f>IF(HwyRail,Fat3Yr*RailFatCost+Inj3Yr*RailInjCost,M25*IF(PassRail,PassRailAccCost,IF(LRT,LRTAccCost,IF(Bus,BusAccCost,0)))/1000000)</f>
        <v>0</v>
      </c>
      <c r="P25" s="499">
        <f>IF(HwyRail,0,N25*(1-TAccReductPer)*IF(PassRail,PassRailAccCost,IF(LRT,LRTAccCost,IF(Bus,BusAccCost,0)))/1000000)</f>
        <v>0</v>
      </c>
      <c r="Q25" s="285">
        <f>O25-P25</f>
        <v>0</v>
      </c>
      <c r="R25" s="323">
        <f>$Q25/(1+DiscRate)^($L25+Construct-1)</f>
        <v>0</v>
      </c>
      <c r="T25" s="328">
        <v>20</v>
      </c>
      <c r="U25" s="478">
        <f>J25</f>
        <v>0</v>
      </c>
      <c r="V25" s="478">
        <f>J56</f>
        <v>0</v>
      </c>
      <c r="W25" s="478">
        <f>J87</f>
        <v>0</v>
      </c>
      <c r="X25" s="478">
        <f>J118</f>
        <v>0</v>
      </c>
      <c r="Y25" s="478">
        <f>J149</f>
        <v>0</v>
      </c>
      <c r="Z25" s="478">
        <f>J180</f>
        <v>0</v>
      </c>
      <c r="AA25" s="478">
        <f>J211</f>
        <v>0</v>
      </c>
      <c r="AB25" s="478">
        <f>J242</f>
        <v>0</v>
      </c>
      <c r="AC25" s="478">
        <f>R25</f>
        <v>0</v>
      </c>
      <c r="AD25" s="323">
        <f>IF(Accidents&lt;&gt;"N",SUM(U25:AC25),0)</f>
        <v>0</v>
      </c>
      <c r="AE25" s="588"/>
      <c r="AF25" s="323">
        <f>$AD25*(1+DiscRate)^($B25+Construct-1)</f>
        <v>0</v>
      </c>
    </row>
    <row r="26" spans="1:32" x14ac:dyDescent="0.25">
      <c r="B26" s="357"/>
      <c r="C26" s="355"/>
      <c r="D26" s="355"/>
      <c r="E26" s="356"/>
      <c r="F26" s="356"/>
      <c r="G26" s="356"/>
      <c r="H26" s="356"/>
      <c r="I26" s="356"/>
      <c r="J26" s="358"/>
      <c r="L26" s="357"/>
      <c r="M26" s="355"/>
      <c r="N26" s="355"/>
      <c r="O26" s="356"/>
      <c r="P26" s="356"/>
      <c r="Q26" s="356"/>
      <c r="R26" s="358"/>
      <c r="T26" s="357"/>
      <c r="U26" s="358"/>
      <c r="V26" s="358"/>
      <c r="W26" s="358"/>
      <c r="X26" s="358"/>
      <c r="Y26" s="358"/>
      <c r="Z26" s="358"/>
      <c r="AA26" s="358"/>
      <c r="AB26" s="358"/>
      <c r="AC26" s="358"/>
      <c r="AD26" s="358"/>
      <c r="AE26" s="475"/>
      <c r="AF26" s="358"/>
    </row>
    <row r="27" spans="1:32" x14ac:dyDescent="0.25">
      <c r="B27" s="352">
        <v>2</v>
      </c>
      <c r="C27" s="368">
        <f>TREND(C24:C25,B24:B25,B27)</f>
        <v>0</v>
      </c>
      <c r="D27" s="369">
        <f>TREND(D24:D25,B24:B25,B27)</f>
        <v>0</v>
      </c>
      <c r="E27" s="339">
        <f t="shared" ref="E27:E44" si="0">ImpactedNB*C27</f>
        <v>0</v>
      </c>
      <c r="F27" s="434">
        <f t="shared" ref="F27:F44" si="1">ImpactedB*D27</f>
        <v>0</v>
      </c>
      <c r="G27" s="515">
        <f t="shared" ref="G27:G44" si="2">IF(OR(Intersect,FreeConn,HOVConn,HOVDrop,OffRamp,OnRamp),C27,E27)/1000000*(HwyFatCost*FatalRateNB+HwyInjCost*InjuryRateNB+HwyPDOCost*PDORateNB)</f>
        <v>0</v>
      </c>
      <c r="H27" s="498">
        <f t="shared" ref="H27:H44" si="3">IF(OR(Intersect,FreeConn,HOVConn,HOVDrop,OffRamp,OnRamp),D27,F27)/1000000*(HwyFatCost*FatalRateB+HwyInjCost*InjuryRateB+HwyPDOCost*PDORateB)</f>
        <v>0</v>
      </c>
      <c r="I27" s="285">
        <f t="shared" ref="I27:I44" si="4">G27-H27</f>
        <v>0</v>
      </c>
      <c r="J27" s="323">
        <f t="shared" ref="J27:J44" si="5">$I27/(1+DiscRate)^($B27+Construct-1)</f>
        <v>0</v>
      </c>
      <c r="L27" s="352">
        <v>2</v>
      </c>
      <c r="M27" s="368">
        <f>TREND(M24:M25,L24:L25,L27)</f>
        <v>0</v>
      </c>
      <c r="N27" s="629">
        <f>TREND(N24:N25,L24:L25,L27)</f>
        <v>0</v>
      </c>
      <c r="O27" s="515">
        <f t="shared" ref="O27:O44" si="6">IF(HwyRail,Fat3Yr*RailFatCost+Inj3Yr*RailInjCost,M27*IF(PassRail,PassRailAccCost,IF(LRT,LRTAccCost,IF(Bus,BusAccCost,0)))/1000000)</f>
        <v>0</v>
      </c>
      <c r="P27" s="498">
        <f t="shared" ref="P27:P44" si="7">IF(HwyRail,0,N27*(1-TAccReductPer)*IF(PassRail,PassRailAccCost,IF(LRT,LRTAccCost,IF(Bus,BusAccCost,0)))/1000000)</f>
        <v>0</v>
      </c>
      <c r="Q27" s="285">
        <f t="shared" ref="Q27:Q44" si="8">O27-P27</f>
        <v>0</v>
      </c>
      <c r="R27" s="323">
        <f t="shared" ref="R27:R44" si="9">$Q27/(1+DiscRate)^($L27+Construct-1)</f>
        <v>0</v>
      </c>
      <c r="T27" s="352">
        <v>2</v>
      </c>
      <c r="U27" s="478">
        <f t="shared" ref="U27:U44" si="10">J27</f>
        <v>0</v>
      </c>
      <c r="V27" s="478">
        <f t="shared" ref="V27:V44" si="11">J58</f>
        <v>0</v>
      </c>
      <c r="W27" s="478">
        <f t="shared" ref="W27:W44" si="12">J89</f>
        <v>0</v>
      </c>
      <c r="X27" s="478">
        <f t="shared" ref="X27:X44" si="13">J120</f>
        <v>0</v>
      </c>
      <c r="Y27" s="478">
        <f t="shared" ref="Y27:Y44" si="14">J151</f>
        <v>0</v>
      </c>
      <c r="Z27" s="478">
        <f t="shared" ref="Z27:Z44" si="15">J182</f>
        <v>0</v>
      </c>
      <c r="AA27" s="478">
        <f t="shared" ref="AA27:AA44" si="16">J213</f>
        <v>0</v>
      </c>
      <c r="AB27" s="478">
        <f t="shared" ref="AB27:AB44" si="17">J244</f>
        <v>0</v>
      </c>
      <c r="AC27" s="478">
        <f t="shared" ref="AC27:AC44" si="18">R27</f>
        <v>0</v>
      </c>
      <c r="AD27" s="323">
        <f t="shared" ref="AD27:AD44" si="19">IF(Accidents&lt;&gt;"N",SUM(U27:AC27),0)</f>
        <v>0</v>
      </c>
      <c r="AE27" s="588"/>
      <c r="AF27" s="323">
        <f t="shared" ref="AF27:AF44" si="20">$AD27*(1+DiscRate)^($B27+Construct-1)</f>
        <v>0</v>
      </c>
    </row>
    <row r="28" spans="1:32" x14ac:dyDescent="0.25">
      <c r="B28" s="327">
        <v>3</v>
      </c>
      <c r="C28" s="347">
        <f>TREND(C24:C25,B24:B25,B28)</f>
        <v>0</v>
      </c>
      <c r="D28" s="372">
        <f>TREND(D24:D25,B24:B25,B28)</f>
        <v>0</v>
      </c>
      <c r="E28" s="339">
        <f t="shared" si="0"/>
        <v>0</v>
      </c>
      <c r="F28" s="436">
        <f t="shared" si="1"/>
        <v>0</v>
      </c>
      <c r="G28" s="521">
        <f t="shared" si="2"/>
        <v>0</v>
      </c>
      <c r="H28" s="500">
        <f t="shared" si="3"/>
        <v>0</v>
      </c>
      <c r="I28" s="285">
        <f t="shared" si="4"/>
        <v>0</v>
      </c>
      <c r="J28" s="323">
        <f t="shared" si="5"/>
        <v>0</v>
      </c>
      <c r="L28" s="327">
        <v>3</v>
      </c>
      <c r="M28" s="347">
        <f>TREND(M24:M25,L24:L25,L28)</f>
        <v>0</v>
      </c>
      <c r="N28" s="630">
        <f>TREND(N24:N25,L24:L25,L28)</f>
        <v>0</v>
      </c>
      <c r="O28" s="521">
        <f t="shared" si="6"/>
        <v>0</v>
      </c>
      <c r="P28" s="500">
        <f t="shared" si="7"/>
        <v>0</v>
      </c>
      <c r="Q28" s="285">
        <f t="shared" si="8"/>
        <v>0</v>
      </c>
      <c r="R28" s="323">
        <f t="shared" si="9"/>
        <v>0</v>
      </c>
      <c r="T28" s="327">
        <v>3</v>
      </c>
      <c r="U28" s="478">
        <f t="shared" si="10"/>
        <v>0</v>
      </c>
      <c r="V28" s="478">
        <f t="shared" si="11"/>
        <v>0</v>
      </c>
      <c r="W28" s="478">
        <f t="shared" si="12"/>
        <v>0</v>
      </c>
      <c r="X28" s="478">
        <f t="shared" si="13"/>
        <v>0</v>
      </c>
      <c r="Y28" s="478">
        <f t="shared" si="14"/>
        <v>0</v>
      </c>
      <c r="Z28" s="478">
        <f t="shared" si="15"/>
        <v>0</v>
      </c>
      <c r="AA28" s="478">
        <f t="shared" si="16"/>
        <v>0</v>
      </c>
      <c r="AB28" s="478">
        <f t="shared" si="17"/>
        <v>0</v>
      </c>
      <c r="AC28" s="478">
        <f t="shared" si="18"/>
        <v>0</v>
      </c>
      <c r="AD28" s="323">
        <f t="shared" si="19"/>
        <v>0</v>
      </c>
      <c r="AE28" s="588"/>
      <c r="AF28" s="323">
        <f t="shared" si="20"/>
        <v>0</v>
      </c>
    </row>
    <row r="29" spans="1:32" x14ac:dyDescent="0.25">
      <c r="B29" s="327">
        <v>4</v>
      </c>
      <c r="C29" s="347">
        <f>TREND(C24:C25,B24:B25,B29)</f>
        <v>0</v>
      </c>
      <c r="D29" s="372">
        <f>TREND(D24:D25,B24:B25,B29)</f>
        <v>0</v>
      </c>
      <c r="E29" s="339">
        <f t="shared" si="0"/>
        <v>0</v>
      </c>
      <c r="F29" s="436">
        <f t="shared" si="1"/>
        <v>0</v>
      </c>
      <c r="G29" s="521">
        <f t="shared" si="2"/>
        <v>0</v>
      </c>
      <c r="H29" s="500">
        <f t="shared" si="3"/>
        <v>0</v>
      </c>
      <c r="I29" s="285">
        <f t="shared" si="4"/>
        <v>0</v>
      </c>
      <c r="J29" s="323">
        <f t="shared" si="5"/>
        <v>0</v>
      </c>
      <c r="L29" s="327">
        <v>4</v>
      </c>
      <c r="M29" s="347">
        <f>TREND(M24:M25,L24:L25,L29)</f>
        <v>0</v>
      </c>
      <c r="N29" s="630">
        <f>TREND(N24:N25,L24:L25,L29)</f>
        <v>0</v>
      </c>
      <c r="O29" s="521">
        <f t="shared" si="6"/>
        <v>0</v>
      </c>
      <c r="P29" s="500">
        <f t="shared" si="7"/>
        <v>0</v>
      </c>
      <c r="Q29" s="285">
        <f t="shared" si="8"/>
        <v>0</v>
      </c>
      <c r="R29" s="323">
        <f t="shared" si="9"/>
        <v>0</v>
      </c>
      <c r="T29" s="327">
        <v>4</v>
      </c>
      <c r="U29" s="478">
        <f t="shared" si="10"/>
        <v>0</v>
      </c>
      <c r="V29" s="478">
        <f t="shared" si="11"/>
        <v>0</v>
      </c>
      <c r="W29" s="478">
        <f t="shared" si="12"/>
        <v>0</v>
      </c>
      <c r="X29" s="478">
        <f t="shared" si="13"/>
        <v>0</v>
      </c>
      <c r="Y29" s="478">
        <f t="shared" si="14"/>
        <v>0</v>
      </c>
      <c r="Z29" s="478">
        <f t="shared" si="15"/>
        <v>0</v>
      </c>
      <c r="AA29" s="478">
        <f t="shared" si="16"/>
        <v>0</v>
      </c>
      <c r="AB29" s="478">
        <f t="shared" si="17"/>
        <v>0</v>
      </c>
      <c r="AC29" s="478">
        <f t="shared" si="18"/>
        <v>0</v>
      </c>
      <c r="AD29" s="323">
        <f t="shared" si="19"/>
        <v>0</v>
      </c>
      <c r="AE29" s="588"/>
      <c r="AF29" s="323">
        <f t="shared" si="20"/>
        <v>0</v>
      </c>
    </row>
    <row r="30" spans="1:32" x14ac:dyDescent="0.25">
      <c r="B30" s="327">
        <v>5</v>
      </c>
      <c r="C30" s="347">
        <f>TREND(C24:C25,B24:B25,B30)</f>
        <v>0</v>
      </c>
      <c r="D30" s="372">
        <f>TREND(D24:D25,B24:B25,B30)</f>
        <v>0</v>
      </c>
      <c r="E30" s="339">
        <f t="shared" si="0"/>
        <v>0</v>
      </c>
      <c r="F30" s="436">
        <f t="shared" si="1"/>
        <v>0</v>
      </c>
      <c r="G30" s="521">
        <f t="shared" si="2"/>
        <v>0</v>
      </c>
      <c r="H30" s="500">
        <f t="shared" si="3"/>
        <v>0</v>
      </c>
      <c r="I30" s="285">
        <f t="shared" si="4"/>
        <v>0</v>
      </c>
      <c r="J30" s="323">
        <f t="shared" si="5"/>
        <v>0</v>
      </c>
      <c r="L30" s="327">
        <v>5</v>
      </c>
      <c r="M30" s="347">
        <f>TREND(M24:M25,L24:L25,L30)</f>
        <v>0</v>
      </c>
      <c r="N30" s="630">
        <f>TREND(N24:N25,L24:L25,L30)</f>
        <v>0</v>
      </c>
      <c r="O30" s="521">
        <f t="shared" si="6"/>
        <v>0</v>
      </c>
      <c r="P30" s="500">
        <f t="shared" si="7"/>
        <v>0</v>
      </c>
      <c r="Q30" s="285">
        <f t="shared" si="8"/>
        <v>0</v>
      </c>
      <c r="R30" s="323">
        <f t="shared" si="9"/>
        <v>0</v>
      </c>
      <c r="T30" s="327">
        <v>5</v>
      </c>
      <c r="U30" s="478">
        <f t="shared" si="10"/>
        <v>0</v>
      </c>
      <c r="V30" s="478">
        <f t="shared" si="11"/>
        <v>0</v>
      </c>
      <c r="W30" s="478">
        <f t="shared" si="12"/>
        <v>0</v>
      </c>
      <c r="X30" s="478">
        <f t="shared" si="13"/>
        <v>0</v>
      </c>
      <c r="Y30" s="478">
        <f t="shared" si="14"/>
        <v>0</v>
      </c>
      <c r="Z30" s="478">
        <f t="shared" si="15"/>
        <v>0</v>
      </c>
      <c r="AA30" s="478">
        <f t="shared" si="16"/>
        <v>0</v>
      </c>
      <c r="AB30" s="478">
        <f t="shared" si="17"/>
        <v>0</v>
      </c>
      <c r="AC30" s="478">
        <f t="shared" si="18"/>
        <v>0</v>
      </c>
      <c r="AD30" s="323">
        <f t="shared" si="19"/>
        <v>0</v>
      </c>
      <c r="AE30" s="588"/>
      <c r="AF30" s="323">
        <f t="shared" si="20"/>
        <v>0</v>
      </c>
    </row>
    <row r="31" spans="1:32" x14ac:dyDescent="0.25">
      <c r="B31" s="327">
        <v>6</v>
      </c>
      <c r="C31" s="347">
        <f>TREND(C24:C25,B24:B25,B31)</f>
        <v>0</v>
      </c>
      <c r="D31" s="372">
        <f>TREND(D24:D25,B24:B25,B31)</f>
        <v>0</v>
      </c>
      <c r="E31" s="339">
        <f t="shared" si="0"/>
        <v>0</v>
      </c>
      <c r="F31" s="436">
        <f t="shared" si="1"/>
        <v>0</v>
      </c>
      <c r="G31" s="521">
        <f t="shared" si="2"/>
        <v>0</v>
      </c>
      <c r="H31" s="500">
        <f t="shared" si="3"/>
        <v>0</v>
      </c>
      <c r="I31" s="285">
        <f t="shared" si="4"/>
        <v>0</v>
      </c>
      <c r="J31" s="323">
        <f t="shared" si="5"/>
        <v>0</v>
      </c>
      <c r="L31" s="327">
        <v>6</v>
      </c>
      <c r="M31" s="347">
        <f>TREND(M24:M25,L24:L25,L31)</f>
        <v>0</v>
      </c>
      <c r="N31" s="630">
        <f>TREND(N24:N25,L24:L25,L31)</f>
        <v>0</v>
      </c>
      <c r="O31" s="521">
        <f t="shared" si="6"/>
        <v>0</v>
      </c>
      <c r="P31" s="500">
        <f t="shared" si="7"/>
        <v>0</v>
      </c>
      <c r="Q31" s="285">
        <f t="shared" si="8"/>
        <v>0</v>
      </c>
      <c r="R31" s="323">
        <f t="shared" si="9"/>
        <v>0</v>
      </c>
      <c r="T31" s="327">
        <v>6</v>
      </c>
      <c r="U31" s="478">
        <f t="shared" si="10"/>
        <v>0</v>
      </c>
      <c r="V31" s="478">
        <f t="shared" si="11"/>
        <v>0</v>
      </c>
      <c r="W31" s="478">
        <f t="shared" si="12"/>
        <v>0</v>
      </c>
      <c r="X31" s="478">
        <f t="shared" si="13"/>
        <v>0</v>
      </c>
      <c r="Y31" s="478">
        <f t="shared" si="14"/>
        <v>0</v>
      </c>
      <c r="Z31" s="478">
        <f t="shared" si="15"/>
        <v>0</v>
      </c>
      <c r="AA31" s="478">
        <f t="shared" si="16"/>
        <v>0</v>
      </c>
      <c r="AB31" s="478">
        <f t="shared" si="17"/>
        <v>0</v>
      </c>
      <c r="AC31" s="478">
        <f t="shared" si="18"/>
        <v>0</v>
      </c>
      <c r="AD31" s="323">
        <f t="shared" si="19"/>
        <v>0</v>
      </c>
      <c r="AE31" s="588"/>
      <c r="AF31" s="323">
        <f t="shared" si="20"/>
        <v>0</v>
      </c>
    </row>
    <row r="32" spans="1:32" x14ac:dyDescent="0.25">
      <c r="B32" s="327">
        <v>7</v>
      </c>
      <c r="C32" s="347">
        <f>TREND(C24:C25,B24:B25,B32)</f>
        <v>0</v>
      </c>
      <c r="D32" s="372">
        <f>TREND(D24:D25,B24:B25,B32)</f>
        <v>0</v>
      </c>
      <c r="E32" s="339">
        <f t="shared" si="0"/>
        <v>0</v>
      </c>
      <c r="F32" s="436">
        <f t="shared" si="1"/>
        <v>0</v>
      </c>
      <c r="G32" s="521">
        <f t="shared" si="2"/>
        <v>0</v>
      </c>
      <c r="H32" s="500">
        <f t="shared" si="3"/>
        <v>0</v>
      </c>
      <c r="I32" s="285">
        <f t="shared" si="4"/>
        <v>0</v>
      </c>
      <c r="J32" s="323">
        <f t="shared" si="5"/>
        <v>0</v>
      </c>
      <c r="L32" s="327">
        <v>7</v>
      </c>
      <c r="M32" s="347">
        <f>TREND(M24:M25,L24:L25,L32)</f>
        <v>0</v>
      </c>
      <c r="N32" s="630">
        <f>TREND(N24:N25,L24:L25,L32)</f>
        <v>0</v>
      </c>
      <c r="O32" s="521">
        <f t="shared" si="6"/>
        <v>0</v>
      </c>
      <c r="P32" s="500">
        <f t="shared" si="7"/>
        <v>0</v>
      </c>
      <c r="Q32" s="285">
        <f t="shared" si="8"/>
        <v>0</v>
      </c>
      <c r="R32" s="323">
        <f t="shared" si="9"/>
        <v>0</v>
      </c>
      <c r="T32" s="327">
        <v>7</v>
      </c>
      <c r="U32" s="478">
        <f t="shared" si="10"/>
        <v>0</v>
      </c>
      <c r="V32" s="478">
        <f t="shared" si="11"/>
        <v>0</v>
      </c>
      <c r="W32" s="478">
        <f t="shared" si="12"/>
        <v>0</v>
      </c>
      <c r="X32" s="478">
        <f t="shared" si="13"/>
        <v>0</v>
      </c>
      <c r="Y32" s="478">
        <f t="shared" si="14"/>
        <v>0</v>
      </c>
      <c r="Z32" s="478">
        <f t="shared" si="15"/>
        <v>0</v>
      </c>
      <c r="AA32" s="478">
        <f t="shared" si="16"/>
        <v>0</v>
      </c>
      <c r="AB32" s="478">
        <f t="shared" si="17"/>
        <v>0</v>
      </c>
      <c r="AC32" s="478">
        <f t="shared" si="18"/>
        <v>0</v>
      </c>
      <c r="AD32" s="323">
        <f t="shared" si="19"/>
        <v>0</v>
      </c>
      <c r="AE32" s="588"/>
      <c r="AF32" s="323">
        <f t="shared" si="20"/>
        <v>0</v>
      </c>
    </row>
    <row r="33" spans="2:32" x14ac:dyDescent="0.25">
      <c r="B33" s="327">
        <v>8</v>
      </c>
      <c r="C33" s="347">
        <f>TREND(C24:C25,B24:B25,B33)</f>
        <v>0</v>
      </c>
      <c r="D33" s="372">
        <f>TREND(D24:D25,B24:B25,B33)</f>
        <v>0</v>
      </c>
      <c r="E33" s="339">
        <f t="shared" si="0"/>
        <v>0</v>
      </c>
      <c r="F33" s="436">
        <f t="shared" si="1"/>
        <v>0</v>
      </c>
      <c r="G33" s="521">
        <f t="shared" si="2"/>
        <v>0</v>
      </c>
      <c r="H33" s="500">
        <f t="shared" si="3"/>
        <v>0</v>
      </c>
      <c r="I33" s="285">
        <f t="shared" si="4"/>
        <v>0</v>
      </c>
      <c r="J33" s="323">
        <f t="shared" si="5"/>
        <v>0</v>
      </c>
      <c r="L33" s="327">
        <v>8</v>
      </c>
      <c r="M33" s="347">
        <f>TREND(M24:M25,L24:L25,L33)</f>
        <v>0</v>
      </c>
      <c r="N33" s="630">
        <f>TREND(N24:N25,L24:L25,L33)</f>
        <v>0</v>
      </c>
      <c r="O33" s="521">
        <f t="shared" si="6"/>
        <v>0</v>
      </c>
      <c r="P33" s="500">
        <f t="shared" si="7"/>
        <v>0</v>
      </c>
      <c r="Q33" s="285">
        <f t="shared" si="8"/>
        <v>0</v>
      </c>
      <c r="R33" s="323">
        <f t="shared" si="9"/>
        <v>0</v>
      </c>
      <c r="T33" s="327">
        <v>8</v>
      </c>
      <c r="U33" s="478">
        <f t="shared" si="10"/>
        <v>0</v>
      </c>
      <c r="V33" s="478">
        <f t="shared" si="11"/>
        <v>0</v>
      </c>
      <c r="W33" s="478">
        <f t="shared" si="12"/>
        <v>0</v>
      </c>
      <c r="X33" s="478">
        <f t="shared" si="13"/>
        <v>0</v>
      </c>
      <c r="Y33" s="478">
        <f t="shared" si="14"/>
        <v>0</v>
      </c>
      <c r="Z33" s="478">
        <f t="shared" si="15"/>
        <v>0</v>
      </c>
      <c r="AA33" s="478">
        <f t="shared" si="16"/>
        <v>0</v>
      </c>
      <c r="AB33" s="478">
        <f t="shared" si="17"/>
        <v>0</v>
      </c>
      <c r="AC33" s="478">
        <f t="shared" si="18"/>
        <v>0</v>
      </c>
      <c r="AD33" s="323">
        <f t="shared" si="19"/>
        <v>0</v>
      </c>
      <c r="AE33" s="588"/>
      <c r="AF33" s="323">
        <f t="shared" si="20"/>
        <v>0</v>
      </c>
    </row>
    <row r="34" spans="2:32" x14ac:dyDescent="0.25">
      <c r="B34" s="327">
        <v>9</v>
      </c>
      <c r="C34" s="347">
        <f>TREND(C24:C25,B24:B25,B34)</f>
        <v>0</v>
      </c>
      <c r="D34" s="372">
        <f>TREND(D24:D25,B24:B25,B34)</f>
        <v>0</v>
      </c>
      <c r="E34" s="339">
        <f t="shared" si="0"/>
        <v>0</v>
      </c>
      <c r="F34" s="436">
        <f t="shared" si="1"/>
        <v>0</v>
      </c>
      <c r="G34" s="521">
        <f t="shared" si="2"/>
        <v>0</v>
      </c>
      <c r="H34" s="500">
        <f t="shared" si="3"/>
        <v>0</v>
      </c>
      <c r="I34" s="285">
        <f t="shared" si="4"/>
        <v>0</v>
      </c>
      <c r="J34" s="323">
        <f t="shared" si="5"/>
        <v>0</v>
      </c>
      <c r="L34" s="327">
        <v>9</v>
      </c>
      <c r="M34" s="347">
        <f>TREND(M24:M25,L24:L25,L34)</f>
        <v>0</v>
      </c>
      <c r="N34" s="630">
        <f>TREND(N24:N25,L24:L25,L34)</f>
        <v>0</v>
      </c>
      <c r="O34" s="521">
        <f t="shared" si="6"/>
        <v>0</v>
      </c>
      <c r="P34" s="500">
        <f t="shared" si="7"/>
        <v>0</v>
      </c>
      <c r="Q34" s="285">
        <f t="shared" si="8"/>
        <v>0</v>
      </c>
      <c r="R34" s="323">
        <f t="shared" si="9"/>
        <v>0</v>
      </c>
      <c r="T34" s="327">
        <v>9</v>
      </c>
      <c r="U34" s="478">
        <f t="shared" si="10"/>
        <v>0</v>
      </c>
      <c r="V34" s="478">
        <f t="shared" si="11"/>
        <v>0</v>
      </c>
      <c r="W34" s="478">
        <f t="shared" si="12"/>
        <v>0</v>
      </c>
      <c r="X34" s="478">
        <f t="shared" si="13"/>
        <v>0</v>
      </c>
      <c r="Y34" s="478">
        <f t="shared" si="14"/>
        <v>0</v>
      </c>
      <c r="Z34" s="478">
        <f t="shared" si="15"/>
        <v>0</v>
      </c>
      <c r="AA34" s="478">
        <f t="shared" si="16"/>
        <v>0</v>
      </c>
      <c r="AB34" s="478">
        <f t="shared" si="17"/>
        <v>0</v>
      </c>
      <c r="AC34" s="478">
        <f t="shared" si="18"/>
        <v>0</v>
      </c>
      <c r="AD34" s="323">
        <f t="shared" si="19"/>
        <v>0</v>
      </c>
      <c r="AE34" s="588"/>
      <c r="AF34" s="323">
        <f t="shared" si="20"/>
        <v>0</v>
      </c>
    </row>
    <row r="35" spans="2:32" x14ac:dyDescent="0.25">
      <c r="B35" s="327">
        <v>10</v>
      </c>
      <c r="C35" s="347">
        <f>TREND(C24:C25,B24:B25,B35)</f>
        <v>0</v>
      </c>
      <c r="D35" s="372">
        <f>TREND(D24:D25,B24:B25,B35)</f>
        <v>0</v>
      </c>
      <c r="E35" s="339">
        <f t="shared" si="0"/>
        <v>0</v>
      </c>
      <c r="F35" s="436">
        <f t="shared" si="1"/>
        <v>0</v>
      </c>
      <c r="G35" s="521">
        <f t="shared" si="2"/>
        <v>0</v>
      </c>
      <c r="H35" s="500">
        <f t="shared" si="3"/>
        <v>0</v>
      </c>
      <c r="I35" s="285">
        <f t="shared" si="4"/>
        <v>0</v>
      </c>
      <c r="J35" s="323">
        <f t="shared" si="5"/>
        <v>0</v>
      </c>
      <c r="L35" s="327">
        <v>10</v>
      </c>
      <c r="M35" s="347">
        <f>TREND(M24:M25,L24:L25,L35)</f>
        <v>0</v>
      </c>
      <c r="N35" s="630">
        <f>TREND(N24:N25,L24:L25,L35)</f>
        <v>0</v>
      </c>
      <c r="O35" s="521">
        <f t="shared" si="6"/>
        <v>0</v>
      </c>
      <c r="P35" s="500">
        <f t="shared" si="7"/>
        <v>0</v>
      </c>
      <c r="Q35" s="285">
        <f t="shared" si="8"/>
        <v>0</v>
      </c>
      <c r="R35" s="323">
        <f t="shared" si="9"/>
        <v>0</v>
      </c>
      <c r="T35" s="327">
        <v>10</v>
      </c>
      <c r="U35" s="478">
        <f t="shared" si="10"/>
        <v>0</v>
      </c>
      <c r="V35" s="478">
        <f t="shared" si="11"/>
        <v>0</v>
      </c>
      <c r="W35" s="478">
        <f t="shared" si="12"/>
        <v>0</v>
      </c>
      <c r="X35" s="478">
        <f t="shared" si="13"/>
        <v>0</v>
      </c>
      <c r="Y35" s="478">
        <f t="shared" si="14"/>
        <v>0</v>
      </c>
      <c r="Z35" s="478">
        <f t="shared" si="15"/>
        <v>0</v>
      </c>
      <c r="AA35" s="478">
        <f t="shared" si="16"/>
        <v>0</v>
      </c>
      <c r="AB35" s="478">
        <f t="shared" si="17"/>
        <v>0</v>
      </c>
      <c r="AC35" s="478">
        <f t="shared" si="18"/>
        <v>0</v>
      </c>
      <c r="AD35" s="323">
        <f t="shared" si="19"/>
        <v>0</v>
      </c>
      <c r="AE35" s="588"/>
      <c r="AF35" s="323">
        <f t="shared" si="20"/>
        <v>0</v>
      </c>
    </row>
    <row r="36" spans="2:32" x14ac:dyDescent="0.25">
      <c r="B36" s="327">
        <v>11</v>
      </c>
      <c r="C36" s="347">
        <f>TREND(C24:C25,B24:B25,B36)</f>
        <v>0</v>
      </c>
      <c r="D36" s="372">
        <f>TREND(D24:D25,B24:B25,B36)</f>
        <v>0</v>
      </c>
      <c r="E36" s="339">
        <f t="shared" si="0"/>
        <v>0</v>
      </c>
      <c r="F36" s="436">
        <f t="shared" si="1"/>
        <v>0</v>
      </c>
      <c r="G36" s="521">
        <f t="shared" si="2"/>
        <v>0</v>
      </c>
      <c r="H36" s="500">
        <f t="shared" si="3"/>
        <v>0</v>
      </c>
      <c r="I36" s="285">
        <f t="shared" si="4"/>
        <v>0</v>
      </c>
      <c r="J36" s="323">
        <f t="shared" si="5"/>
        <v>0</v>
      </c>
      <c r="L36" s="327">
        <v>11</v>
      </c>
      <c r="M36" s="347">
        <f>TREND(M24:M25,L24:L25,L36)</f>
        <v>0</v>
      </c>
      <c r="N36" s="630">
        <f>TREND(N24:N25,L24:L25,L36)</f>
        <v>0</v>
      </c>
      <c r="O36" s="521">
        <f t="shared" si="6"/>
        <v>0</v>
      </c>
      <c r="P36" s="500">
        <f t="shared" si="7"/>
        <v>0</v>
      </c>
      <c r="Q36" s="285">
        <f t="shared" si="8"/>
        <v>0</v>
      </c>
      <c r="R36" s="323">
        <f t="shared" si="9"/>
        <v>0</v>
      </c>
      <c r="T36" s="327">
        <v>11</v>
      </c>
      <c r="U36" s="478">
        <f t="shared" si="10"/>
        <v>0</v>
      </c>
      <c r="V36" s="478">
        <f t="shared" si="11"/>
        <v>0</v>
      </c>
      <c r="W36" s="478">
        <f t="shared" si="12"/>
        <v>0</v>
      </c>
      <c r="X36" s="478">
        <f t="shared" si="13"/>
        <v>0</v>
      </c>
      <c r="Y36" s="478">
        <f t="shared" si="14"/>
        <v>0</v>
      </c>
      <c r="Z36" s="478">
        <f t="shared" si="15"/>
        <v>0</v>
      </c>
      <c r="AA36" s="478">
        <f t="shared" si="16"/>
        <v>0</v>
      </c>
      <c r="AB36" s="478">
        <f t="shared" si="17"/>
        <v>0</v>
      </c>
      <c r="AC36" s="478">
        <f t="shared" si="18"/>
        <v>0</v>
      </c>
      <c r="AD36" s="323">
        <f t="shared" si="19"/>
        <v>0</v>
      </c>
      <c r="AE36" s="588"/>
      <c r="AF36" s="323">
        <f t="shared" si="20"/>
        <v>0</v>
      </c>
    </row>
    <row r="37" spans="2:32" x14ac:dyDescent="0.25">
      <c r="B37" s="327">
        <v>12</v>
      </c>
      <c r="C37" s="347">
        <f>TREND(C24:C25,B24:B25,B37)</f>
        <v>0</v>
      </c>
      <c r="D37" s="372">
        <f>TREND(D24:D25,B24:B25,B37)</f>
        <v>0</v>
      </c>
      <c r="E37" s="339">
        <f t="shared" si="0"/>
        <v>0</v>
      </c>
      <c r="F37" s="436">
        <f t="shared" si="1"/>
        <v>0</v>
      </c>
      <c r="G37" s="521">
        <f t="shared" si="2"/>
        <v>0</v>
      </c>
      <c r="H37" s="500">
        <f t="shared" si="3"/>
        <v>0</v>
      </c>
      <c r="I37" s="285">
        <f t="shared" si="4"/>
        <v>0</v>
      </c>
      <c r="J37" s="323">
        <f t="shared" si="5"/>
        <v>0</v>
      </c>
      <c r="L37" s="327">
        <v>12</v>
      </c>
      <c r="M37" s="347">
        <f>TREND(M24:M25,L24:L25,L37)</f>
        <v>0</v>
      </c>
      <c r="N37" s="630">
        <f>TREND(N24:N25,L24:L25,L37)</f>
        <v>0</v>
      </c>
      <c r="O37" s="521">
        <f t="shared" si="6"/>
        <v>0</v>
      </c>
      <c r="P37" s="500">
        <f t="shared" si="7"/>
        <v>0</v>
      </c>
      <c r="Q37" s="285">
        <f t="shared" si="8"/>
        <v>0</v>
      </c>
      <c r="R37" s="323">
        <f t="shared" si="9"/>
        <v>0</v>
      </c>
      <c r="T37" s="327">
        <v>12</v>
      </c>
      <c r="U37" s="478">
        <f t="shared" si="10"/>
        <v>0</v>
      </c>
      <c r="V37" s="478">
        <f t="shared" si="11"/>
        <v>0</v>
      </c>
      <c r="W37" s="478">
        <f t="shared" si="12"/>
        <v>0</v>
      </c>
      <c r="X37" s="478">
        <f t="shared" si="13"/>
        <v>0</v>
      </c>
      <c r="Y37" s="478">
        <f t="shared" si="14"/>
        <v>0</v>
      </c>
      <c r="Z37" s="478">
        <f t="shared" si="15"/>
        <v>0</v>
      </c>
      <c r="AA37" s="478">
        <f t="shared" si="16"/>
        <v>0</v>
      </c>
      <c r="AB37" s="478">
        <f t="shared" si="17"/>
        <v>0</v>
      </c>
      <c r="AC37" s="478">
        <f t="shared" si="18"/>
        <v>0</v>
      </c>
      <c r="AD37" s="323">
        <f t="shared" si="19"/>
        <v>0</v>
      </c>
      <c r="AE37" s="588"/>
      <c r="AF37" s="323">
        <f t="shared" si="20"/>
        <v>0</v>
      </c>
    </row>
    <row r="38" spans="2:32" x14ac:dyDescent="0.25">
      <c r="B38" s="327">
        <v>13</v>
      </c>
      <c r="C38" s="347">
        <f>TREND(C24:C25,B24:B25,B38)</f>
        <v>0</v>
      </c>
      <c r="D38" s="372">
        <f>TREND(D24:D25,B24:B25,B38)</f>
        <v>0</v>
      </c>
      <c r="E38" s="339">
        <f t="shared" si="0"/>
        <v>0</v>
      </c>
      <c r="F38" s="436">
        <f t="shared" si="1"/>
        <v>0</v>
      </c>
      <c r="G38" s="521">
        <f t="shared" si="2"/>
        <v>0</v>
      </c>
      <c r="H38" s="500">
        <f t="shared" si="3"/>
        <v>0</v>
      </c>
      <c r="I38" s="285">
        <f t="shared" si="4"/>
        <v>0</v>
      </c>
      <c r="J38" s="323">
        <f t="shared" si="5"/>
        <v>0</v>
      </c>
      <c r="L38" s="327">
        <v>13</v>
      </c>
      <c r="M38" s="347">
        <f>TREND(M24:M25,L24:L25,L38)</f>
        <v>0</v>
      </c>
      <c r="N38" s="630">
        <f>TREND(N24:N25,L24:L25,L38)</f>
        <v>0</v>
      </c>
      <c r="O38" s="521">
        <f t="shared" si="6"/>
        <v>0</v>
      </c>
      <c r="P38" s="500">
        <f t="shared" si="7"/>
        <v>0</v>
      </c>
      <c r="Q38" s="285">
        <f t="shared" si="8"/>
        <v>0</v>
      </c>
      <c r="R38" s="323">
        <f t="shared" si="9"/>
        <v>0</v>
      </c>
      <c r="T38" s="327">
        <v>13</v>
      </c>
      <c r="U38" s="478">
        <f t="shared" si="10"/>
        <v>0</v>
      </c>
      <c r="V38" s="478">
        <f t="shared" si="11"/>
        <v>0</v>
      </c>
      <c r="W38" s="478">
        <f t="shared" si="12"/>
        <v>0</v>
      </c>
      <c r="X38" s="478">
        <f t="shared" si="13"/>
        <v>0</v>
      </c>
      <c r="Y38" s="478">
        <f t="shared" si="14"/>
        <v>0</v>
      </c>
      <c r="Z38" s="478">
        <f t="shared" si="15"/>
        <v>0</v>
      </c>
      <c r="AA38" s="478">
        <f t="shared" si="16"/>
        <v>0</v>
      </c>
      <c r="AB38" s="478">
        <f t="shared" si="17"/>
        <v>0</v>
      </c>
      <c r="AC38" s="478">
        <f t="shared" si="18"/>
        <v>0</v>
      </c>
      <c r="AD38" s="323">
        <f t="shared" si="19"/>
        <v>0</v>
      </c>
      <c r="AE38" s="588"/>
      <c r="AF38" s="323">
        <f t="shared" si="20"/>
        <v>0</v>
      </c>
    </row>
    <row r="39" spans="2:32" x14ac:dyDescent="0.25">
      <c r="B39" s="327">
        <v>14</v>
      </c>
      <c r="C39" s="347">
        <f>TREND(C24:C25,B24:B25,B39)</f>
        <v>0</v>
      </c>
      <c r="D39" s="372">
        <f>TREND(D24:D25,B24:B25,B39)</f>
        <v>0</v>
      </c>
      <c r="E39" s="339">
        <f t="shared" si="0"/>
        <v>0</v>
      </c>
      <c r="F39" s="436">
        <f t="shared" si="1"/>
        <v>0</v>
      </c>
      <c r="G39" s="521">
        <f t="shared" si="2"/>
        <v>0</v>
      </c>
      <c r="H39" s="500">
        <f t="shared" si="3"/>
        <v>0</v>
      </c>
      <c r="I39" s="285">
        <f t="shared" si="4"/>
        <v>0</v>
      </c>
      <c r="J39" s="323">
        <f t="shared" si="5"/>
        <v>0</v>
      </c>
      <c r="L39" s="327">
        <v>14</v>
      </c>
      <c r="M39" s="347">
        <f>TREND(M24:M25,L24:L25,L39)</f>
        <v>0</v>
      </c>
      <c r="N39" s="630">
        <f>TREND(N24:N25,L24:L25,L39)</f>
        <v>0</v>
      </c>
      <c r="O39" s="521">
        <f t="shared" si="6"/>
        <v>0</v>
      </c>
      <c r="P39" s="500">
        <f t="shared" si="7"/>
        <v>0</v>
      </c>
      <c r="Q39" s="285">
        <f t="shared" si="8"/>
        <v>0</v>
      </c>
      <c r="R39" s="323">
        <f t="shared" si="9"/>
        <v>0</v>
      </c>
      <c r="T39" s="327">
        <v>14</v>
      </c>
      <c r="U39" s="478">
        <f t="shared" si="10"/>
        <v>0</v>
      </c>
      <c r="V39" s="478">
        <f t="shared" si="11"/>
        <v>0</v>
      </c>
      <c r="W39" s="478">
        <f t="shared" si="12"/>
        <v>0</v>
      </c>
      <c r="X39" s="478">
        <f t="shared" si="13"/>
        <v>0</v>
      </c>
      <c r="Y39" s="478">
        <f t="shared" si="14"/>
        <v>0</v>
      </c>
      <c r="Z39" s="478">
        <f t="shared" si="15"/>
        <v>0</v>
      </c>
      <c r="AA39" s="478">
        <f t="shared" si="16"/>
        <v>0</v>
      </c>
      <c r="AB39" s="478">
        <f t="shared" si="17"/>
        <v>0</v>
      </c>
      <c r="AC39" s="478">
        <f t="shared" si="18"/>
        <v>0</v>
      </c>
      <c r="AD39" s="323">
        <f t="shared" si="19"/>
        <v>0</v>
      </c>
      <c r="AE39" s="588"/>
      <c r="AF39" s="323">
        <f t="shared" si="20"/>
        <v>0</v>
      </c>
    </row>
    <row r="40" spans="2:32" x14ac:dyDescent="0.25">
      <c r="B40" s="327">
        <v>15</v>
      </c>
      <c r="C40" s="347">
        <f>TREND(C24:C25,B24:B25,B40)</f>
        <v>0</v>
      </c>
      <c r="D40" s="372">
        <f>TREND(D24:D25,B24:B25,B40)</f>
        <v>0</v>
      </c>
      <c r="E40" s="339">
        <f t="shared" si="0"/>
        <v>0</v>
      </c>
      <c r="F40" s="436">
        <f t="shared" si="1"/>
        <v>0</v>
      </c>
      <c r="G40" s="521">
        <f t="shared" si="2"/>
        <v>0</v>
      </c>
      <c r="H40" s="500">
        <f t="shared" si="3"/>
        <v>0</v>
      </c>
      <c r="I40" s="285">
        <f t="shared" si="4"/>
        <v>0</v>
      </c>
      <c r="J40" s="323">
        <f t="shared" si="5"/>
        <v>0</v>
      </c>
      <c r="L40" s="327">
        <v>15</v>
      </c>
      <c r="M40" s="347">
        <f>TREND(M24:M25,L24:L25,L40)</f>
        <v>0</v>
      </c>
      <c r="N40" s="630">
        <f>TREND(N24:N25,L24:L25,L40)</f>
        <v>0</v>
      </c>
      <c r="O40" s="521">
        <f t="shared" si="6"/>
        <v>0</v>
      </c>
      <c r="P40" s="500">
        <f t="shared" si="7"/>
        <v>0</v>
      </c>
      <c r="Q40" s="285">
        <f t="shared" si="8"/>
        <v>0</v>
      </c>
      <c r="R40" s="323">
        <f t="shared" si="9"/>
        <v>0</v>
      </c>
      <c r="T40" s="327">
        <v>15</v>
      </c>
      <c r="U40" s="478">
        <f t="shared" si="10"/>
        <v>0</v>
      </c>
      <c r="V40" s="478">
        <f t="shared" si="11"/>
        <v>0</v>
      </c>
      <c r="W40" s="478">
        <f t="shared" si="12"/>
        <v>0</v>
      </c>
      <c r="X40" s="478">
        <f t="shared" si="13"/>
        <v>0</v>
      </c>
      <c r="Y40" s="478">
        <f t="shared" si="14"/>
        <v>0</v>
      </c>
      <c r="Z40" s="478">
        <f t="shared" si="15"/>
        <v>0</v>
      </c>
      <c r="AA40" s="478">
        <f t="shared" si="16"/>
        <v>0</v>
      </c>
      <c r="AB40" s="478">
        <f t="shared" si="17"/>
        <v>0</v>
      </c>
      <c r="AC40" s="478">
        <f t="shared" si="18"/>
        <v>0</v>
      </c>
      <c r="AD40" s="323">
        <f t="shared" si="19"/>
        <v>0</v>
      </c>
      <c r="AE40" s="588"/>
      <c r="AF40" s="323">
        <f t="shared" si="20"/>
        <v>0</v>
      </c>
    </row>
    <row r="41" spans="2:32" x14ac:dyDescent="0.25">
      <c r="B41" s="327">
        <v>16</v>
      </c>
      <c r="C41" s="347">
        <f>TREND(C24:C25,B24:B25,B41)</f>
        <v>0</v>
      </c>
      <c r="D41" s="372">
        <f>TREND(D24:D25,B24:B25,B41)</f>
        <v>0</v>
      </c>
      <c r="E41" s="339">
        <f t="shared" si="0"/>
        <v>0</v>
      </c>
      <c r="F41" s="436">
        <f t="shared" si="1"/>
        <v>0</v>
      </c>
      <c r="G41" s="521">
        <f t="shared" si="2"/>
        <v>0</v>
      </c>
      <c r="H41" s="500">
        <f t="shared" si="3"/>
        <v>0</v>
      </c>
      <c r="I41" s="285">
        <f t="shared" si="4"/>
        <v>0</v>
      </c>
      <c r="J41" s="323">
        <f t="shared" si="5"/>
        <v>0</v>
      </c>
      <c r="L41" s="327">
        <v>16</v>
      </c>
      <c r="M41" s="347">
        <f>TREND(M24:M25,L24:L25,L41)</f>
        <v>0</v>
      </c>
      <c r="N41" s="630">
        <f>TREND(N24:N25,L24:L25,L41)</f>
        <v>0</v>
      </c>
      <c r="O41" s="521">
        <f t="shared" si="6"/>
        <v>0</v>
      </c>
      <c r="P41" s="500">
        <f t="shared" si="7"/>
        <v>0</v>
      </c>
      <c r="Q41" s="285">
        <f t="shared" si="8"/>
        <v>0</v>
      </c>
      <c r="R41" s="323">
        <f t="shared" si="9"/>
        <v>0</v>
      </c>
      <c r="T41" s="327">
        <v>16</v>
      </c>
      <c r="U41" s="478">
        <f t="shared" si="10"/>
        <v>0</v>
      </c>
      <c r="V41" s="478">
        <f t="shared" si="11"/>
        <v>0</v>
      </c>
      <c r="W41" s="478">
        <f t="shared" si="12"/>
        <v>0</v>
      </c>
      <c r="X41" s="478">
        <f t="shared" si="13"/>
        <v>0</v>
      </c>
      <c r="Y41" s="478">
        <f t="shared" si="14"/>
        <v>0</v>
      </c>
      <c r="Z41" s="478">
        <f t="shared" si="15"/>
        <v>0</v>
      </c>
      <c r="AA41" s="478">
        <f t="shared" si="16"/>
        <v>0</v>
      </c>
      <c r="AB41" s="478">
        <f t="shared" si="17"/>
        <v>0</v>
      </c>
      <c r="AC41" s="478">
        <f t="shared" si="18"/>
        <v>0</v>
      </c>
      <c r="AD41" s="323">
        <f t="shared" si="19"/>
        <v>0</v>
      </c>
      <c r="AE41" s="588"/>
      <c r="AF41" s="323">
        <f t="shared" si="20"/>
        <v>0</v>
      </c>
    </row>
    <row r="42" spans="2:32" x14ac:dyDescent="0.25">
      <c r="B42" s="327">
        <v>17</v>
      </c>
      <c r="C42" s="347">
        <f>TREND(C24:C25,B24:B25,B42)</f>
        <v>0</v>
      </c>
      <c r="D42" s="372">
        <f>TREND(D24:D25,B24:B25,B42)</f>
        <v>0</v>
      </c>
      <c r="E42" s="339">
        <f t="shared" si="0"/>
        <v>0</v>
      </c>
      <c r="F42" s="436">
        <f t="shared" si="1"/>
        <v>0</v>
      </c>
      <c r="G42" s="521">
        <f t="shared" si="2"/>
        <v>0</v>
      </c>
      <c r="H42" s="500">
        <f t="shared" si="3"/>
        <v>0</v>
      </c>
      <c r="I42" s="285">
        <f t="shared" si="4"/>
        <v>0</v>
      </c>
      <c r="J42" s="323">
        <f t="shared" si="5"/>
        <v>0</v>
      </c>
      <c r="L42" s="327">
        <v>17</v>
      </c>
      <c r="M42" s="347">
        <f>TREND(M24:M25,L24:L25,L42)</f>
        <v>0</v>
      </c>
      <c r="N42" s="630">
        <f>TREND(N24:N25,L24:L25,L42)</f>
        <v>0</v>
      </c>
      <c r="O42" s="521">
        <f t="shared" si="6"/>
        <v>0</v>
      </c>
      <c r="P42" s="500">
        <f t="shared" si="7"/>
        <v>0</v>
      </c>
      <c r="Q42" s="285">
        <f t="shared" si="8"/>
        <v>0</v>
      </c>
      <c r="R42" s="323">
        <f t="shared" si="9"/>
        <v>0</v>
      </c>
      <c r="T42" s="327">
        <v>17</v>
      </c>
      <c r="U42" s="478">
        <f t="shared" si="10"/>
        <v>0</v>
      </c>
      <c r="V42" s="478">
        <f t="shared" si="11"/>
        <v>0</v>
      </c>
      <c r="W42" s="478">
        <f t="shared" si="12"/>
        <v>0</v>
      </c>
      <c r="X42" s="478">
        <f t="shared" si="13"/>
        <v>0</v>
      </c>
      <c r="Y42" s="478">
        <f t="shared" si="14"/>
        <v>0</v>
      </c>
      <c r="Z42" s="478">
        <f t="shared" si="15"/>
        <v>0</v>
      </c>
      <c r="AA42" s="478">
        <f t="shared" si="16"/>
        <v>0</v>
      </c>
      <c r="AB42" s="478">
        <f t="shared" si="17"/>
        <v>0</v>
      </c>
      <c r="AC42" s="478">
        <f t="shared" si="18"/>
        <v>0</v>
      </c>
      <c r="AD42" s="323">
        <f t="shared" si="19"/>
        <v>0</v>
      </c>
      <c r="AE42" s="588"/>
      <c r="AF42" s="323">
        <f t="shared" si="20"/>
        <v>0</v>
      </c>
    </row>
    <row r="43" spans="2:32" x14ac:dyDescent="0.25">
      <c r="B43" s="327">
        <v>18</v>
      </c>
      <c r="C43" s="347">
        <f>TREND(C24:C25,B24:B25,B43)</f>
        <v>0</v>
      </c>
      <c r="D43" s="372">
        <f>TREND(D24:D25,B24:B25,B43)</f>
        <v>0</v>
      </c>
      <c r="E43" s="339">
        <f t="shared" si="0"/>
        <v>0</v>
      </c>
      <c r="F43" s="436">
        <f t="shared" si="1"/>
        <v>0</v>
      </c>
      <c r="G43" s="521">
        <f t="shared" si="2"/>
        <v>0</v>
      </c>
      <c r="H43" s="500">
        <f t="shared" si="3"/>
        <v>0</v>
      </c>
      <c r="I43" s="285">
        <f t="shared" si="4"/>
        <v>0</v>
      </c>
      <c r="J43" s="323">
        <f t="shared" si="5"/>
        <v>0</v>
      </c>
      <c r="L43" s="327">
        <v>18</v>
      </c>
      <c r="M43" s="347">
        <f>TREND(M24:M25,L24:L25,L43)</f>
        <v>0</v>
      </c>
      <c r="N43" s="630">
        <f>TREND(N24:N25,L24:L25,L43)</f>
        <v>0</v>
      </c>
      <c r="O43" s="521">
        <f t="shared" si="6"/>
        <v>0</v>
      </c>
      <c r="P43" s="500">
        <f t="shared" si="7"/>
        <v>0</v>
      </c>
      <c r="Q43" s="285">
        <f t="shared" si="8"/>
        <v>0</v>
      </c>
      <c r="R43" s="323">
        <f t="shared" si="9"/>
        <v>0</v>
      </c>
      <c r="T43" s="327">
        <v>18</v>
      </c>
      <c r="U43" s="478">
        <f t="shared" si="10"/>
        <v>0</v>
      </c>
      <c r="V43" s="478">
        <f t="shared" si="11"/>
        <v>0</v>
      </c>
      <c r="W43" s="478">
        <f t="shared" si="12"/>
        <v>0</v>
      </c>
      <c r="X43" s="478">
        <f t="shared" si="13"/>
        <v>0</v>
      </c>
      <c r="Y43" s="478">
        <f t="shared" si="14"/>
        <v>0</v>
      </c>
      <c r="Z43" s="478">
        <f t="shared" si="15"/>
        <v>0</v>
      </c>
      <c r="AA43" s="478">
        <f t="shared" si="16"/>
        <v>0</v>
      </c>
      <c r="AB43" s="478">
        <f t="shared" si="17"/>
        <v>0</v>
      </c>
      <c r="AC43" s="478">
        <f t="shared" si="18"/>
        <v>0</v>
      </c>
      <c r="AD43" s="323">
        <f t="shared" si="19"/>
        <v>0</v>
      </c>
      <c r="AE43" s="588"/>
      <c r="AF43" s="323">
        <f t="shared" si="20"/>
        <v>0</v>
      </c>
    </row>
    <row r="44" spans="2:32" x14ac:dyDescent="0.25">
      <c r="B44" s="359">
        <v>19</v>
      </c>
      <c r="C44" s="360">
        <f>TREND(C24:C25,B24:B25,B44)</f>
        <v>0</v>
      </c>
      <c r="D44" s="375">
        <f>TREND(D24:D25,B24:B25,B44)</f>
        <v>0</v>
      </c>
      <c r="E44" s="339">
        <f t="shared" si="0"/>
        <v>0</v>
      </c>
      <c r="F44" s="435">
        <f t="shared" si="1"/>
        <v>0</v>
      </c>
      <c r="G44" s="520">
        <f t="shared" si="2"/>
        <v>0</v>
      </c>
      <c r="H44" s="499">
        <f t="shared" si="3"/>
        <v>0</v>
      </c>
      <c r="I44" s="285">
        <f t="shared" si="4"/>
        <v>0</v>
      </c>
      <c r="J44" s="323">
        <f t="shared" si="5"/>
        <v>0</v>
      </c>
      <c r="L44" s="359">
        <v>19</v>
      </c>
      <c r="M44" s="360">
        <f>TREND(M24:M25,L24:L25,L44)</f>
        <v>0</v>
      </c>
      <c r="N44" s="631">
        <f>TREND(N24:N25,L24:L25,L44)</f>
        <v>0</v>
      </c>
      <c r="O44" s="520">
        <f t="shared" si="6"/>
        <v>0</v>
      </c>
      <c r="P44" s="499">
        <f t="shared" si="7"/>
        <v>0</v>
      </c>
      <c r="Q44" s="285">
        <f t="shared" si="8"/>
        <v>0</v>
      </c>
      <c r="R44" s="323">
        <f t="shared" si="9"/>
        <v>0</v>
      </c>
      <c r="T44" s="359">
        <v>19</v>
      </c>
      <c r="U44" s="478">
        <f t="shared" si="10"/>
        <v>0</v>
      </c>
      <c r="V44" s="478">
        <f t="shared" si="11"/>
        <v>0</v>
      </c>
      <c r="W44" s="478">
        <f t="shared" si="12"/>
        <v>0</v>
      </c>
      <c r="X44" s="478">
        <f t="shared" si="13"/>
        <v>0</v>
      </c>
      <c r="Y44" s="478">
        <f t="shared" si="14"/>
        <v>0</v>
      </c>
      <c r="Z44" s="478">
        <f t="shared" si="15"/>
        <v>0</v>
      </c>
      <c r="AA44" s="478">
        <f t="shared" si="16"/>
        <v>0</v>
      </c>
      <c r="AB44" s="478">
        <f t="shared" si="17"/>
        <v>0</v>
      </c>
      <c r="AC44" s="478">
        <f t="shared" si="18"/>
        <v>0</v>
      </c>
      <c r="AD44" s="323">
        <f t="shared" si="19"/>
        <v>0</v>
      </c>
      <c r="AE44" s="588"/>
      <c r="AF44" s="323">
        <f t="shared" si="20"/>
        <v>0</v>
      </c>
    </row>
    <row r="45" spans="2:32" x14ac:dyDescent="0.25">
      <c r="B45" s="357"/>
      <c r="C45" s="355"/>
      <c r="D45" s="355"/>
      <c r="E45" s="356"/>
      <c r="F45" s="356"/>
      <c r="G45" s="356"/>
      <c r="H45" s="356"/>
      <c r="I45" s="356"/>
      <c r="J45" s="358"/>
      <c r="L45" s="357"/>
      <c r="M45" s="355"/>
      <c r="N45" s="355"/>
      <c r="O45" s="356"/>
      <c r="P45" s="356"/>
      <c r="Q45" s="356"/>
      <c r="R45" s="358"/>
      <c r="T45" s="357"/>
      <c r="U45" s="358"/>
      <c r="V45" s="358"/>
      <c r="W45" s="358"/>
      <c r="X45" s="358"/>
      <c r="Y45" s="358"/>
      <c r="Z45" s="358"/>
      <c r="AA45" s="358"/>
      <c r="AB45" s="358"/>
      <c r="AC45" s="358"/>
      <c r="AD45" s="358"/>
      <c r="AE45" s="475"/>
      <c r="AF45" s="358"/>
    </row>
    <row r="46" spans="2:32" ht="13" x14ac:dyDescent="0.25">
      <c r="B46" s="329" t="s">
        <v>172</v>
      </c>
      <c r="C46" s="330"/>
      <c r="D46" s="331"/>
      <c r="E46" s="331"/>
      <c r="F46" s="331"/>
      <c r="G46" s="331"/>
      <c r="H46" s="332"/>
      <c r="I46" s="341"/>
      <c r="J46" s="342">
        <f>SUM(J24:J44)</f>
        <v>0</v>
      </c>
      <c r="L46" s="329" t="s">
        <v>172</v>
      </c>
      <c r="M46" s="330"/>
      <c r="N46" s="331"/>
      <c r="O46" s="331"/>
      <c r="P46" s="332"/>
      <c r="Q46" s="341"/>
      <c r="R46" s="342">
        <f>SUM(R24:R44)</f>
        <v>0</v>
      </c>
      <c r="T46" s="329" t="s">
        <v>172</v>
      </c>
      <c r="U46" s="479">
        <f>SUM(U24:U44)</f>
        <v>0</v>
      </c>
      <c r="V46" s="479">
        <f t="shared" ref="V46:AD46" si="21">SUM(V24:V44)</f>
        <v>0</v>
      </c>
      <c r="W46" s="479">
        <f t="shared" si="21"/>
        <v>0</v>
      </c>
      <c r="X46" s="479">
        <f t="shared" si="21"/>
        <v>0</v>
      </c>
      <c r="Y46" s="479">
        <f t="shared" si="21"/>
        <v>0</v>
      </c>
      <c r="Z46" s="479">
        <f t="shared" si="21"/>
        <v>0</v>
      </c>
      <c r="AA46" s="479">
        <f t="shared" si="21"/>
        <v>0</v>
      </c>
      <c r="AB46" s="479">
        <f t="shared" si="21"/>
        <v>0</v>
      </c>
      <c r="AC46" s="479">
        <f t="shared" si="21"/>
        <v>0</v>
      </c>
      <c r="AD46" s="342">
        <f t="shared" si="21"/>
        <v>0</v>
      </c>
      <c r="AE46" s="589"/>
      <c r="AF46" s="342">
        <f>SUM(AF24:AF44)</f>
        <v>0</v>
      </c>
    </row>
    <row r="47" spans="2:32" x14ac:dyDescent="0.25">
      <c r="B47" s="275"/>
      <c r="C47" s="276"/>
      <c r="D47" s="275"/>
      <c r="E47" s="275"/>
      <c r="F47" s="275"/>
      <c r="G47" s="275"/>
      <c r="H47" s="275"/>
      <c r="I47" s="275"/>
      <c r="J47" s="275"/>
      <c r="L47" s="275"/>
      <c r="M47" s="276"/>
      <c r="N47" s="275"/>
      <c r="O47" s="275"/>
      <c r="P47" s="275"/>
      <c r="Q47" s="275"/>
      <c r="R47" s="275"/>
    </row>
    <row r="48" spans="2:32" ht="15.5" x14ac:dyDescent="0.35">
      <c r="B48" s="1"/>
      <c r="C48" s="1"/>
      <c r="D48" s="1"/>
      <c r="F48" s="1"/>
      <c r="G48" s="1"/>
      <c r="H48" s="1"/>
      <c r="I48" s="1"/>
      <c r="J48" s="1"/>
      <c r="L48" s="36"/>
      <c r="M48" s="36"/>
      <c r="N48" s="36"/>
      <c r="O48" s="36"/>
      <c r="P48" s="36"/>
      <c r="Q48" s="36"/>
      <c r="R48" s="36"/>
      <c r="T48" s="1044" t="str">
        <f>IF(Accidents&lt;&gt;"N","","* Accident Cost Savings Not Counted")</f>
        <v/>
      </c>
      <c r="AF48" s="585"/>
    </row>
    <row r="49" spans="2:32" ht="13" x14ac:dyDescent="0.25">
      <c r="B49" s="350" t="s">
        <v>252</v>
      </c>
      <c r="C49" s="88"/>
      <c r="D49" s="88"/>
      <c r="E49" s="88"/>
      <c r="F49" s="309"/>
      <c r="G49" s="309"/>
      <c r="H49" s="88"/>
      <c r="I49" s="88"/>
      <c r="J49" s="88"/>
      <c r="L49" s="459"/>
      <c r="M49" s="271"/>
      <c r="N49" s="271"/>
      <c r="O49" s="309"/>
      <c r="P49" s="271"/>
      <c r="Q49" s="271"/>
      <c r="R49" s="271"/>
      <c r="AF49" s="584"/>
    </row>
    <row r="50" spans="2:32" x14ac:dyDescent="0.25">
      <c r="B50" s="88"/>
      <c r="C50" s="88"/>
      <c r="D50" s="274"/>
      <c r="E50" s="88"/>
      <c r="F50" s="88"/>
      <c r="G50" s="88"/>
      <c r="H50" s="88"/>
      <c r="I50" s="88"/>
      <c r="J50" s="351"/>
      <c r="L50" s="271"/>
      <c r="M50" s="271"/>
      <c r="N50" s="274"/>
      <c r="O50" s="271"/>
      <c r="P50" s="271"/>
      <c r="Q50" s="271"/>
      <c r="R50" s="460"/>
    </row>
    <row r="51" spans="2:32" ht="15.5" x14ac:dyDescent="0.25">
      <c r="B51" s="317"/>
      <c r="C51" s="320" t="s">
        <v>230</v>
      </c>
      <c r="D51" s="361"/>
      <c r="E51" s="335" t="s">
        <v>272</v>
      </c>
      <c r="F51" s="321"/>
      <c r="G51" s="437" t="s">
        <v>867</v>
      </c>
      <c r="H51" s="438"/>
      <c r="I51" s="322"/>
      <c r="J51" s="343"/>
      <c r="L51" s="271"/>
      <c r="M51" s="461"/>
      <c r="N51" s="3"/>
      <c r="O51" s="461"/>
      <c r="P51" s="461"/>
      <c r="Q51" s="462"/>
      <c r="R51" s="271"/>
    </row>
    <row r="52" spans="2:32" ht="14" x14ac:dyDescent="0.25">
      <c r="B52" s="318"/>
      <c r="C52" s="287" t="s">
        <v>237</v>
      </c>
      <c r="D52" s="362"/>
      <c r="E52" s="336" t="s">
        <v>274</v>
      </c>
      <c r="F52" s="288"/>
      <c r="G52" s="439" t="s">
        <v>275</v>
      </c>
      <c r="H52" s="440"/>
      <c r="I52" s="284"/>
      <c r="J52" s="344"/>
      <c r="L52" s="36"/>
      <c r="M52" s="463"/>
      <c r="N52" s="464"/>
      <c r="O52" s="463"/>
      <c r="P52" s="463"/>
      <c r="Q52" s="271"/>
      <c r="R52" s="271"/>
    </row>
    <row r="53" spans="2:32" ht="14" x14ac:dyDescent="0.25">
      <c r="B53" s="169" t="s">
        <v>135</v>
      </c>
      <c r="C53" s="316"/>
      <c r="D53" s="283"/>
      <c r="E53" s="316"/>
      <c r="F53" s="283"/>
      <c r="G53" s="316"/>
      <c r="H53" s="283"/>
      <c r="I53" s="286" t="s">
        <v>242</v>
      </c>
      <c r="J53" s="345" t="s">
        <v>139</v>
      </c>
      <c r="L53" s="465"/>
      <c r="M53" s="466"/>
      <c r="N53" s="466"/>
      <c r="O53" s="466"/>
      <c r="P53" s="466"/>
      <c r="Q53" s="465"/>
      <c r="R53" s="465"/>
    </row>
    <row r="54" spans="2:32" ht="14" x14ac:dyDescent="0.25">
      <c r="B54" s="319"/>
      <c r="C54" s="324" t="s">
        <v>0</v>
      </c>
      <c r="D54" s="325" t="s">
        <v>1</v>
      </c>
      <c r="E54" s="324" t="s">
        <v>0</v>
      </c>
      <c r="F54" s="325" t="s">
        <v>1</v>
      </c>
      <c r="G54" s="324" t="s">
        <v>0</v>
      </c>
      <c r="H54" s="325" t="s">
        <v>1</v>
      </c>
      <c r="I54" s="326" t="s">
        <v>148</v>
      </c>
      <c r="J54" s="346" t="s">
        <v>149</v>
      </c>
      <c r="L54" s="467"/>
      <c r="M54" s="466"/>
      <c r="N54" s="466"/>
      <c r="O54" s="466"/>
      <c r="P54" s="466"/>
      <c r="Q54" s="465"/>
      <c r="R54" s="465"/>
    </row>
    <row r="55" spans="2:32" x14ac:dyDescent="0.25">
      <c r="B55" s="327">
        <v>1</v>
      </c>
      <c r="C55" s="348">
        <f>PNV1NB*AnnualFactor</f>
        <v>0</v>
      </c>
      <c r="D55" s="349">
        <f>IF(AND(OR(RM,AM,IM,TI,OnRamp),NOT(UserAdjInputs)),C55,PNV1B*AnnualFactor)</f>
        <v>0</v>
      </c>
      <c r="E55" s="339">
        <f>ImpactedNB*C55</f>
        <v>0</v>
      </c>
      <c r="F55" s="434">
        <f>ImpactedB*D55</f>
        <v>0</v>
      </c>
      <c r="G55" s="515">
        <f>IF(OR(Intersect,FreeConn,HOVConn,HOVDrop,OffRamp,OnRamp),C55,E55)/1000000*(HwyFatCost*FatalRateNB+HwyInjCost*InjuryRateNB+HwyPDOCost*PDORateNB)</f>
        <v>0</v>
      </c>
      <c r="H55" s="498">
        <f>IF(OR(Intersect,FreeConn,HOVConn,HOVDrop,OffRamp,OnRamp),D55,F55)/1000000*(HwyFatCost*FatalRateB+HwyInjCost*InjuryRateB+HwyPDOCost*PDORateB)</f>
        <v>0</v>
      </c>
      <c r="I55" s="285">
        <f>G55-H55</f>
        <v>0</v>
      </c>
      <c r="J55" s="323">
        <f>$I55/(1+DiscRate)^($B55+Construct-1)</f>
        <v>0</v>
      </c>
      <c r="L55" s="468"/>
      <c r="M55" s="469"/>
      <c r="N55" s="469"/>
      <c r="O55" s="473"/>
      <c r="P55" s="473"/>
      <c r="Q55" s="473"/>
      <c r="R55" s="474"/>
    </row>
    <row r="56" spans="2:32" x14ac:dyDescent="0.25">
      <c r="B56" s="328">
        <v>20</v>
      </c>
      <c r="C56" s="353">
        <f>PNV20NB*AnnualFactor</f>
        <v>0</v>
      </c>
      <c r="D56" s="354">
        <f>IF(AND(OR(RM,AM,IM,TI,OnRamp),NOT(UserAdjInputs)),C56,PNV20B*AnnualFactor)</f>
        <v>0</v>
      </c>
      <c r="E56" s="339">
        <f>ImpactedNB*C56</f>
        <v>0</v>
      </c>
      <c r="F56" s="435">
        <f>ImpactedB*D56</f>
        <v>0</v>
      </c>
      <c r="G56" s="520">
        <f>IF(OR(Intersect,FreeConn,HOVConn,HOVDrop,OffRamp,OnRamp),C56,E56)/1000000*(HwyFatCost*FatalRateNB+HwyInjCost*InjuryRateNB+HwyPDOCost*PDORateNB)</f>
        <v>0</v>
      </c>
      <c r="H56" s="499">
        <f>IF(OR(Intersect,FreeConn,HOVConn,HOVDrop,OffRamp,OnRamp),D56,F56)/1000000*(HwyFatCost*FatalRateB+HwyInjCost*InjuryRateB+HwyPDOCost*PDORateB)</f>
        <v>0</v>
      </c>
      <c r="I56" s="285">
        <f>G56-H56</f>
        <v>0</v>
      </c>
      <c r="J56" s="323">
        <f>$I56/(1+DiscRate)^($B56+Construct-1)</f>
        <v>0</v>
      </c>
      <c r="L56" s="468"/>
      <c r="M56" s="469"/>
      <c r="N56" s="469"/>
      <c r="O56" s="473"/>
      <c r="P56" s="473"/>
      <c r="Q56" s="473"/>
      <c r="R56" s="474"/>
    </row>
    <row r="57" spans="2:32" x14ac:dyDescent="0.25">
      <c r="B57" s="357"/>
      <c r="C57" s="355"/>
      <c r="D57" s="355"/>
      <c r="E57" s="356"/>
      <c r="F57" s="356"/>
      <c r="G57" s="356"/>
      <c r="H57" s="356"/>
      <c r="I57" s="356"/>
      <c r="J57" s="358"/>
      <c r="L57" s="468"/>
      <c r="M57" s="469"/>
      <c r="N57" s="469"/>
      <c r="O57" s="472"/>
      <c r="P57" s="472"/>
      <c r="Q57" s="472"/>
      <c r="R57" s="475"/>
    </row>
    <row r="58" spans="2:32" x14ac:dyDescent="0.25">
      <c r="B58" s="352">
        <v>2</v>
      </c>
      <c r="C58" s="368">
        <f>TREND(C55:C56,B55:B56,B58)</f>
        <v>0</v>
      </c>
      <c r="D58" s="369">
        <f>TREND(D55:D56,B55:B56,B58)</f>
        <v>0</v>
      </c>
      <c r="E58" s="339">
        <f t="shared" ref="E58:E75" si="22">ImpactedNB*C58</f>
        <v>0</v>
      </c>
      <c r="F58" s="434">
        <f t="shared" ref="F58:F75" si="23">ImpactedB*D58</f>
        <v>0</v>
      </c>
      <c r="G58" s="515">
        <f t="shared" ref="G58:G75" si="24">IF(OR(Intersect,FreeConn,HOVConn,HOVDrop,OffRamp,OnRamp),C58,E58)/1000000*(HwyFatCost*FatalRateNB+HwyInjCost*InjuryRateNB+HwyPDOCost*PDORateNB)</f>
        <v>0</v>
      </c>
      <c r="H58" s="498">
        <f t="shared" ref="H58:H75" si="25">IF(OR(Intersect,FreeConn,HOVConn,HOVDrop,OffRamp,OnRamp),D58,F58)/1000000*(HwyFatCost*FatalRateB+HwyInjCost*InjuryRateB+HwyPDOCost*PDORateB)</f>
        <v>0</v>
      </c>
      <c r="I58" s="285">
        <f t="shared" ref="I58:I75" si="26">G58-H58</f>
        <v>0</v>
      </c>
      <c r="J58" s="323">
        <f t="shared" ref="J58:J75" si="27">$I58/(1+DiscRate)^($B58+Construct-1)</f>
        <v>0</v>
      </c>
      <c r="L58" s="468"/>
      <c r="M58" s="469"/>
      <c r="N58" s="469"/>
      <c r="O58" s="473"/>
      <c r="P58" s="473"/>
      <c r="Q58" s="473"/>
      <c r="R58" s="474"/>
    </row>
    <row r="59" spans="2:32" x14ac:dyDescent="0.25">
      <c r="B59" s="327">
        <v>3</v>
      </c>
      <c r="C59" s="347">
        <f>TREND(C55:C56,B55:B56,B59)</f>
        <v>0</v>
      </c>
      <c r="D59" s="372">
        <f>TREND(D55:D56,B55:B56,B59)</f>
        <v>0</v>
      </c>
      <c r="E59" s="339">
        <f t="shared" si="22"/>
        <v>0</v>
      </c>
      <c r="F59" s="436">
        <f t="shared" si="23"/>
        <v>0</v>
      </c>
      <c r="G59" s="521">
        <f t="shared" si="24"/>
        <v>0</v>
      </c>
      <c r="H59" s="500">
        <f t="shared" si="25"/>
        <v>0</v>
      </c>
      <c r="I59" s="285">
        <f t="shared" si="26"/>
        <v>0</v>
      </c>
      <c r="J59" s="323">
        <f t="shared" si="27"/>
        <v>0</v>
      </c>
      <c r="L59" s="468"/>
      <c r="M59" s="469"/>
      <c r="N59" s="469"/>
      <c r="O59" s="473"/>
      <c r="P59" s="473"/>
      <c r="Q59" s="473"/>
      <c r="R59" s="474"/>
    </row>
    <row r="60" spans="2:32" x14ac:dyDescent="0.25">
      <c r="B60" s="327">
        <v>4</v>
      </c>
      <c r="C60" s="347">
        <f>TREND(C55:C56,B55:B56,B60)</f>
        <v>0</v>
      </c>
      <c r="D60" s="372">
        <f>TREND(D55:D56,B55:B56,B60)</f>
        <v>0</v>
      </c>
      <c r="E60" s="339">
        <f t="shared" si="22"/>
        <v>0</v>
      </c>
      <c r="F60" s="436">
        <f t="shared" si="23"/>
        <v>0</v>
      </c>
      <c r="G60" s="521">
        <f t="shared" si="24"/>
        <v>0</v>
      </c>
      <c r="H60" s="500">
        <f t="shared" si="25"/>
        <v>0</v>
      </c>
      <c r="I60" s="285">
        <f t="shared" si="26"/>
        <v>0</v>
      </c>
      <c r="J60" s="323">
        <f t="shared" si="27"/>
        <v>0</v>
      </c>
      <c r="L60" s="468"/>
      <c r="M60" s="469"/>
      <c r="N60" s="469"/>
      <c r="O60" s="473"/>
      <c r="P60" s="473"/>
      <c r="Q60" s="473"/>
      <c r="R60" s="474"/>
    </row>
    <row r="61" spans="2:32" x14ac:dyDescent="0.25">
      <c r="B61" s="327">
        <v>5</v>
      </c>
      <c r="C61" s="347">
        <f>TREND(C55:C56,B55:B56,B61)</f>
        <v>0</v>
      </c>
      <c r="D61" s="372">
        <f>TREND(D55:D56,B55:B56,B61)</f>
        <v>0</v>
      </c>
      <c r="E61" s="339">
        <f t="shared" si="22"/>
        <v>0</v>
      </c>
      <c r="F61" s="436">
        <f t="shared" si="23"/>
        <v>0</v>
      </c>
      <c r="G61" s="521">
        <f t="shared" si="24"/>
        <v>0</v>
      </c>
      <c r="H61" s="500">
        <f t="shared" si="25"/>
        <v>0</v>
      </c>
      <c r="I61" s="285">
        <f t="shared" si="26"/>
        <v>0</v>
      </c>
      <c r="J61" s="323">
        <f t="shared" si="27"/>
        <v>0</v>
      </c>
      <c r="L61" s="468"/>
      <c r="M61" s="469"/>
      <c r="N61" s="469"/>
      <c r="O61" s="473"/>
      <c r="P61" s="473"/>
      <c r="Q61" s="473"/>
      <c r="R61" s="474"/>
    </row>
    <row r="62" spans="2:32" x14ac:dyDescent="0.25">
      <c r="B62" s="327">
        <v>6</v>
      </c>
      <c r="C62" s="347">
        <f>TREND(C55:C56,B55:B56,B62)</f>
        <v>0</v>
      </c>
      <c r="D62" s="372">
        <f>TREND(D55:D56,B55:B56,B62)</f>
        <v>0</v>
      </c>
      <c r="E62" s="339">
        <f t="shared" si="22"/>
        <v>0</v>
      </c>
      <c r="F62" s="436">
        <f t="shared" si="23"/>
        <v>0</v>
      </c>
      <c r="G62" s="521">
        <f t="shared" si="24"/>
        <v>0</v>
      </c>
      <c r="H62" s="500">
        <f t="shared" si="25"/>
        <v>0</v>
      </c>
      <c r="I62" s="285">
        <f t="shared" si="26"/>
        <v>0</v>
      </c>
      <c r="J62" s="323">
        <f t="shared" si="27"/>
        <v>0</v>
      </c>
      <c r="L62" s="468"/>
      <c r="M62" s="469"/>
      <c r="N62" s="469"/>
      <c r="O62" s="473"/>
      <c r="P62" s="473"/>
      <c r="Q62" s="473"/>
      <c r="R62" s="474"/>
    </row>
    <row r="63" spans="2:32" x14ac:dyDescent="0.25">
      <c r="B63" s="327">
        <v>7</v>
      </c>
      <c r="C63" s="347">
        <f>TREND(C55:C56,B55:B56,B63)</f>
        <v>0</v>
      </c>
      <c r="D63" s="372">
        <f>TREND(D55:D56,B55:B56,B63)</f>
        <v>0</v>
      </c>
      <c r="E63" s="339">
        <f t="shared" si="22"/>
        <v>0</v>
      </c>
      <c r="F63" s="436">
        <f t="shared" si="23"/>
        <v>0</v>
      </c>
      <c r="G63" s="521">
        <f t="shared" si="24"/>
        <v>0</v>
      </c>
      <c r="H63" s="500">
        <f t="shared" si="25"/>
        <v>0</v>
      </c>
      <c r="I63" s="285">
        <f t="shared" si="26"/>
        <v>0</v>
      </c>
      <c r="J63" s="323">
        <f t="shared" si="27"/>
        <v>0</v>
      </c>
      <c r="L63" s="468"/>
      <c r="M63" s="469"/>
      <c r="N63" s="469"/>
      <c r="O63" s="473"/>
      <c r="P63" s="473"/>
      <c r="Q63" s="473"/>
      <c r="R63" s="474"/>
    </row>
    <row r="64" spans="2:32" x14ac:dyDescent="0.25">
      <c r="B64" s="327">
        <v>8</v>
      </c>
      <c r="C64" s="347">
        <f>TREND(C55:C56,B55:B56,B64)</f>
        <v>0</v>
      </c>
      <c r="D64" s="372">
        <f>TREND(D55:D56,B55:B56,B64)</f>
        <v>0</v>
      </c>
      <c r="E64" s="339">
        <f t="shared" si="22"/>
        <v>0</v>
      </c>
      <c r="F64" s="436">
        <f t="shared" si="23"/>
        <v>0</v>
      </c>
      <c r="G64" s="521">
        <f t="shared" si="24"/>
        <v>0</v>
      </c>
      <c r="H64" s="500">
        <f t="shared" si="25"/>
        <v>0</v>
      </c>
      <c r="I64" s="285">
        <f t="shared" si="26"/>
        <v>0</v>
      </c>
      <c r="J64" s="323">
        <f t="shared" si="27"/>
        <v>0</v>
      </c>
      <c r="L64" s="468"/>
      <c r="M64" s="469"/>
      <c r="N64" s="469"/>
      <c r="O64" s="473"/>
      <c r="P64" s="473"/>
      <c r="Q64" s="473"/>
      <c r="R64" s="474"/>
    </row>
    <row r="65" spans="2:18" x14ac:dyDescent="0.25">
      <c r="B65" s="327">
        <v>9</v>
      </c>
      <c r="C65" s="347">
        <f>TREND(C55:C56,B55:B56,B65)</f>
        <v>0</v>
      </c>
      <c r="D65" s="372">
        <f>TREND(D55:D56,B55:B56,B65)</f>
        <v>0</v>
      </c>
      <c r="E65" s="339">
        <f t="shared" si="22"/>
        <v>0</v>
      </c>
      <c r="F65" s="436">
        <f t="shared" si="23"/>
        <v>0</v>
      </c>
      <c r="G65" s="521">
        <f t="shared" si="24"/>
        <v>0</v>
      </c>
      <c r="H65" s="500">
        <f t="shared" si="25"/>
        <v>0</v>
      </c>
      <c r="I65" s="285">
        <f t="shared" si="26"/>
        <v>0</v>
      </c>
      <c r="J65" s="323">
        <f t="shared" si="27"/>
        <v>0</v>
      </c>
      <c r="L65" s="468"/>
      <c r="M65" s="469"/>
      <c r="N65" s="469"/>
      <c r="O65" s="473"/>
      <c r="P65" s="473"/>
      <c r="Q65" s="473"/>
      <c r="R65" s="474"/>
    </row>
    <row r="66" spans="2:18" x14ac:dyDescent="0.25">
      <c r="B66" s="327">
        <v>10</v>
      </c>
      <c r="C66" s="347">
        <f>TREND(C55:C56,B55:B56,B66)</f>
        <v>0</v>
      </c>
      <c r="D66" s="372">
        <f>TREND(D55:D56,B55:B56,B66)</f>
        <v>0</v>
      </c>
      <c r="E66" s="339">
        <f t="shared" si="22"/>
        <v>0</v>
      </c>
      <c r="F66" s="436">
        <f t="shared" si="23"/>
        <v>0</v>
      </c>
      <c r="G66" s="521">
        <f t="shared" si="24"/>
        <v>0</v>
      </c>
      <c r="H66" s="500">
        <f t="shared" si="25"/>
        <v>0</v>
      </c>
      <c r="I66" s="285">
        <f t="shared" si="26"/>
        <v>0</v>
      </c>
      <c r="J66" s="323">
        <f t="shared" si="27"/>
        <v>0</v>
      </c>
      <c r="L66" s="468"/>
      <c r="M66" s="469"/>
      <c r="N66" s="469"/>
      <c r="O66" s="473"/>
      <c r="P66" s="473"/>
      <c r="Q66" s="473"/>
      <c r="R66" s="474"/>
    </row>
    <row r="67" spans="2:18" x14ac:dyDescent="0.25">
      <c r="B67" s="327">
        <v>11</v>
      </c>
      <c r="C67" s="347">
        <f>TREND(C55:C56,B55:B56,B67)</f>
        <v>0</v>
      </c>
      <c r="D67" s="372">
        <f>TREND(D55:D56,B55:B56,B67)</f>
        <v>0</v>
      </c>
      <c r="E67" s="339">
        <f t="shared" si="22"/>
        <v>0</v>
      </c>
      <c r="F67" s="436">
        <f t="shared" si="23"/>
        <v>0</v>
      </c>
      <c r="G67" s="521">
        <f t="shared" si="24"/>
        <v>0</v>
      </c>
      <c r="H67" s="500">
        <f t="shared" si="25"/>
        <v>0</v>
      </c>
      <c r="I67" s="285">
        <f t="shared" si="26"/>
        <v>0</v>
      </c>
      <c r="J67" s="323">
        <f t="shared" si="27"/>
        <v>0</v>
      </c>
      <c r="L67" s="468"/>
      <c r="M67" s="469"/>
      <c r="N67" s="469"/>
      <c r="O67" s="473"/>
      <c r="P67" s="473"/>
      <c r="Q67" s="473"/>
      <c r="R67" s="474"/>
    </row>
    <row r="68" spans="2:18" x14ac:dyDescent="0.25">
      <c r="B68" s="327">
        <v>12</v>
      </c>
      <c r="C68" s="347">
        <f>TREND(C55:C56,B55:B56,B68)</f>
        <v>0</v>
      </c>
      <c r="D68" s="372">
        <f>TREND(D55:D56,B55:B56,B68)</f>
        <v>0</v>
      </c>
      <c r="E68" s="339">
        <f t="shared" si="22"/>
        <v>0</v>
      </c>
      <c r="F68" s="436">
        <f t="shared" si="23"/>
        <v>0</v>
      </c>
      <c r="G68" s="521">
        <f t="shared" si="24"/>
        <v>0</v>
      </c>
      <c r="H68" s="500">
        <f t="shared" si="25"/>
        <v>0</v>
      </c>
      <c r="I68" s="285">
        <f t="shared" si="26"/>
        <v>0</v>
      </c>
      <c r="J68" s="323">
        <f t="shared" si="27"/>
        <v>0</v>
      </c>
      <c r="L68" s="468"/>
      <c r="M68" s="469"/>
      <c r="N68" s="469"/>
      <c r="O68" s="473"/>
      <c r="P68" s="473"/>
      <c r="Q68" s="473"/>
      <c r="R68" s="474"/>
    </row>
    <row r="69" spans="2:18" x14ac:dyDescent="0.25">
      <c r="B69" s="327">
        <v>13</v>
      </c>
      <c r="C69" s="347">
        <f>TREND(C55:C56,B55:B56,B69)</f>
        <v>0</v>
      </c>
      <c r="D69" s="372">
        <f>TREND(D55:D56,B55:B56,B69)</f>
        <v>0</v>
      </c>
      <c r="E69" s="339">
        <f t="shared" si="22"/>
        <v>0</v>
      </c>
      <c r="F69" s="436">
        <f t="shared" si="23"/>
        <v>0</v>
      </c>
      <c r="G69" s="521">
        <f t="shared" si="24"/>
        <v>0</v>
      </c>
      <c r="H69" s="500">
        <f t="shared" si="25"/>
        <v>0</v>
      </c>
      <c r="I69" s="285">
        <f t="shared" si="26"/>
        <v>0</v>
      </c>
      <c r="J69" s="323">
        <f t="shared" si="27"/>
        <v>0</v>
      </c>
      <c r="L69" s="468"/>
      <c r="M69" s="469"/>
      <c r="N69" s="469"/>
      <c r="O69" s="473"/>
      <c r="P69" s="473"/>
      <c r="Q69" s="473"/>
      <c r="R69" s="474"/>
    </row>
    <row r="70" spans="2:18" x14ac:dyDescent="0.25">
      <c r="B70" s="327">
        <v>14</v>
      </c>
      <c r="C70" s="347">
        <f>TREND(C55:C56,B55:B56,B70)</f>
        <v>0</v>
      </c>
      <c r="D70" s="372">
        <f>TREND(D55:D56,B55:B56,B70)</f>
        <v>0</v>
      </c>
      <c r="E70" s="339">
        <f t="shared" si="22"/>
        <v>0</v>
      </c>
      <c r="F70" s="436">
        <f t="shared" si="23"/>
        <v>0</v>
      </c>
      <c r="G70" s="521">
        <f t="shared" si="24"/>
        <v>0</v>
      </c>
      <c r="H70" s="500">
        <f t="shared" si="25"/>
        <v>0</v>
      </c>
      <c r="I70" s="285">
        <f t="shared" si="26"/>
        <v>0</v>
      </c>
      <c r="J70" s="323">
        <f t="shared" si="27"/>
        <v>0</v>
      </c>
      <c r="L70" s="468"/>
      <c r="M70" s="469"/>
      <c r="N70" s="469"/>
      <c r="O70" s="473"/>
      <c r="P70" s="473"/>
      <c r="Q70" s="473"/>
      <c r="R70" s="474"/>
    </row>
    <row r="71" spans="2:18" x14ac:dyDescent="0.25">
      <c r="B71" s="327">
        <v>15</v>
      </c>
      <c r="C71" s="347">
        <f>TREND(C55:C56,B55:B56,B71)</f>
        <v>0</v>
      </c>
      <c r="D71" s="372">
        <f>TREND(D55:D56,B55:B56,B71)</f>
        <v>0</v>
      </c>
      <c r="E71" s="339">
        <f t="shared" si="22"/>
        <v>0</v>
      </c>
      <c r="F71" s="436">
        <f t="shared" si="23"/>
        <v>0</v>
      </c>
      <c r="G71" s="521">
        <f t="shared" si="24"/>
        <v>0</v>
      </c>
      <c r="H71" s="500">
        <f t="shared" si="25"/>
        <v>0</v>
      </c>
      <c r="I71" s="285">
        <f t="shared" si="26"/>
        <v>0</v>
      </c>
      <c r="J71" s="323">
        <f t="shared" si="27"/>
        <v>0</v>
      </c>
      <c r="L71" s="468"/>
      <c r="M71" s="469"/>
      <c r="N71" s="469"/>
      <c r="O71" s="473"/>
      <c r="P71" s="473"/>
      <c r="Q71" s="473"/>
      <c r="R71" s="474"/>
    </row>
    <row r="72" spans="2:18" x14ac:dyDescent="0.25">
      <c r="B72" s="327">
        <v>16</v>
      </c>
      <c r="C72" s="347">
        <f>TREND(C55:C56,B55:B56,B72)</f>
        <v>0</v>
      </c>
      <c r="D72" s="372">
        <f>TREND(D55:D56,B55:B56,B72)</f>
        <v>0</v>
      </c>
      <c r="E72" s="339">
        <f t="shared" si="22"/>
        <v>0</v>
      </c>
      <c r="F72" s="436">
        <f t="shared" si="23"/>
        <v>0</v>
      </c>
      <c r="G72" s="521">
        <f t="shared" si="24"/>
        <v>0</v>
      </c>
      <c r="H72" s="500">
        <f t="shared" si="25"/>
        <v>0</v>
      </c>
      <c r="I72" s="285">
        <f t="shared" si="26"/>
        <v>0</v>
      </c>
      <c r="J72" s="323">
        <f t="shared" si="27"/>
        <v>0</v>
      </c>
      <c r="L72" s="468"/>
      <c r="M72" s="469"/>
      <c r="N72" s="469"/>
      <c r="O72" s="473"/>
      <c r="P72" s="473"/>
      <c r="Q72" s="473"/>
      <c r="R72" s="474"/>
    </row>
    <row r="73" spans="2:18" x14ac:dyDescent="0.25">
      <c r="B73" s="327">
        <v>17</v>
      </c>
      <c r="C73" s="347">
        <f>TREND(C55:C56,B55:B56,B73)</f>
        <v>0</v>
      </c>
      <c r="D73" s="372">
        <f>TREND(D55:D56,B55:B56,B73)</f>
        <v>0</v>
      </c>
      <c r="E73" s="339">
        <f t="shared" si="22"/>
        <v>0</v>
      </c>
      <c r="F73" s="436">
        <f t="shared" si="23"/>
        <v>0</v>
      </c>
      <c r="G73" s="521">
        <f t="shared" si="24"/>
        <v>0</v>
      </c>
      <c r="H73" s="500">
        <f t="shared" si="25"/>
        <v>0</v>
      </c>
      <c r="I73" s="285">
        <f t="shared" si="26"/>
        <v>0</v>
      </c>
      <c r="J73" s="323">
        <f t="shared" si="27"/>
        <v>0</v>
      </c>
      <c r="L73" s="468"/>
      <c r="M73" s="469"/>
      <c r="N73" s="469"/>
      <c r="O73" s="473"/>
      <c r="P73" s="473"/>
      <c r="Q73" s="473"/>
      <c r="R73" s="474"/>
    </row>
    <row r="74" spans="2:18" x14ac:dyDescent="0.25">
      <c r="B74" s="327">
        <v>18</v>
      </c>
      <c r="C74" s="347">
        <f>TREND(C55:C56,B55:B56,B74)</f>
        <v>0</v>
      </c>
      <c r="D74" s="372">
        <f>TREND(D55:D56,B55:B56,B74)</f>
        <v>0</v>
      </c>
      <c r="E74" s="339">
        <f t="shared" si="22"/>
        <v>0</v>
      </c>
      <c r="F74" s="436">
        <f t="shared" si="23"/>
        <v>0</v>
      </c>
      <c r="G74" s="521">
        <f t="shared" si="24"/>
        <v>0</v>
      </c>
      <c r="H74" s="500">
        <f t="shared" si="25"/>
        <v>0</v>
      </c>
      <c r="I74" s="285">
        <f t="shared" si="26"/>
        <v>0</v>
      </c>
      <c r="J74" s="323">
        <f t="shared" si="27"/>
        <v>0</v>
      </c>
      <c r="L74" s="468"/>
      <c r="M74" s="469"/>
      <c r="N74" s="469"/>
      <c r="O74" s="473"/>
      <c r="P74" s="473"/>
      <c r="Q74" s="473"/>
      <c r="R74" s="474"/>
    </row>
    <row r="75" spans="2:18" x14ac:dyDescent="0.25">
      <c r="B75" s="359">
        <v>19</v>
      </c>
      <c r="C75" s="360">
        <f>TREND(C55:C56,B55:B56,B75)</f>
        <v>0</v>
      </c>
      <c r="D75" s="375">
        <f>TREND(D55:D56,B55:B56,B75)</f>
        <v>0</v>
      </c>
      <c r="E75" s="339">
        <f t="shared" si="22"/>
        <v>0</v>
      </c>
      <c r="F75" s="435">
        <f t="shared" si="23"/>
        <v>0</v>
      </c>
      <c r="G75" s="520">
        <f t="shared" si="24"/>
        <v>0</v>
      </c>
      <c r="H75" s="499">
        <f t="shared" si="25"/>
        <v>0</v>
      </c>
      <c r="I75" s="285">
        <f t="shared" si="26"/>
        <v>0</v>
      </c>
      <c r="J75" s="323">
        <f t="shared" si="27"/>
        <v>0</v>
      </c>
      <c r="L75" s="468"/>
      <c r="M75" s="469"/>
      <c r="N75" s="469"/>
      <c r="O75" s="473"/>
      <c r="P75" s="473"/>
      <c r="Q75" s="473"/>
      <c r="R75" s="474"/>
    </row>
    <row r="76" spans="2:18" x14ac:dyDescent="0.25">
      <c r="B76" s="357"/>
      <c r="C76" s="355"/>
      <c r="D76" s="355"/>
      <c r="E76" s="356"/>
      <c r="F76" s="356"/>
      <c r="G76" s="356"/>
      <c r="H76" s="356"/>
      <c r="I76" s="356"/>
      <c r="J76" s="358"/>
      <c r="L76" s="468"/>
      <c r="M76" s="469"/>
      <c r="N76" s="469"/>
      <c r="O76" s="472"/>
      <c r="P76" s="472"/>
      <c r="Q76" s="472"/>
      <c r="R76" s="475"/>
    </row>
    <row r="77" spans="2:18" ht="13" x14ac:dyDescent="0.25">
      <c r="B77" s="329" t="s">
        <v>172</v>
      </c>
      <c r="C77" s="330"/>
      <c r="D77" s="331"/>
      <c r="E77" s="331"/>
      <c r="F77" s="331"/>
      <c r="G77" s="331"/>
      <c r="H77" s="332"/>
      <c r="I77" s="341"/>
      <c r="J77" s="342">
        <f>SUM(J55:J75)</f>
        <v>0</v>
      </c>
      <c r="L77" s="465"/>
      <c r="M77" s="476"/>
      <c r="N77" s="271"/>
      <c r="O77" s="271"/>
      <c r="P77" s="473"/>
      <c r="Q77" s="271"/>
      <c r="R77" s="477"/>
    </row>
    <row r="78" spans="2:18" x14ac:dyDescent="0.25">
      <c r="L78" s="448"/>
      <c r="M78" s="448"/>
      <c r="N78" s="449"/>
      <c r="O78" s="450"/>
      <c r="P78" s="450"/>
      <c r="Q78" s="450"/>
      <c r="R78" s="450"/>
    </row>
    <row r="79" spans="2:18" x14ac:dyDescent="0.25">
      <c r="L79" s="448"/>
      <c r="M79" s="448"/>
      <c r="N79" s="449"/>
      <c r="O79" s="450"/>
      <c r="P79" s="450"/>
      <c r="Q79" s="450"/>
      <c r="R79" s="450"/>
    </row>
    <row r="80" spans="2:18" ht="13" x14ac:dyDescent="0.25">
      <c r="B80" s="350" t="s">
        <v>505</v>
      </c>
      <c r="C80" s="88"/>
      <c r="D80" s="88"/>
      <c r="E80" s="88"/>
      <c r="F80" s="309"/>
      <c r="G80" s="309"/>
      <c r="H80" s="88"/>
      <c r="I80" s="88"/>
      <c r="J80" s="88"/>
      <c r="L80" s="459"/>
      <c r="M80" s="271"/>
      <c r="N80" s="271"/>
      <c r="O80" s="309"/>
      <c r="P80" s="271"/>
      <c r="Q80" s="271"/>
      <c r="R80" s="271"/>
    </row>
    <row r="81" spans="2:18" x14ac:dyDescent="0.25">
      <c r="B81" s="88"/>
      <c r="C81" s="88"/>
      <c r="D81" s="274"/>
      <c r="E81" s="88"/>
      <c r="F81" s="88"/>
      <c r="G81" s="88"/>
      <c r="H81" s="88"/>
      <c r="I81" s="88"/>
      <c r="J81" s="351"/>
      <c r="L81" s="271"/>
      <c r="M81" s="271"/>
      <c r="N81" s="274"/>
      <c r="O81" s="271"/>
      <c r="P81" s="271"/>
      <c r="Q81" s="271"/>
      <c r="R81" s="460"/>
    </row>
    <row r="82" spans="2:18" ht="15.5" x14ac:dyDescent="0.25">
      <c r="B82" s="317"/>
      <c r="C82" s="320" t="s">
        <v>230</v>
      </c>
      <c r="D82" s="361"/>
      <c r="E82" s="335" t="s">
        <v>272</v>
      </c>
      <c r="F82" s="321"/>
      <c r="G82" s="437" t="s">
        <v>867</v>
      </c>
      <c r="H82" s="438"/>
      <c r="I82" s="322"/>
      <c r="J82" s="343"/>
      <c r="L82" s="271"/>
      <c r="M82" s="461"/>
      <c r="N82" s="3"/>
      <c r="O82" s="461"/>
      <c r="P82" s="461"/>
      <c r="Q82" s="462"/>
      <c r="R82" s="271"/>
    </row>
    <row r="83" spans="2:18" ht="14" x14ac:dyDescent="0.25">
      <c r="B83" s="318"/>
      <c r="C83" s="287" t="s">
        <v>237</v>
      </c>
      <c r="D83" s="362"/>
      <c r="E83" s="336" t="s">
        <v>274</v>
      </c>
      <c r="F83" s="288"/>
      <c r="G83" s="439" t="s">
        <v>275</v>
      </c>
      <c r="H83" s="440"/>
      <c r="I83" s="284"/>
      <c r="J83" s="344"/>
      <c r="L83" s="36"/>
      <c r="M83" s="463"/>
      <c r="N83" s="464"/>
      <c r="O83" s="463"/>
      <c r="P83" s="463"/>
      <c r="Q83" s="271"/>
      <c r="R83" s="271"/>
    </row>
    <row r="84" spans="2:18" ht="14" x14ac:dyDescent="0.25">
      <c r="B84" s="169" t="s">
        <v>135</v>
      </c>
      <c r="C84" s="316"/>
      <c r="D84" s="283"/>
      <c r="E84" s="316"/>
      <c r="F84" s="283"/>
      <c r="G84" s="316"/>
      <c r="H84" s="283"/>
      <c r="I84" s="286" t="s">
        <v>242</v>
      </c>
      <c r="J84" s="345" t="s">
        <v>139</v>
      </c>
      <c r="L84" s="465"/>
      <c r="M84" s="466"/>
      <c r="N84" s="466"/>
      <c r="O84" s="466"/>
      <c r="P84" s="466"/>
      <c r="Q84" s="465"/>
      <c r="R84" s="465"/>
    </row>
    <row r="85" spans="2:18" ht="14" x14ac:dyDescent="0.25">
      <c r="B85" s="319"/>
      <c r="C85" s="324" t="s">
        <v>0</v>
      </c>
      <c r="D85" s="325" t="s">
        <v>1</v>
      </c>
      <c r="E85" s="324" t="s">
        <v>0</v>
      </c>
      <c r="F85" s="325" t="s">
        <v>1</v>
      </c>
      <c r="G85" s="324" t="s">
        <v>0</v>
      </c>
      <c r="H85" s="325" t="s">
        <v>1</v>
      </c>
      <c r="I85" s="326" t="s">
        <v>148</v>
      </c>
      <c r="J85" s="346" t="s">
        <v>149</v>
      </c>
      <c r="L85" s="467"/>
      <c r="M85" s="466"/>
      <c r="N85" s="466"/>
      <c r="O85" s="466"/>
      <c r="P85" s="466"/>
      <c r="Q85" s="465"/>
      <c r="R85" s="465"/>
    </row>
    <row r="86" spans="2:18" x14ac:dyDescent="0.25">
      <c r="B86" s="327">
        <v>1</v>
      </c>
      <c r="C86" s="348">
        <f>PWV1NB*AnnualFactor</f>
        <v>0</v>
      </c>
      <c r="D86" s="349">
        <f>IF(AND(OR(RM,AM,IM,TI,OnRamp),NOT(UserAdjInputs)),C86,PWV1B*AnnualFactor)</f>
        <v>0</v>
      </c>
      <c r="E86" s="339">
        <f>ImpactedNB*C86</f>
        <v>0</v>
      </c>
      <c r="F86" s="434">
        <f>ImpactedB*D86</f>
        <v>0</v>
      </c>
      <c r="G86" s="515">
        <f>IF(OR(Intersect,FreeConn,HOVConn,HOVDrop,OffRamp,OnRamp),C86,E86)/1000000*(HwyFatCost*FatalRateNB+HwyInjCost*InjuryRateNB+HwyPDOCost*PDORateNB)</f>
        <v>0</v>
      </c>
      <c r="H86" s="498">
        <f>IF(OR(Intersect,FreeConn,HOVConn,HOVDrop,OffRamp,OnRamp),D86,F86)/1000000*(HwyFatCost*FatalRateB+HwyInjCost*InjuryRateB+HwyPDOCost*PDORateB)</f>
        <v>0</v>
      </c>
      <c r="I86" s="285">
        <f>G86-H86</f>
        <v>0</v>
      </c>
      <c r="J86" s="323">
        <f>$I86/(1+DiscRate)^($B86+Construct-1)</f>
        <v>0</v>
      </c>
      <c r="L86" s="468"/>
      <c r="M86" s="469"/>
      <c r="N86" s="469"/>
      <c r="O86" s="472"/>
      <c r="P86" s="472"/>
      <c r="Q86" s="473"/>
      <c r="R86" s="474"/>
    </row>
    <row r="87" spans="2:18" x14ac:dyDescent="0.25">
      <c r="B87" s="328">
        <v>20</v>
      </c>
      <c r="C87" s="353">
        <f>PWV20NB*AnnualFactor</f>
        <v>0</v>
      </c>
      <c r="D87" s="354">
        <f>IF(AND(OR(RM,AM,IM,TI,OnRamp),NOT(UserAdjInputs)),C87,PWV20B*AnnualFactor)</f>
        <v>0</v>
      </c>
      <c r="E87" s="339">
        <f>ImpactedNB*C87</f>
        <v>0</v>
      </c>
      <c r="F87" s="435">
        <f>ImpactedB*D87</f>
        <v>0</v>
      </c>
      <c r="G87" s="520">
        <f>IF(OR(Intersect,FreeConn,HOVConn,HOVDrop,OffRamp,OnRamp),C87,E87)/1000000*(HwyFatCost*FatalRateNB+HwyInjCost*InjuryRateNB+HwyPDOCost*PDORateNB)</f>
        <v>0</v>
      </c>
      <c r="H87" s="499">
        <f>IF(OR(Intersect,FreeConn,HOVConn,HOVDrop,OffRamp,OnRamp),D87,F87)/1000000*(HwyFatCost*FatalRateB+HwyInjCost*InjuryRateB+HwyPDOCost*PDORateB)</f>
        <v>0</v>
      </c>
      <c r="I87" s="285">
        <f>G87-H87</f>
        <v>0</v>
      </c>
      <c r="J87" s="323">
        <f>$I87/(1+DiscRate)^($B87+Construct-1)</f>
        <v>0</v>
      </c>
      <c r="L87" s="468"/>
      <c r="M87" s="469"/>
      <c r="N87" s="469"/>
      <c r="O87" s="472"/>
      <c r="P87" s="472"/>
      <c r="Q87" s="473"/>
      <c r="R87" s="474"/>
    </row>
    <row r="88" spans="2:18" x14ac:dyDescent="0.25">
      <c r="B88" s="357"/>
      <c r="C88" s="355"/>
      <c r="D88" s="355"/>
      <c r="E88" s="356"/>
      <c r="F88" s="356"/>
      <c r="G88" s="356"/>
      <c r="H88" s="356"/>
      <c r="I88" s="356"/>
      <c r="J88" s="358"/>
      <c r="L88" s="468"/>
      <c r="M88" s="469"/>
      <c r="N88" s="469"/>
      <c r="O88" s="472"/>
      <c r="P88" s="472"/>
      <c r="Q88" s="472"/>
      <c r="R88" s="475"/>
    </row>
    <row r="89" spans="2:18" x14ac:dyDescent="0.25">
      <c r="B89" s="352">
        <v>2</v>
      </c>
      <c r="C89" s="368">
        <f>TREND(C86:C87,B86:B87,B89)</f>
        <v>0</v>
      </c>
      <c r="D89" s="369">
        <f>TREND(D86:D87,B86:B87,B89)</f>
        <v>0</v>
      </c>
      <c r="E89" s="339">
        <f t="shared" ref="E89:E106" si="28">ImpactedNB*C89</f>
        <v>0</v>
      </c>
      <c r="F89" s="434">
        <f t="shared" ref="F89:F106" si="29">ImpactedB*D89</f>
        <v>0</v>
      </c>
      <c r="G89" s="515">
        <f t="shared" ref="G89:G106" si="30">IF(OR(Intersect,FreeConn,HOVConn,HOVDrop,OffRamp,OnRamp),C89,E89)/1000000*(HwyFatCost*FatalRateNB+HwyInjCost*InjuryRateNB+HwyPDOCost*PDORateNB)</f>
        <v>0</v>
      </c>
      <c r="H89" s="498">
        <f t="shared" ref="H89:H106" si="31">IF(OR(Intersect,FreeConn,HOVConn,HOVDrop,OffRamp,OnRamp),D89,F89)/1000000*(HwyFatCost*FatalRateB+HwyInjCost*InjuryRateB+HwyPDOCost*PDORateB)</f>
        <v>0</v>
      </c>
      <c r="I89" s="285">
        <f t="shared" ref="I89:I106" si="32">G89-H89</f>
        <v>0</v>
      </c>
      <c r="J89" s="323">
        <f t="shared" ref="J89:J106" si="33">$I89/(1+DiscRate)^($B89+Construct-1)</f>
        <v>0</v>
      </c>
      <c r="L89" s="468"/>
      <c r="M89" s="469"/>
      <c r="N89" s="469"/>
      <c r="O89" s="472"/>
      <c r="P89" s="472"/>
      <c r="Q89" s="473"/>
      <c r="R89" s="474"/>
    </row>
    <row r="90" spans="2:18" x14ac:dyDescent="0.25">
      <c r="B90" s="327">
        <v>3</v>
      </c>
      <c r="C90" s="347">
        <f>TREND(C86:C87,B86:B87,B90)</f>
        <v>0</v>
      </c>
      <c r="D90" s="372">
        <f>TREND(D86:D87,B86:B87,B90)</f>
        <v>0</v>
      </c>
      <c r="E90" s="339">
        <f t="shared" si="28"/>
        <v>0</v>
      </c>
      <c r="F90" s="436">
        <f t="shared" si="29"/>
        <v>0</v>
      </c>
      <c r="G90" s="521">
        <f t="shared" si="30"/>
        <v>0</v>
      </c>
      <c r="H90" s="500">
        <f t="shared" si="31"/>
        <v>0</v>
      </c>
      <c r="I90" s="285">
        <f t="shared" si="32"/>
        <v>0</v>
      </c>
      <c r="J90" s="323">
        <f t="shared" si="33"/>
        <v>0</v>
      </c>
      <c r="L90" s="468"/>
      <c r="M90" s="469"/>
      <c r="N90" s="469"/>
      <c r="O90" s="472"/>
      <c r="P90" s="472"/>
      <c r="Q90" s="473"/>
      <c r="R90" s="474"/>
    </row>
    <row r="91" spans="2:18" x14ac:dyDescent="0.25">
      <c r="B91" s="327">
        <v>4</v>
      </c>
      <c r="C91" s="347">
        <f>TREND(C86:C87,B86:B87,B91)</f>
        <v>0</v>
      </c>
      <c r="D91" s="372">
        <f>TREND(D86:D87,B86:B87,B91)</f>
        <v>0</v>
      </c>
      <c r="E91" s="339">
        <f t="shared" si="28"/>
        <v>0</v>
      </c>
      <c r="F91" s="436">
        <f t="shared" si="29"/>
        <v>0</v>
      </c>
      <c r="G91" s="521">
        <f t="shared" si="30"/>
        <v>0</v>
      </c>
      <c r="H91" s="500">
        <f t="shared" si="31"/>
        <v>0</v>
      </c>
      <c r="I91" s="285">
        <f t="shared" si="32"/>
        <v>0</v>
      </c>
      <c r="J91" s="323">
        <f t="shared" si="33"/>
        <v>0</v>
      </c>
      <c r="L91" s="468"/>
      <c r="M91" s="469"/>
      <c r="N91" s="469"/>
      <c r="O91" s="472"/>
      <c r="P91" s="472"/>
      <c r="Q91" s="473"/>
      <c r="R91" s="474"/>
    </row>
    <row r="92" spans="2:18" x14ac:dyDescent="0.25">
      <c r="B92" s="327">
        <v>5</v>
      </c>
      <c r="C92" s="347">
        <f>TREND(C86:C87,B86:B87,B92)</f>
        <v>0</v>
      </c>
      <c r="D92" s="372">
        <f>TREND(D86:D87,B86:B87,B92)</f>
        <v>0</v>
      </c>
      <c r="E92" s="339">
        <f t="shared" si="28"/>
        <v>0</v>
      </c>
      <c r="F92" s="436">
        <f t="shared" si="29"/>
        <v>0</v>
      </c>
      <c r="G92" s="521">
        <f t="shared" si="30"/>
        <v>0</v>
      </c>
      <c r="H92" s="500">
        <f t="shared" si="31"/>
        <v>0</v>
      </c>
      <c r="I92" s="285">
        <f t="shared" si="32"/>
        <v>0</v>
      </c>
      <c r="J92" s="323">
        <f t="shared" si="33"/>
        <v>0</v>
      </c>
      <c r="L92" s="468"/>
      <c r="M92" s="469"/>
      <c r="N92" s="469"/>
      <c r="O92" s="472"/>
      <c r="P92" s="472"/>
      <c r="Q92" s="473"/>
      <c r="R92" s="474"/>
    </row>
    <row r="93" spans="2:18" x14ac:dyDescent="0.25">
      <c r="B93" s="327">
        <v>6</v>
      </c>
      <c r="C93" s="347">
        <f>TREND(C86:C87,B86:B87,B93)</f>
        <v>0</v>
      </c>
      <c r="D93" s="372">
        <f>TREND(D86:D87,B86:B87,B93)</f>
        <v>0</v>
      </c>
      <c r="E93" s="339">
        <f t="shared" si="28"/>
        <v>0</v>
      </c>
      <c r="F93" s="436">
        <f t="shared" si="29"/>
        <v>0</v>
      </c>
      <c r="G93" s="521">
        <f t="shared" si="30"/>
        <v>0</v>
      </c>
      <c r="H93" s="500">
        <f t="shared" si="31"/>
        <v>0</v>
      </c>
      <c r="I93" s="285">
        <f t="shared" si="32"/>
        <v>0</v>
      </c>
      <c r="J93" s="323">
        <f t="shared" si="33"/>
        <v>0</v>
      </c>
      <c r="L93" s="468"/>
      <c r="M93" s="469"/>
      <c r="N93" s="469"/>
      <c r="O93" s="472"/>
      <c r="P93" s="472"/>
      <c r="Q93" s="473"/>
      <c r="R93" s="474"/>
    </row>
    <row r="94" spans="2:18" x14ac:dyDescent="0.25">
      <c r="B94" s="327">
        <v>7</v>
      </c>
      <c r="C94" s="347">
        <f>TREND(C86:C87,B86:B87,B94)</f>
        <v>0</v>
      </c>
      <c r="D94" s="372">
        <f>TREND(D86:D87,B86:B87,B94)</f>
        <v>0</v>
      </c>
      <c r="E94" s="339">
        <f t="shared" si="28"/>
        <v>0</v>
      </c>
      <c r="F94" s="436">
        <f t="shared" si="29"/>
        <v>0</v>
      </c>
      <c r="G94" s="521">
        <f t="shared" si="30"/>
        <v>0</v>
      </c>
      <c r="H94" s="500">
        <f t="shared" si="31"/>
        <v>0</v>
      </c>
      <c r="I94" s="285">
        <f t="shared" si="32"/>
        <v>0</v>
      </c>
      <c r="J94" s="323">
        <f t="shared" si="33"/>
        <v>0</v>
      </c>
      <c r="L94" s="468"/>
      <c r="M94" s="469"/>
      <c r="N94" s="469"/>
      <c r="O94" s="472"/>
      <c r="P94" s="472"/>
      <c r="Q94" s="473"/>
      <c r="R94" s="474"/>
    </row>
    <row r="95" spans="2:18" x14ac:dyDescent="0.25">
      <c r="B95" s="327">
        <v>8</v>
      </c>
      <c r="C95" s="347">
        <f>TREND(C86:C87,B86:B87,B95)</f>
        <v>0</v>
      </c>
      <c r="D95" s="372">
        <f>TREND(D86:D87,B86:B87,B95)</f>
        <v>0</v>
      </c>
      <c r="E95" s="339">
        <f t="shared" si="28"/>
        <v>0</v>
      </c>
      <c r="F95" s="436">
        <f t="shared" si="29"/>
        <v>0</v>
      </c>
      <c r="G95" s="521">
        <f t="shared" si="30"/>
        <v>0</v>
      </c>
      <c r="H95" s="500">
        <f t="shared" si="31"/>
        <v>0</v>
      </c>
      <c r="I95" s="285">
        <f t="shared" si="32"/>
        <v>0</v>
      </c>
      <c r="J95" s="323">
        <f t="shared" si="33"/>
        <v>0</v>
      </c>
      <c r="L95" s="468"/>
      <c r="M95" s="469"/>
      <c r="N95" s="469"/>
      <c r="O95" s="472"/>
      <c r="P95" s="472"/>
      <c r="Q95" s="473"/>
      <c r="R95" s="474"/>
    </row>
    <row r="96" spans="2:18" x14ac:dyDescent="0.25">
      <c r="B96" s="327">
        <v>9</v>
      </c>
      <c r="C96" s="347">
        <f>TREND(C86:C87,B86:B87,B96)</f>
        <v>0</v>
      </c>
      <c r="D96" s="372">
        <f>TREND(D86:D87,B86:B87,B96)</f>
        <v>0</v>
      </c>
      <c r="E96" s="339">
        <f t="shared" si="28"/>
        <v>0</v>
      </c>
      <c r="F96" s="436">
        <f t="shared" si="29"/>
        <v>0</v>
      </c>
      <c r="G96" s="521">
        <f t="shared" si="30"/>
        <v>0</v>
      </c>
      <c r="H96" s="500">
        <f t="shared" si="31"/>
        <v>0</v>
      </c>
      <c r="I96" s="285">
        <f t="shared" si="32"/>
        <v>0</v>
      </c>
      <c r="J96" s="323">
        <f t="shared" si="33"/>
        <v>0</v>
      </c>
      <c r="L96" s="468"/>
      <c r="M96" s="469"/>
      <c r="N96" s="469"/>
      <c r="O96" s="472"/>
      <c r="P96" s="472"/>
      <c r="Q96" s="473"/>
      <c r="R96" s="474"/>
    </row>
    <row r="97" spans="2:18" x14ac:dyDescent="0.25">
      <c r="B97" s="327">
        <v>10</v>
      </c>
      <c r="C97" s="347">
        <f>TREND(C86:C87,B86:B87,B97)</f>
        <v>0</v>
      </c>
      <c r="D97" s="372">
        <f>TREND(D86:D87,B86:B87,B97)</f>
        <v>0</v>
      </c>
      <c r="E97" s="339">
        <f t="shared" si="28"/>
        <v>0</v>
      </c>
      <c r="F97" s="436">
        <f t="shared" si="29"/>
        <v>0</v>
      </c>
      <c r="G97" s="521">
        <f t="shared" si="30"/>
        <v>0</v>
      </c>
      <c r="H97" s="500">
        <f t="shared" si="31"/>
        <v>0</v>
      </c>
      <c r="I97" s="285">
        <f t="shared" si="32"/>
        <v>0</v>
      </c>
      <c r="J97" s="323">
        <f t="shared" si="33"/>
        <v>0</v>
      </c>
      <c r="L97" s="468"/>
      <c r="M97" s="469"/>
      <c r="N97" s="469"/>
      <c r="O97" s="472"/>
      <c r="P97" s="472"/>
      <c r="Q97" s="473"/>
      <c r="R97" s="474"/>
    </row>
    <row r="98" spans="2:18" x14ac:dyDescent="0.25">
      <c r="B98" s="327">
        <v>11</v>
      </c>
      <c r="C98" s="347">
        <f>TREND(C86:C87,B86:B87,B98)</f>
        <v>0</v>
      </c>
      <c r="D98" s="372">
        <f>TREND(D86:D87,B86:B87,B98)</f>
        <v>0</v>
      </c>
      <c r="E98" s="339">
        <f t="shared" si="28"/>
        <v>0</v>
      </c>
      <c r="F98" s="436">
        <f t="shared" si="29"/>
        <v>0</v>
      </c>
      <c r="G98" s="521">
        <f t="shared" si="30"/>
        <v>0</v>
      </c>
      <c r="H98" s="500">
        <f t="shared" si="31"/>
        <v>0</v>
      </c>
      <c r="I98" s="285">
        <f t="shared" si="32"/>
        <v>0</v>
      </c>
      <c r="J98" s="323">
        <f t="shared" si="33"/>
        <v>0</v>
      </c>
      <c r="L98" s="468"/>
      <c r="M98" s="469"/>
      <c r="N98" s="469"/>
      <c r="O98" s="472"/>
      <c r="P98" s="472"/>
      <c r="Q98" s="473"/>
      <c r="R98" s="474"/>
    </row>
    <row r="99" spans="2:18" x14ac:dyDescent="0.25">
      <c r="B99" s="327">
        <v>12</v>
      </c>
      <c r="C99" s="347">
        <f>TREND(C86:C87,B86:B87,B99)</f>
        <v>0</v>
      </c>
      <c r="D99" s="372">
        <f>TREND(D86:D87,B86:B87,B99)</f>
        <v>0</v>
      </c>
      <c r="E99" s="339">
        <f t="shared" si="28"/>
        <v>0</v>
      </c>
      <c r="F99" s="436">
        <f t="shared" si="29"/>
        <v>0</v>
      </c>
      <c r="G99" s="521">
        <f t="shared" si="30"/>
        <v>0</v>
      </c>
      <c r="H99" s="500">
        <f t="shared" si="31"/>
        <v>0</v>
      </c>
      <c r="I99" s="285">
        <f t="shared" si="32"/>
        <v>0</v>
      </c>
      <c r="J99" s="323">
        <f t="shared" si="33"/>
        <v>0</v>
      </c>
      <c r="L99" s="468"/>
      <c r="M99" s="469"/>
      <c r="N99" s="469"/>
      <c r="O99" s="472"/>
      <c r="P99" s="472"/>
      <c r="Q99" s="473"/>
      <c r="R99" s="474"/>
    </row>
    <row r="100" spans="2:18" x14ac:dyDescent="0.25">
      <c r="B100" s="327">
        <v>13</v>
      </c>
      <c r="C100" s="347">
        <f>TREND(C86:C87,B86:B87,B100)</f>
        <v>0</v>
      </c>
      <c r="D100" s="372">
        <f>TREND(D86:D87,B86:B87,B100)</f>
        <v>0</v>
      </c>
      <c r="E100" s="339">
        <f t="shared" si="28"/>
        <v>0</v>
      </c>
      <c r="F100" s="436">
        <f t="shared" si="29"/>
        <v>0</v>
      </c>
      <c r="G100" s="521">
        <f t="shared" si="30"/>
        <v>0</v>
      </c>
      <c r="H100" s="500">
        <f t="shared" si="31"/>
        <v>0</v>
      </c>
      <c r="I100" s="285">
        <f t="shared" si="32"/>
        <v>0</v>
      </c>
      <c r="J100" s="323">
        <f t="shared" si="33"/>
        <v>0</v>
      </c>
      <c r="L100" s="468"/>
      <c r="M100" s="469"/>
      <c r="N100" s="469"/>
      <c r="O100" s="472"/>
      <c r="P100" s="472"/>
      <c r="Q100" s="473"/>
      <c r="R100" s="474"/>
    </row>
    <row r="101" spans="2:18" x14ac:dyDescent="0.25">
      <c r="B101" s="327">
        <v>14</v>
      </c>
      <c r="C101" s="347">
        <f>TREND(C86:C87,B86:B87,B101)</f>
        <v>0</v>
      </c>
      <c r="D101" s="372">
        <f>TREND(D86:D87,B86:B87,B101)</f>
        <v>0</v>
      </c>
      <c r="E101" s="339">
        <f t="shared" si="28"/>
        <v>0</v>
      </c>
      <c r="F101" s="436">
        <f t="shared" si="29"/>
        <v>0</v>
      </c>
      <c r="G101" s="521">
        <f t="shared" si="30"/>
        <v>0</v>
      </c>
      <c r="H101" s="500">
        <f t="shared" si="31"/>
        <v>0</v>
      </c>
      <c r="I101" s="285">
        <f t="shared" si="32"/>
        <v>0</v>
      </c>
      <c r="J101" s="323">
        <f t="shared" si="33"/>
        <v>0</v>
      </c>
      <c r="L101" s="468"/>
      <c r="M101" s="469"/>
      <c r="N101" s="469"/>
      <c r="O101" s="472"/>
      <c r="P101" s="472"/>
      <c r="Q101" s="473"/>
      <c r="R101" s="474"/>
    </row>
    <row r="102" spans="2:18" x14ac:dyDescent="0.25">
      <c r="B102" s="327">
        <v>15</v>
      </c>
      <c r="C102" s="347">
        <f>TREND(C86:C87,B86:B87,B102)</f>
        <v>0</v>
      </c>
      <c r="D102" s="372">
        <f>TREND(D86:D87,B86:B87,B102)</f>
        <v>0</v>
      </c>
      <c r="E102" s="339">
        <f t="shared" si="28"/>
        <v>0</v>
      </c>
      <c r="F102" s="436">
        <f t="shared" si="29"/>
        <v>0</v>
      </c>
      <c r="G102" s="521">
        <f t="shared" si="30"/>
        <v>0</v>
      </c>
      <c r="H102" s="500">
        <f t="shared" si="31"/>
        <v>0</v>
      </c>
      <c r="I102" s="285">
        <f t="shared" si="32"/>
        <v>0</v>
      </c>
      <c r="J102" s="323">
        <f t="shared" si="33"/>
        <v>0</v>
      </c>
      <c r="L102" s="468"/>
      <c r="M102" s="469"/>
      <c r="N102" s="469"/>
      <c r="O102" s="472"/>
      <c r="P102" s="472"/>
      <c r="Q102" s="473"/>
      <c r="R102" s="474"/>
    </row>
    <row r="103" spans="2:18" x14ac:dyDescent="0.25">
      <c r="B103" s="327">
        <v>16</v>
      </c>
      <c r="C103" s="347">
        <f>TREND(C86:C87,B86:B87,B103)</f>
        <v>0</v>
      </c>
      <c r="D103" s="372">
        <f>TREND(D86:D87,B86:B87,B103)</f>
        <v>0</v>
      </c>
      <c r="E103" s="339">
        <f t="shared" si="28"/>
        <v>0</v>
      </c>
      <c r="F103" s="436">
        <f t="shared" si="29"/>
        <v>0</v>
      </c>
      <c r="G103" s="521">
        <f t="shared" si="30"/>
        <v>0</v>
      </c>
      <c r="H103" s="500">
        <f t="shared" si="31"/>
        <v>0</v>
      </c>
      <c r="I103" s="285">
        <f t="shared" si="32"/>
        <v>0</v>
      </c>
      <c r="J103" s="323">
        <f t="shared" si="33"/>
        <v>0</v>
      </c>
      <c r="L103" s="468"/>
      <c r="M103" s="469"/>
      <c r="N103" s="469"/>
      <c r="O103" s="472"/>
      <c r="P103" s="472"/>
      <c r="Q103" s="473"/>
      <c r="R103" s="474"/>
    </row>
    <row r="104" spans="2:18" x14ac:dyDescent="0.25">
      <c r="B104" s="327">
        <v>17</v>
      </c>
      <c r="C104" s="347">
        <f>TREND(C86:C87,B86:B87,B104)</f>
        <v>0</v>
      </c>
      <c r="D104" s="372">
        <f>TREND(D86:D87,B86:B87,B104)</f>
        <v>0</v>
      </c>
      <c r="E104" s="339">
        <f t="shared" si="28"/>
        <v>0</v>
      </c>
      <c r="F104" s="436">
        <f t="shared" si="29"/>
        <v>0</v>
      </c>
      <c r="G104" s="521">
        <f t="shared" si="30"/>
        <v>0</v>
      </c>
      <c r="H104" s="500">
        <f t="shared" si="31"/>
        <v>0</v>
      </c>
      <c r="I104" s="285">
        <f t="shared" si="32"/>
        <v>0</v>
      </c>
      <c r="J104" s="323">
        <f t="shared" si="33"/>
        <v>0</v>
      </c>
      <c r="L104" s="468"/>
      <c r="M104" s="469"/>
      <c r="N104" s="469"/>
      <c r="O104" s="472"/>
      <c r="P104" s="472"/>
      <c r="Q104" s="473"/>
      <c r="R104" s="474"/>
    </row>
    <row r="105" spans="2:18" x14ac:dyDescent="0.25">
      <c r="B105" s="327">
        <v>18</v>
      </c>
      <c r="C105" s="347">
        <f>TREND(C86:C87,B86:B87,B105)</f>
        <v>0</v>
      </c>
      <c r="D105" s="372">
        <f>TREND(D86:D87,B86:B87,B105)</f>
        <v>0</v>
      </c>
      <c r="E105" s="339">
        <f t="shared" si="28"/>
        <v>0</v>
      </c>
      <c r="F105" s="436">
        <f t="shared" si="29"/>
        <v>0</v>
      </c>
      <c r="G105" s="521">
        <f t="shared" si="30"/>
        <v>0</v>
      </c>
      <c r="H105" s="500">
        <f t="shared" si="31"/>
        <v>0</v>
      </c>
      <c r="I105" s="285">
        <f t="shared" si="32"/>
        <v>0</v>
      </c>
      <c r="J105" s="323">
        <f t="shared" si="33"/>
        <v>0</v>
      </c>
      <c r="L105" s="468"/>
      <c r="M105" s="469"/>
      <c r="N105" s="469"/>
      <c r="O105" s="472"/>
      <c r="P105" s="472"/>
      <c r="Q105" s="473"/>
      <c r="R105" s="474"/>
    </row>
    <row r="106" spans="2:18" x14ac:dyDescent="0.25">
      <c r="B106" s="359">
        <v>19</v>
      </c>
      <c r="C106" s="360">
        <f>TREND(C86:C87,B86:B87,B106)</f>
        <v>0</v>
      </c>
      <c r="D106" s="375">
        <f>TREND(D86:D87,B86:B87,B106)</f>
        <v>0</v>
      </c>
      <c r="E106" s="339">
        <f t="shared" si="28"/>
        <v>0</v>
      </c>
      <c r="F106" s="435">
        <f t="shared" si="29"/>
        <v>0</v>
      </c>
      <c r="G106" s="520">
        <f t="shared" si="30"/>
        <v>0</v>
      </c>
      <c r="H106" s="499">
        <f t="shared" si="31"/>
        <v>0</v>
      </c>
      <c r="I106" s="285">
        <f t="shared" si="32"/>
        <v>0</v>
      </c>
      <c r="J106" s="323">
        <f t="shared" si="33"/>
        <v>0</v>
      </c>
      <c r="L106" s="468"/>
      <c r="M106" s="469"/>
      <c r="N106" s="469"/>
      <c r="O106" s="472"/>
      <c r="P106" s="472"/>
      <c r="Q106" s="473"/>
      <c r="R106" s="474"/>
    </row>
    <row r="107" spans="2:18" x14ac:dyDescent="0.25">
      <c r="B107" s="357"/>
      <c r="C107" s="355"/>
      <c r="D107" s="355"/>
      <c r="E107" s="356"/>
      <c r="F107" s="356"/>
      <c r="G107" s="356"/>
      <c r="H107" s="356"/>
      <c r="I107" s="356"/>
      <c r="J107" s="358"/>
      <c r="L107" s="468"/>
      <c r="M107" s="469"/>
      <c r="N107" s="469"/>
      <c r="O107" s="472"/>
      <c r="P107" s="472"/>
      <c r="Q107" s="472"/>
      <c r="R107" s="475"/>
    </row>
    <row r="108" spans="2:18" ht="13" x14ac:dyDescent="0.25">
      <c r="B108" s="329" t="s">
        <v>172</v>
      </c>
      <c r="C108" s="330"/>
      <c r="D108" s="331"/>
      <c r="E108" s="331"/>
      <c r="F108" s="331"/>
      <c r="G108" s="331"/>
      <c r="H108" s="332"/>
      <c r="I108" s="341"/>
      <c r="J108" s="342">
        <f>SUM(J86:J106)</f>
        <v>0</v>
      </c>
      <c r="L108" s="465"/>
      <c r="M108" s="476"/>
      <c r="N108" s="271"/>
      <c r="O108" s="271"/>
      <c r="P108" s="473"/>
      <c r="Q108" s="271"/>
      <c r="R108" s="477"/>
    </row>
    <row r="109" spans="2:18" x14ac:dyDescent="0.25">
      <c r="L109" s="448"/>
      <c r="M109" s="448"/>
      <c r="N109" s="449"/>
      <c r="O109" s="450"/>
      <c r="P109" s="450"/>
      <c r="Q109" s="450"/>
      <c r="R109" s="450"/>
    </row>
    <row r="110" spans="2:18" x14ac:dyDescent="0.25">
      <c r="L110" s="448"/>
      <c r="M110" s="448"/>
      <c r="N110" s="449"/>
      <c r="O110" s="450"/>
      <c r="P110" s="450"/>
      <c r="Q110" s="450"/>
      <c r="R110" s="450"/>
    </row>
    <row r="111" spans="2:18" ht="13" x14ac:dyDescent="0.25">
      <c r="B111" s="350" t="s">
        <v>253</v>
      </c>
      <c r="C111" s="88"/>
      <c r="D111" s="88"/>
      <c r="E111" s="88"/>
      <c r="F111" s="309"/>
      <c r="G111" s="309"/>
      <c r="H111" s="88"/>
      <c r="I111" s="88"/>
      <c r="J111" s="88"/>
      <c r="L111" s="459"/>
      <c r="M111" s="271"/>
      <c r="N111" s="271"/>
      <c r="O111" s="309"/>
      <c r="P111" s="271"/>
      <c r="Q111" s="271"/>
      <c r="R111" s="271"/>
    </row>
    <row r="112" spans="2:18" x14ac:dyDescent="0.25">
      <c r="B112" s="88"/>
      <c r="C112" s="88"/>
      <c r="D112" s="274"/>
      <c r="E112" s="88"/>
      <c r="F112" s="88"/>
      <c r="G112" s="88"/>
      <c r="H112" s="88"/>
      <c r="I112" s="88"/>
      <c r="J112" s="351"/>
      <c r="L112" s="271"/>
      <c r="M112" s="271"/>
      <c r="N112" s="274"/>
      <c r="O112" s="271"/>
      <c r="P112" s="271"/>
      <c r="Q112" s="271"/>
      <c r="R112" s="460"/>
    </row>
    <row r="113" spans="2:18" ht="15.5" x14ac:dyDescent="0.25">
      <c r="B113" s="317"/>
      <c r="C113" s="320" t="s">
        <v>230</v>
      </c>
      <c r="D113" s="361"/>
      <c r="E113" s="335" t="s">
        <v>272</v>
      </c>
      <c r="F113" s="321"/>
      <c r="G113" s="437" t="s">
        <v>867</v>
      </c>
      <c r="H113" s="438"/>
      <c r="I113" s="322"/>
      <c r="J113" s="343"/>
      <c r="L113" s="271"/>
      <c r="M113" s="461"/>
      <c r="N113" s="3"/>
      <c r="O113" s="461"/>
      <c r="P113" s="461"/>
      <c r="Q113" s="462"/>
      <c r="R113" s="271"/>
    </row>
    <row r="114" spans="2:18" ht="14" x14ac:dyDescent="0.25">
      <c r="B114" s="318"/>
      <c r="C114" s="287" t="s">
        <v>237</v>
      </c>
      <c r="D114" s="362"/>
      <c r="E114" s="336" t="s">
        <v>274</v>
      </c>
      <c r="F114" s="288"/>
      <c r="G114" s="439" t="s">
        <v>275</v>
      </c>
      <c r="H114" s="440"/>
      <c r="I114" s="284"/>
      <c r="J114" s="344"/>
      <c r="L114" s="36"/>
      <c r="M114" s="463"/>
      <c r="N114" s="464"/>
      <c r="O114" s="463"/>
      <c r="P114" s="463"/>
      <c r="Q114" s="271"/>
      <c r="R114" s="271"/>
    </row>
    <row r="115" spans="2:18" ht="14" x14ac:dyDescent="0.25">
      <c r="B115" s="169" t="s">
        <v>135</v>
      </c>
      <c r="C115" s="316"/>
      <c r="D115" s="283"/>
      <c r="E115" s="316"/>
      <c r="F115" s="283"/>
      <c r="G115" s="316"/>
      <c r="H115" s="283"/>
      <c r="I115" s="286" t="s">
        <v>242</v>
      </c>
      <c r="J115" s="345" t="s">
        <v>139</v>
      </c>
      <c r="L115" s="465"/>
      <c r="M115" s="466"/>
      <c r="N115" s="466"/>
      <c r="O115" s="466"/>
      <c r="P115" s="466"/>
      <c r="Q115" s="465"/>
      <c r="R115" s="465"/>
    </row>
    <row r="116" spans="2:18" ht="14" x14ac:dyDescent="0.25">
      <c r="B116" s="319"/>
      <c r="C116" s="324" t="s">
        <v>0</v>
      </c>
      <c r="D116" s="325" t="s">
        <v>1</v>
      </c>
      <c r="E116" s="324" t="s">
        <v>0</v>
      </c>
      <c r="F116" s="325" t="s">
        <v>1</v>
      </c>
      <c r="G116" s="324" t="s">
        <v>0</v>
      </c>
      <c r="H116" s="325" t="s">
        <v>1</v>
      </c>
      <c r="I116" s="326" t="s">
        <v>148</v>
      </c>
      <c r="J116" s="346" t="s">
        <v>149</v>
      </c>
      <c r="L116" s="467"/>
      <c r="M116" s="466"/>
      <c r="N116" s="466"/>
      <c r="O116" s="466"/>
      <c r="P116" s="466"/>
      <c r="Q116" s="465"/>
      <c r="R116" s="465"/>
    </row>
    <row r="117" spans="2:18" x14ac:dyDescent="0.25">
      <c r="B117" s="327">
        <v>1</v>
      </c>
      <c r="C117" s="348">
        <f>PTV1NB*AnnualFactor</f>
        <v>0</v>
      </c>
      <c r="D117" s="349">
        <f>IF(AND(OR(RM,AM,IM,TI,OnRamp),NOT(UserAdjInputs)),C117,PTV1B*AnnualFactor)</f>
        <v>0</v>
      </c>
      <c r="E117" s="339">
        <f>ImpactedNB*C117</f>
        <v>0</v>
      </c>
      <c r="F117" s="434">
        <f>ImpactedB*D117</f>
        <v>0</v>
      </c>
      <c r="G117" s="515">
        <f>IF(OR(Intersect,FreeConn,HOVConn,HOVDrop,OffRamp,OnRamp),C117,E117)/1000000*(HwyFatCost*FatalRateNB+HwyInjCost*InjuryRateNB+HwyPDOCost*PDORateNB)</f>
        <v>0</v>
      </c>
      <c r="H117" s="498">
        <f>IF(OR(Intersect,FreeConn,HOVConn,HOVDrop,OffRamp,OnRamp),D117,F117)/1000000*(HwyFatCost*FatalRateB+HwyInjCost*InjuryRateB+HwyPDOCost*PDORateB)</f>
        <v>0</v>
      </c>
      <c r="I117" s="285">
        <f>G117-H117</f>
        <v>0</v>
      </c>
      <c r="J117" s="323">
        <f>$I117/(1+DiscRate)^($B117+Construct-1)</f>
        <v>0</v>
      </c>
      <c r="L117" s="468"/>
      <c r="M117" s="469"/>
      <c r="N117" s="469"/>
      <c r="O117" s="472"/>
      <c r="P117" s="472"/>
      <c r="Q117" s="473"/>
      <c r="R117" s="474"/>
    </row>
    <row r="118" spans="2:18" x14ac:dyDescent="0.25">
      <c r="B118" s="328">
        <v>20</v>
      </c>
      <c r="C118" s="353">
        <f>PTV20NB*AnnualFactor</f>
        <v>0</v>
      </c>
      <c r="D118" s="354">
        <f>IF(AND(OR(RM,AM,IM,TI,OnRamp),NOT(UserAdjInputs)),C118,PTV20B*AnnualFactor)</f>
        <v>0</v>
      </c>
      <c r="E118" s="339">
        <f>ImpactedNB*C118</f>
        <v>0</v>
      </c>
      <c r="F118" s="435">
        <f>ImpactedB*D118</f>
        <v>0</v>
      </c>
      <c r="G118" s="520">
        <f>IF(OR(Intersect,FreeConn,HOVConn,HOVDrop,OffRamp,OnRamp),C118,E118)/1000000*(HwyFatCost*FatalRateNB+HwyInjCost*InjuryRateNB+HwyPDOCost*PDORateNB)</f>
        <v>0</v>
      </c>
      <c r="H118" s="499">
        <f>IF(OR(Intersect,FreeConn,HOVConn,HOVDrop,OffRamp,OnRamp),D118,F118)/1000000*(HwyFatCost*FatalRateB+HwyInjCost*InjuryRateB+HwyPDOCost*PDORateB)</f>
        <v>0</v>
      </c>
      <c r="I118" s="285">
        <f>G118-H118</f>
        <v>0</v>
      </c>
      <c r="J118" s="323">
        <f>$I118/(1+DiscRate)^($B118+Construct-1)</f>
        <v>0</v>
      </c>
      <c r="L118" s="468"/>
      <c r="M118" s="469"/>
      <c r="N118" s="469"/>
      <c r="O118" s="472"/>
      <c r="P118" s="472"/>
      <c r="Q118" s="473"/>
      <c r="R118" s="474"/>
    </row>
    <row r="119" spans="2:18" x14ac:dyDescent="0.25">
      <c r="B119" s="357"/>
      <c r="C119" s="355"/>
      <c r="D119" s="355"/>
      <c r="E119" s="356"/>
      <c r="F119" s="356"/>
      <c r="G119" s="356"/>
      <c r="H119" s="356"/>
      <c r="I119" s="356"/>
      <c r="J119" s="358"/>
      <c r="L119" s="468"/>
      <c r="M119" s="469"/>
      <c r="N119" s="469"/>
      <c r="O119" s="472"/>
      <c r="P119" s="472"/>
      <c r="Q119" s="472"/>
      <c r="R119" s="475"/>
    </row>
    <row r="120" spans="2:18" x14ac:dyDescent="0.25">
      <c r="B120" s="352">
        <v>2</v>
      </c>
      <c r="C120" s="368">
        <f>TREND(C117:C118,B117:B118,B120)</f>
        <v>0</v>
      </c>
      <c r="D120" s="369">
        <f>TREND(D117:D118,B117:B118,B120)</f>
        <v>0</v>
      </c>
      <c r="E120" s="339">
        <f t="shared" ref="E120:E137" si="34">ImpactedNB*C120</f>
        <v>0</v>
      </c>
      <c r="F120" s="434">
        <f t="shared" ref="F120:F137" si="35">ImpactedB*D120</f>
        <v>0</v>
      </c>
      <c r="G120" s="515">
        <f t="shared" ref="G120:G137" si="36">IF(OR(Intersect,FreeConn,HOVConn,HOVDrop,OffRamp,OnRamp),C120,E120)/1000000*(HwyFatCost*FatalRateNB+HwyInjCost*InjuryRateNB+HwyPDOCost*PDORateNB)</f>
        <v>0</v>
      </c>
      <c r="H120" s="498">
        <f t="shared" ref="H120:H137" si="37">IF(OR(Intersect,FreeConn,HOVConn,HOVDrop,OffRamp,OnRamp),D120,F120)/1000000*(HwyFatCost*FatalRateB+HwyInjCost*InjuryRateB+HwyPDOCost*PDORateB)</f>
        <v>0</v>
      </c>
      <c r="I120" s="285">
        <f t="shared" ref="I120:I137" si="38">G120-H120</f>
        <v>0</v>
      </c>
      <c r="J120" s="323">
        <f t="shared" ref="J120:J137" si="39">$I120/(1+DiscRate)^($B120+Construct-1)</f>
        <v>0</v>
      </c>
      <c r="L120" s="468"/>
      <c r="M120" s="469"/>
      <c r="N120" s="469"/>
      <c r="O120" s="472"/>
      <c r="P120" s="472"/>
      <c r="Q120" s="473"/>
      <c r="R120" s="474"/>
    </row>
    <row r="121" spans="2:18" x14ac:dyDescent="0.25">
      <c r="B121" s="327">
        <v>3</v>
      </c>
      <c r="C121" s="347">
        <f>TREND(C117:C118,B117:B118,B121)</f>
        <v>0</v>
      </c>
      <c r="D121" s="372">
        <f>TREND(D117:D118,B117:B118,B121)</f>
        <v>0</v>
      </c>
      <c r="E121" s="339">
        <f t="shared" si="34"/>
        <v>0</v>
      </c>
      <c r="F121" s="436">
        <f t="shared" si="35"/>
        <v>0</v>
      </c>
      <c r="G121" s="521">
        <f t="shared" si="36"/>
        <v>0</v>
      </c>
      <c r="H121" s="500">
        <f t="shared" si="37"/>
        <v>0</v>
      </c>
      <c r="I121" s="285">
        <f t="shared" si="38"/>
        <v>0</v>
      </c>
      <c r="J121" s="323">
        <f t="shared" si="39"/>
        <v>0</v>
      </c>
      <c r="L121" s="468"/>
      <c r="M121" s="469"/>
      <c r="N121" s="469"/>
      <c r="O121" s="472"/>
      <c r="P121" s="472"/>
      <c r="Q121" s="473"/>
      <c r="R121" s="474"/>
    </row>
    <row r="122" spans="2:18" x14ac:dyDescent="0.25">
      <c r="B122" s="327">
        <v>4</v>
      </c>
      <c r="C122" s="347">
        <f>TREND(C117:C118,B117:B118,B122)</f>
        <v>0</v>
      </c>
      <c r="D122" s="372">
        <f>TREND(D117:D118,B117:B118,B122)</f>
        <v>0</v>
      </c>
      <c r="E122" s="339">
        <f t="shared" si="34"/>
        <v>0</v>
      </c>
      <c r="F122" s="436">
        <f t="shared" si="35"/>
        <v>0</v>
      </c>
      <c r="G122" s="521">
        <f t="shared" si="36"/>
        <v>0</v>
      </c>
      <c r="H122" s="500">
        <f t="shared" si="37"/>
        <v>0</v>
      </c>
      <c r="I122" s="285">
        <f t="shared" si="38"/>
        <v>0</v>
      </c>
      <c r="J122" s="323">
        <f t="shared" si="39"/>
        <v>0</v>
      </c>
      <c r="L122" s="468"/>
      <c r="M122" s="469"/>
      <c r="N122" s="469"/>
      <c r="O122" s="472"/>
      <c r="P122" s="472"/>
      <c r="Q122" s="473"/>
      <c r="R122" s="474"/>
    </row>
    <row r="123" spans="2:18" x14ac:dyDescent="0.25">
      <c r="B123" s="327">
        <v>5</v>
      </c>
      <c r="C123" s="347">
        <f>TREND(C117:C118,B117:B118,B123)</f>
        <v>0</v>
      </c>
      <c r="D123" s="372">
        <f>TREND(D117:D118,B117:B118,B123)</f>
        <v>0</v>
      </c>
      <c r="E123" s="339">
        <f t="shared" si="34"/>
        <v>0</v>
      </c>
      <c r="F123" s="436">
        <f t="shared" si="35"/>
        <v>0</v>
      </c>
      <c r="G123" s="521">
        <f t="shared" si="36"/>
        <v>0</v>
      </c>
      <c r="H123" s="500">
        <f t="shared" si="37"/>
        <v>0</v>
      </c>
      <c r="I123" s="285">
        <f t="shared" si="38"/>
        <v>0</v>
      </c>
      <c r="J123" s="323">
        <f t="shared" si="39"/>
        <v>0</v>
      </c>
      <c r="L123" s="468"/>
      <c r="M123" s="469"/>
      <c r="N123" s="469"/>
      <c r="O123" s="472"/>
      <c r="P123" s="472"/>
      <c r="Q123" s="473"/>
      <c r="R123" s="474"/>
    </row>
    <row r="124" spans="2:18" x14ac:dyDescent="0.25">
      <c r="B124" s="327">
        <v>6</v>
      </c>
      <c r="C124" s="347">
        <f>TREND(C117:C118,B117:B118,B124)</f>
        <v>0</v>
      </c>
      <c r="D124" s="372">
        <f>TREND(D117:D118,B117:B118,B124)</f>
        <v>0</v>
      </c>
      <c r="E124" s="339">
        <f t="shared" si="34"/>
        <v>0</v>
      </c>
      <c r="F124" s="436">
        <f t="shared" si="35"/>
        <v>0</v>
      </c>
      <c r="G124" s="521">
        <f t="shared" si="36"/>
        <v>0</v>
      </c>
      <c r="H124" s="500">
        <f t="shared" si="37"/>
        <v>0</v>
      </c>
      <c r="I124" s="285">
        <f t="shared" si="38"/>
        <v>0</v>
      </c>
      <c r="J124" s="323">
        <f t="shared" si="39"/>
        <v>0</v>
      </c>
      <c r="L124" s="468"/>
      <c r="M124" s="469"/>
      <c r="N124" s="469"/>
      <c r="O124" s="472"/>
      <c r="P124" s="472"/>
      <c r="Q124" s="473"/>
      <c r="R124" s="474"/>
    </row>
    <row r="125" spans="2:18" x14ac:dyDescent="0.25">
      <c r="B125" s="327">
        <v>7</v>
      </c>
      <c r="C125" s="347">
        <f>TREND(C117:C118,B117:B118,B125)</f>
        <v>0</v>
      </c>
      <c r="D125" s="372">
        <f>TREND(D117:D118,B117:B118,B125)</f>
        <v>0</v>
      </c>
      <c r="E125" s="339">
        <f t="shared" si="34"/>
        <v>0</v>
      </c>
      <c r="F125" s="436">
        <f t="shared" si="35"/>
        <v>0</v>
      </c>
      <c r="G125" s="521">
        <f t="shared" si="36"/>
        <v>0</v>
      </c>
      <c r="H125" s="500">
        <f t="shared" si="37"/>
        <v>0</v>
      </c>
      <c r="I125" s="285">
        <f t="shared" si="38"/>
        <v>0</v>
      </c>
      <c r="J125" s="323">
        <f t="shared" si="39"/>
        <v>0</v>
      </c>
      <c r="L125" s="468"/>
      <c r="M125" s="469"/>
      <c r="N125" s="469"/>
      <c r="O125" s="472"/>
      <c r="P125" s="472"/>
      <c r="Q125" s="473"/>
      <c r="R125" s="474"/>
    </row>
    <row r="126" spans="2:18" x14ac:dyDescent="0.25">
      <c r="B126" s="327">
        <v>8</v>
      </c>
      <c r="C126" s="347">
        <f>TREND(C117:C118,B117:B118,B126)</f>
        <v>0</v>
      </c>
      <c r="D126" s="372">
        <f>TREND(D117:D118,B117:B118,B126)</f>
        <v>0</v>
      </c>
      <c r="E126" s="339">
        <f t="shared" si="34"/>
        <v>0</v>
      </c>
      <c r="F126" s="436">
        <f t="shared" si="35"/>
        <v>0</v>
      </c>
      <c r="G126" s="521">
        <f t="shared" si="36"/>
        <v>0</v>
      </c>
      <c r="H126" s="500">
        <f t="shared" si="37"/>
        <v>0</v>
      </c>
      <c r="I126" s="285">
        <f t="shared" si="38"/>
        <v>0</v>
      </c>
      <c r="J126" s="323">
        <f t="shared" si="39"/>
        <v>0</v>
      </c>
      <c r="L126" s="468"/>
      <c r="M126" s="469"/>
      <c r="N126" s="469"/>
      <c r="O126" s="472"/>
      <c r="P126" s="472"/>
      <c r="Q126" s="473"/>
      <c r="R126" s="474"/>
    </row>
    <row r="127" spans="2:18" x14ac:dyDescent="0.25">
      <c r="B127" s="327">
        <v>9</v>
      </c>
      <c r="C127" s="347">
        <f>TREND(C117:C118,B117:B118,B127)</f>
        <v>0</v>
      </c>
      <c r="D127" s="372">
        <f>TREND(D117:D118,B117:B118,B127)</f>
        <v>0</v>
      </c>
      <c r="E127" s="339">
        <f t="shared" si="34"/>
        <v>0</v>
      </c>
      <c r="F127" s="436">
        <f t="shared" si="35"/>
        <v>0</v>
      </c>
      <c r="G127" s="521">
        <f t="shared" si="36"/>
        <v>0</v>
      </c>
      <c r="H127" s="500">
        <f t="shared" si="37"/>
        <v>0</v>
      </c>
      <c r="I127" s="285">
        <f t="shared" si="38"/>
        <v>0</v>
      </c>
      <c r="J127" s="323">
        <f t="shared" si="39"/>
        <v>0</v>
      </c>
      <c r="L127" s="468"/>
      <c r="M127" s="469"/>
      <c r="N127" s="469"/>
      <c r="O127" s="472"/>
      <c r="P127" s="472"/>
      <c r="Q127" s="473"/>
      <c r="R127" s="474"/>
    </row>
    <row r="128" spans="2:18" x14ac:dyDescent="0.25">
      <c r="B128" s="327">
        <v>10</v>
      </c>
      <c r="C128" s="347">
        <f>TREND(C117:C118,B117:B118,B128)</f>
        <v>0</v>
      </c>
      <c r="D128" s="372">
        <f>TREND(D117:D118,B117:B118,B128)</f>
        <v>0</v>
      </c>
      <c r="E128" s="339">
        <f t="shared" si="34"/>
        <v>0</v>
      </c>
      <c r="F128" s="436">
        <f t="shared" si="35"/>
        <v>0</v>
      </c>
      <c r="G128" s="521">
        <f t="shared" si="36"/>
        <v>0</v>
      </c>
      <c r="H128" s="500">
        <f t="shared" si="37"/>
        <v>0</v>
      </c>
      <c r="I128" s="285">
        <f t="shared" si="38"/>
        <v>0</v>
      </c>
      <c r="J128" s="323">
        <f t="shared" si="39"/>
        <v>0</v>
      </c>
      <c r="L128" s="468"/>
      <c r="M128" s="469"/>
      <c r="N128" s="469"/>
      <c r="O128" s="472"/>
      <c r="P128" s="472"/>
      <c r="Q128" s="473"/>
      <c r="R128" s="474"/>
    </row>
    <row r="129" spans="2:18" x14ac:dyDescent="0.25">
      <c r="B129" s="327">
        <v>11</v>
      </c>
      <c r="C129" s="347">
        <f>TREND(C117:C118,B117:B118,B129)</f>
        <v>0</v>
      </c>
      <c r="D129" s="372">
        <f>TREND(D117:D118,B117:B118,B129)</f>
        <v>0</v>
      </c>
      <c r="E129" s="339">
        <f t="shared" si="34"/>
        <v>0</v>
      </c>
      <c r="F129" s="436">
        <f t="shared" si="35"/>
        <v>0</v>
      </c>
      <c r="G129" s="521">
        <f t="shared" si="36"/>
        <v>0</v>
      </c>
      <c r="H129" s="500">
        <f t="shared" si="37"/>
        <v>0</v>
      </c>
      <c r="I129" s="285">
        <f t="shared" si="38"/>
        <v>0</v>
      </c>
      <c r="J129" s="323">
        <f t="shared" si="39"/>
        <v>0</v>
      </c>
      <c r="L129" s="468"/>
      <c r="M129" s="469"/>
      <c r="N129" s="469"/>
      <c r="O129" s="472"/>
      <c r="P129" s="472"/>
      <c r="Q129" s="473"/>
      <c r="R129" s="474"/>
    </row>
    <row r="130" spans="2:18" x14ac:dyDescent="0.25">
      <c r="B130" s="327">
        <v>12</v>
      </c>
      <c r="C130" s="347">
        <f>TREND(C117:C118,B117:B118,B130)</f>
        <v>0</v>
      </c>
      <c r="D130" s="372">
        <f>TREND(D117:D118,B117:B118,B130)</f>
        <v>0</v>
      </c>
      <c r="E130" s="339">
        <f t="shared" si="34"/>
        <v>0</v>
      </c>
      <c r="F130" s="436">
        <f t="shared" si="35"/>
        <v>0</v>
      </c>
      <c r="G130" s="521">
        <f t="shared" si="36"/>
        <v>0</v>
      </c>
      <c r="H130" s="500">
        <f t="shared" si="37"/>
        <v>0</v>
      </c>
      <c r="I130" s="285">
        <f t="shared" si="38"/>
        <v>0</v>
      </c>
      <c r="J130" s="323">
        <f t="shared" si="39"/>
        <v>0</v>
      </c>
      <c r="L130" s="468"/>
      <c r="M130" s="469"/>
      <c r="N130" s="469"/>
      <c r="O130" s="472"/>
      <c r="P130" s="472"/>
      <c r="Q130" s="473"/>
      <c r="R130" s="474"/>
    </row>
    <row r="131" spans="2:18" x14ac:dyDescent="0.25">
      <c r="B131" s="327">
        <v>13</v>
      </c>
      <c r="C131" s="347">
        <f>TREND(C117:C118,B117:B118,B131)</f>
        <v>0</v>
      </c>
      <c r="D131" s="372">
        <f>TREND(D117:D118,B117:B118,B131)</f>
        <v>0</v>
      </c>
      <c r="E131" s="339">
        <f t="shared" si="34"/>
        <v>0</v>
      </c>
      <c r="F131" s="436">
        <f t="shared" si="35"/>
        <v>0</v>
      </c>
      <c r="G131" s="521">
        <f t="shared" si="36"/>
        <v>0</v>
      </c>
      <c r="H131" s="500">
        <f t="shared" si="37"/>
        <v>0</v>
      </c>
      <c r="I131" s="285">
        <f t="shared" si="38"/>
        <v>0</v>
      </c>
      <c r="J131" s="323">
        <f t="shared" si="39"/>
        <v>0</v>
      </c>
      <c r="L131" s="468"/>
      <c r="M131" s="469"/>
      <c r="N131" s="469"/>
      <c r="O131" s="472"/>
      <c r="P131" s="472"/>
      <c r="Q131" s="473"/>
      <c r="R131" s="474"/>
    </row>
    <row r="132" spans="2:18" x14ac:dyDescent="0.25">
      <c r="B132" s="327">
        <v>14</v>
      </c>
      <c r="C132" s="347">
        <f>TREND(C117:C118,B117:B118,B132)</f>
        <v>0</v>
      </c>
      <c r="D132" s="372">
        <f>TREND(D117:D118,B117:B118,B132)</f>
        <v>0</v>
      </c>
      <c r="E132" s="339">
        <f t="shared" si="34"/>
        <v>0</v>
      </c>
      <c r="F132" s="436">
        <f t="shared" si="35"/>
        <v>0</v>
      </c>
      <c r="G132" s="521">
        <f t="shared" si="36"/>
        <v>0</v>
      </c>
      <c r="H132" s="500">
        <f t="shared" si="37"/>
        <v>0</v>
      </c>
      <c r="I132" s="285">
        <f t="shared" si="38"/>
        <v>0</v>
      </c>
      <c r="J132" s="323">
        <f t="shared" si="39"/>
        <v>0</v>
      </c>
      <c r="L132" s="468"/>
      <c r="M132" s="469"/>
      <c r="N132" s="469"/>
      <c r="O132" s="472"/>
      <c r="P132" s="472"/>
      <c r="Q132" s="473"/>
      <c r="R132" s="474"/>
    </row>
    <row r="133" spans="2:18" x14ac:dyDescent="0.25">
      <c r="B133" s="327">
        <v>15</v>
      </c>
      <c r="C133" s="347">
        <f>TREND(C117:C118,B117:B118,B133)</f>
        <v>0</v>
      </c>
      <c r="D133" s="372">
        <f>TREND(D117:D118,B117:B118,B133)</f>
        <v>0</v>
      </c>
      <c r="E133" s="339">
        <f t="shared" si="34"/>
        <v>0</v>
      </c>
      <c r="F133" s="436">
        <f t="shared" si="35"/>
        <v>0</v>
      </c>
      <c r="G133" s="521">
        <f t="shared" si="36"/>
        <v>0</v>
      </c>
      <c r="H133" s="500">
        <f t="shared" si="37"/>
        <v>0</v>
      </c>
      <c r="I133" s="285">
        <f t="shared" si="38"/>
        <v>0</v>
      </c>
      <c r="J133" s="323">
        <f t="shared" si="39"/>
        <v>0</v>
      </c>
      <c r="L133" s="468"/>
      <c r="M133" s="469"/>
      <c r="N133" s="469"/>
      <c r="O133" s="472"/>
      <c r="P133" s="472"/>
      <c r="Q133" s="473"/>
      <c r="R133" s="474"/>
    </row>
    <row r="134" spans="2:18" x14ac:dyDescent="0.25">
      <c r="B134" s="327">
        <v>16</v>
      </c>
      <c r="C134" s="347">
        <f>TREND(C117:C118,B117:B118,B134)</f>
        <v>0</v>
      </c>
      <c r="D134" s="372">
        <f>TREND(D117:D118,B117:B118,B134)</f>
        <v>0</v>
      </c>
      <c r="E134" s="339">
        <f t="shared" si="34"/>
        <v>0</v>
      </c>
      <c r="F134" s="436">
        <f t="shared" si="35"/>
        <v>0</v>
      </c>
      <c r="G134" s="521">
        <f t="shared" si="36"/>
        <v>0</v>
      </c>
      <c r="H134" s="500">
        <f t="shared" si="37"/>
        <v>0</v>
      </c>
      <c r="I134" s="285">
        <f t="shared" si="38"/>
        <v>0</v>
      </c>
      <c r="J134" s="323">
        <f t="shared" si="39"/>
        <v>0</v>
      </c>
      <c r="L134" s="468"/>
      <c r="M134" s="469"/>
      <c r="N134" s="469"/>
      <c r="O134" s="472"/>
      <c r="P134" s="472"/>
      <c r="Q134" s="473"/>
      <c r="R134" s="474"/>
    </row>
    <row r="135" spans="2:18" x14ac:dyDescent="0.25">
      <c r="B135" s="327">
        <v>17</v>
      </c>
      <c r="C135" s="347">
        <f>TREND(C117:C118,B117:B118,B135)</f>
        <v>0</v>
      </c>
      <c r="D135" s="372">
        <f>TREND(D117:D118,B117:B118,B135)</f>
        <v>0</v>
      </c>
      <c r="E135" s="339">
        <f t="shared" si="34"/>
        <v>0</v>
      </c>
      <c r="F135" s="436">
        <f t="shared" si="35"/>
        <v>0</v>
      </c>
      <c r="G135" s="521">
        <f t="shared" si="36"/>
        <v>0</v>
      </c>
      <c r="H135" s="500">
        <f t="shared" si="37"/>
        <v>0</v>
      </c>
      <c r="I135" s="285">
        <f t="shared" si="38"/>
        <v>0</v>
      </c>
      <c r="J135" s="323">
        <f t="shared" si="39"/>
        <v>0</v>
      </c>
      <c r="L135" s="468"/>
      <c r="M135" s="469"/>
      <c r="N135" s="469"/>
      <c r="O135" s="472"/>
      <c r="P135" s="472"/>
      <c r="Q135" s="473"/>
      <c r="R135" s="474"/>
    </row>
    <row r="136" spans="2:18" x14ac:dyDescent="0.25">
      <c r="B136" s="327">
        <v>18</v>
      </c>
      <c r="C136" s="347">
        <f>TREND(C117:C118,B117:B118,B136)</f>
        <v>0</v>
      </c>
      <c r="D136" s="372">
        <f>TREND(D117:D118,B117:B118,B136)</f>
        <v>0</v>
      </c>
      <c r="E136" s="339">
        <f t="shared" si="34"/>
        <v>0</v>
      </c>
      <c r="F136" s="436">
        <f t="shared" si="35"/>
        <v>0</v>
      </c>
      <c r="G136" s="521">
        <f t="shared" si="36"/>
        <v>0</v>
      </c>
      <c r="H136" s="500">
        <f t="shared" si="37"/>
        <v>0</v>
      </c>
      <c r="I136" s="285">
        <f t="shared" si="38"/>
        <v>0</v>
      </c>
      <c r="J136" s="323">
        <f t="shared" si="39"/>
        <v>0</v>
      </c>
      <c r="L136" s="468"/>
      <c r="M136" s="469"/>
      <c r="N136" s="469"/>
      <c r="O136" s="472"/>
      <c r="P136" s="472"/>
      <c r="Q136" s="473"/>
      <c r="R136" s="474"/>
    </row>
    <row r="137" spans="2:18" x14ac:dyDescent="0.25">
      <c r="B137" s="359">
        <v>19</v>
      </c>
      <c r="C137" s="360">
        <f>TREND(C117:C118,B117:B118,B137)</f>
        <v>0</v>
      </c>
      <c r="D137" s="375">
        <f>TREND(D117:D118,B117:B118,B137)</f>
        <v>0</v>
      </c>
      <c r="E137" s="339">
        <f t="shared" si="34"/>
        <v>0</v>
      </c>
      <c r="F137" s="435">
        <f t="shared" si="35"/>
        <v>0</v>
      </c>
      <c r="G137" s="520">
        <f t="shared" si="36"/>
        <v>0</v>
      </c>
      <c r="H137" s="499">
        <f t="shared" si="37"/>
        <v>0</v>
      </c>
      <c r="I137" s="285">
        <f t="shared" si="38"/>
        <v>0</v>
      </c>
      <c r="J137" s="323">
        <f t="shared" si="39"/>
        <v>0</v>
      </c>
      <c r="L137" s="468"/>
      <c r="M137" s="469"/>
      <c r="N137" s="469"/>
      <c r="O137" s="472"/>
      <c r="P137" s="472"/>
      <c r="Q137" s="473"/>
      <c r="R137" s="474"/>
    </row>
    <row r="138" spans="2:18" x14ac:dyDescent="0.25">
      <c r="B138" s="357"/>
      <c r="C138" s="355"/>
      <c r="D138" s="355"/>
      <c r="E138" s="356"/>
      <c r="F138" s="356"/>
      <c r="G138" s="356"/>
      <c r="H138" s="356"/>
      <c r="I138" s="356"/>
      <c r="J138" s="358"/>
      <c r="L138" s="468"/>
      <c r="M138" s="469"/>
      <c r="N138" s="469"/>
      <c r="O138" s="472"/>
      <c r="P138" s="472"/>
      <c r="Q138" s="472"/>
      <c r="R138" s="475"/>
    </row>
    <row r="139" spans="2:18" ht="13" x14ac:dyDescent="0.25">
      <c r="B139" s="329" t="s">
        <v>172</v>
      </c>
      <c r="C139" s="330"/>
      <c r="D139" s="331"/>
      <c r="E139" s="331"/>
      <c r="F139" s="331"/>
      <c r="G139" s="331"/>
      <c r="H139" s="332"/>
      <c r="I139" s="341"/>
      <c r="J139" s="342">
        <f>SUM(J117:J137)</f>
        <v>0</v>
      </c>
      <c r="L139" s="465"/>
      <c r="M139" s="476"/>
      <c r="N139" s="271"/>
      <c r="O139" s="271"/>
      <c r="P139" s="473"/>
      <c r="Q139" s="271"/>
      <c r="R139" s="477"/>
    </row>
    <row r="140" spans="2:18" x14ac:dyDescent="0.25">
      <c r="L140" s="448"/>
      <c r="M140" s="448"/>
      <c r="N140" s="449"/>
      <c r="O140" s="450"/>
      <c r="P140" s="450"/>
      <c r="Q140" s="450"/>
      <c r="R140" s="450"/>
    </row>
    <row r="141" spans="2:18" x14ac:dyDescent="0.25">
      <c r="L141" s="448"/>
      <c r="M141" s="448"/>
      <c r="N141" s="449"/>
      <c r="O141" s="450"/>
      <c r="P141" s="450"/>
      <c r="Q141" s="450"/>
      <c r="R141" s="450"/>
    </row>
    <row r="142" spans="2:18" ht="13" x14ac:dyDescent="0.25">
      <c r="B142" s="350" t="s">
        <v>553</v>
      </c>
      <c r="C142" s="88"/>
      <c r="D142" s="88"/>
      <c r="E142" s="88"/>
      <c r="F142" s="309"/>
      <c r="G142" s="309"/>
      <c r="H142" s="88"/>
      <c r="I142" s="88"/>
      <c r="J142" s="88"/>
      <c r="L142" s="459"/>
      <c r="M142" s="271"/>
      <c r="N142" s="271"/>
      <c r="O142" s="309"/>
      <c r="P142" s="271"/>
      <c r="Q142" s="271"/>
      <c r="R142" s="271"/>
    </row>
    <row r="143" spans="2:18" x14ac:dyDescent="0.25">
      <c r="B143" s="88"/>
      <c r="C143" s="88"/>
      <c r="D143" s="274"/>
      <c r="E143" s="88"/>
      <c r="F143" s="88"/>
      <c r="G143" s="88"/>
      <c r="H143" s="88"/>
      <c r="I143" s="88"/>
      <c r="J143" s="351"/>
      <c r="L143" s="271"/>
      <c r="M143" s="271"/>
      <c r="N143" s="274"/>
      <c r="O143" s="271"/>
      <c r="P143" s="271"/>
      <c r="Q143" s="271"/>
      <c r="R143" s="460"/>
    </row>
    <row r="144" spans="2:18" ht="15.5" x14ac:dyDescent="0.25">
      <c r="B144" s="317"/>
      <c r="C144" s="320" t="s">
        <v>230</v>
      </c>
      <c r="D144" s="361"/>
      <c r="E144" s="335" t="s">
        <v>272</v>
      </c>
      <c r="F144" s="321"/>
      <c r="G144" s="437" t="s">
        <v>867</v>
      </c>
      <c r="H144" s="438"/>
      <c r="I144" s="322"/>
      <c r="J144" s="343"/>
      <c r="L144" s="271"/>
      <c r="M144" s="461"/>
      <c r="N144" s="3"/>
      <c r="O144" s="461"/>
      <c r="P144" s="461"/>
      <c r="Q144" s="462"/>
      <c r="R144" s="271"/>
    </row>
    <row r="145" spans="2:18" ht="14" x14ac:dyDescent="0.25">
      <c r="B145" s="318"/>
      <c r="C145" s="287" t="s">
        <v>237</v>
      </c>
      <c r="D145" s="362"/>
      <c r="E145" s="336" t="s">
        <v>274</v>
      </c>
      <c r="F145" s="288"/>
      <c r="G145" s="439" t="s">
        <v>275</v>
      </c>
      <c r="H145" s="440"/>
      <c r="I145" s="284"/>
      <c r="J145" s="344"/>
      <c r="L145" s="36"/>
      <c r="M145" s="463"/>
      <c r="N145" s="464"/>
      <c r="O145" s="463"/>
      <c r="P145" s="463"/>
      <c r="Q145" s="271"/>
      <c r="R145" s="271"/>
    </row>
    <row r="146" spans="2:18" ht="14" x14ac:dyDescent="0.25">
      <c r="B146" s="169" t="s">
        <v>135</v>
      </c>
      <c r="C146" s="316"/>
      <c r="D146" s="283"/>
      <c r="E146" s="316"/>
      <c r="F146" s="283"/>
      <c r="G146" s="316"/>
      <c r="H146" s="283"/>
      <c r="I146" s="286" t="s">
        <v>242</v>
      </c>
      <c r="J146" s="345" t="s">
        <v>139</v>
      </c>
      <c r="L146" s="465"/>
      <c r="M146" s="466"/>
      <c r="N146" s="466"/>
      <c r="O146" s="466"/>
      <c r="P146" s="466"/>
      <c r="Q146" s="465"/>
      <c r="R146" s="465"/>
    </row>
    <row r="147" spans="2:18" ht="14" x14ac:dyDescent="0.25">
      <c r="B147" s="319"/>
      <c r="C147" s="324" t="s">
        <v>0</v>
      </c>
      <c r="D147" s="325" t="s">
        <v>1</v>
      </c>
      <c r="E147" s="324" t="s">
        <v>0</v>
      </c>
      <c r="F147" s="325" t="s">
        <v>1</v>
      </c>
      <c r="G147" s="324" t="s">
        <v>0</v>
      </c>
      <c r="H147" s="325" t="s">
        <v>1</v>
      </c>
      <c r="I147" s="326" t="s">
        <v>148</v>
      </c>
      <c r="J147" s="346" t="s">
        <v>149</v>
      </c>
      <c r="L147" s="467"/>
      <c r="M147" s="466"/>
      <c r="N147" s="466"/>
      <c r="O147" s="466"/>
      <c r="P147" s="466"/>
      <c r="Q147" s="465"/>
      <c r="R147" s="465"/>
    </row>
    <row r="148" spans="2:18" x14ac:dyDescent="0.25">
      <c r="B148" s="327">
        <v>1</v>
      </c>
      <c r="C148" s="348">
        <f>PAV1NB*AnnualFactor</f>
        <v>0</v>
      </c>
      <c r="D148" s="349">
        <f>PAV1B*AnnualFactor</f>
        <v>0</v>
      </c>
      <c r="E148" s="339">
        <f>SegmentA*C148</f>
        <v>0</v>
      </c>
      <c r="F148" s="434">
        <f>SegmentA*D148</f>
        <v>0</v>
      </c>
      <c r="G148" s="515">
        <f>IF(RADataAvail="Y",IF(OR(Intersect,FreeConn,HOVConn,HOVDrop,OffRamp,OnRamp),C148,E148)/1000000*NonFwyAccRate*AvgAccCost,0)</f>
        <v>0</v>
      </c>
      <c r="H148" s="498">
        <f>IF(RADataAvail="Y",IF(OR(Intersect,FreeConn,HOVConn,HOVDrop,OffRamp,OnRamp),D148,F148)/1000000*NonFwyAccRate*AvgAccCost,0)</f>
        <v>0</v>
      </c>
      <c r="I148" s="285">
        <f>G148-H148</f>
        <v>0</v>
      </c>
      <c r="J148" s="323">
        <f>$I148/(1+DiscRate)^($B148+Construct-1)</f>
        <v>0</v>
      </c>
      <c r="L148" s="468"/>
      <c r="M148" s="469"/>
      <c r="N148" s="469"/>
      <c r="O148" s="472"/>
      <c r="P148" s="472"/>
      <c r="Q148" s="473"/>
      <c r="R148" s="474"/>
    </row>
    <row r="149" spans="2:18" x14ac:dyDescent="0.25">
      <c r="B149" s="328">
        <v>20</v>
      </c>
      <c r="C149" s="353">
        <f>PAV20NB*AnnualFactor</f>
        <v>0</v>
      </c>
      <c r="D149" s="354">
        <f>PAV20B*AnnualFactor</f>
        <v>0</v>
      </c>
      <c r="E149" s="339">
        <f>SegmentA*C149</f>
        <v>0</v>
      </c>
      <c r="F149" s="435">
        <f>SegmentA*D149</f>
        <v>0</v>
      </c>
      <c r="G149" s="520">
        <f>IF(RADataAvail="Y",IF(OR(Intersect,FreeConn,HOVConn,HOVDrop,OffRamp,OnRamp),C149,E149)/1000000*NonFwyAccRate*AvgAccCost,0)</f>
        <v>0</v>
      </c>
      <c r="H149" s="499">
        <f>IF(RADataAvail="Y",IF(OR(Intersect,FreeConn,HOVConn,HOVDrop,OffRamp,OnRamp),D149,F149)/1000000*NonFwyAccRate*AvgAccCost,0)</f>
        <v>0</v>
      </c>
      <c r="I149" s="285">
        <f>G149-H149</f>
        <v>0</v>
      </c>
      <c r="J149" s="323">
        <f>$I149/(1+DiscRate)^($B149+Construct-1)</f>
        <v>0</v>
      </c>
      <c r="L149" s="468"/>
      <c r="M149" s="469"/>
      <c r="N149" s="469"/>
      <c r="O149" s="472"/>
      <c r="P149" s="472"/>
      <c r="Q149" s="473"/>
      <c r="R149" s="474"/>
    </row>
    <row r="150" spans="2:18" x14ac:dyDescent="0.25">
      <c r="B150" s="357"/>
      <c r="C150" s="355"/>
      <c r="D150" s="355"/>
      <c r="E150" s="356"/>
      <c r="F150" s="356"/>
      <c r="G150" s="356"/>
      <c r="H150" s="356"/>
      <c r="I150" s="356"/>
      <c r="J150" s="358"/>
      <c r="L150" s="468"/>
      <c r="M150" s="469"/>
      <c r="N150" s="469"/>
      <c r="O150" s="472"/>
      <c r="P150" s="472"/>
      <c r="Q150" s="472"/>
      <c r="R150" s="475"/>
    </row>
    <row r="151" spans="2:18" x14ac:dyDescent="0.25">
      <c r="B151" s="352">
        <v>2</v>
      </c>
      <c r="C151" s="368">
        <f>TREND(C148:C149,B148:B149,B151)</f>
        <v>0</v>
      </c>
      <c r="D151" s="369">
        <f>TREND(D148:D149,B148:B149,B151)</f>
        <v>0</v>
      </c>
      <c r="E151" s="339">
        <f t="shared" ref="E151:E168" si="40">SegmentA*C151</f>
        <v>0</v>
      </c>
      <c r="F151" s="434">
        <f t="shared" ref="F151:F168" si="41">SegmentA*D151</f>
        <v>0</v>
      </c>
      <c r="G151" s="515">
        <f t="shared" ref="G151:G168" si="42">IF(RADataAvail="Y",IF(OR(Intersect,FreeConn,HOVConn,HOVDrop,OffRamp,OnRamp),C151,E151)/1000000*NonFwyAccRate*AvgAccCost,0)</f>
        <v>0</v>
      </c>
      <c r="H151" s="498">
        <f t="shared" ref="H151:H168" si="43">IF(RADataAvail="Y",IF(OR(Intersect,FreeConn,HOVConn,HOVDrop,OffRamp,OnRamp),D151,F151)/1000000*NonFwyAccRate*AvgAccCost,0)</f>
        <v>0</v>
      </c>
      <c r="I151" s="285">
        <f t="shared" ref="I151:I168" si="44">G151-H151</f>
        <v>0</v>
      </c>
      <c r="J151" s="323">
        <f t="shared" ref="J151:J168" si="45">$I151/(1+DiscRate)^($B151+Construct-1)</f>
        <v>0</v>
      </c>
      <c r="L151" s="468"/>
      <c r="M151" s="469"/>
      <c r="N151" s="469"/>
      <c r="O151" s="472"/>
      <c r="P151" s="472"/>
      <c r="Q151" s="473"/>
      <c r="R151" s="474"/>
    </row>
    <row r="152" spans="2:18" x14ac:dyDescent="0.25">
      <c r="B152" s="327">
        <v>3</v>
      </c>
      <c r="C152" s="347">
        <f>TREND(C148:C149,B148:B149,B152)</f>
        <v>0</v>
      </c>
      <c r="D152" s="372">
        <f>TREND(D148:D149,B148:B149,B152)</f>
        <v>0</v>
      </c>
      <c r="E152" s="339">
        <f t="shared" si="40"/>
        <v>0</v>
      </c>
      <c r="F152" s="436">
        <f t="shared" si="41"/>
        <v>0</v>
      </c>
      <c r="G152" s="521">
        <f t="shared" si="42"/>
        <v>0</v>
      </c>
      <c r="H152" s="500">
        <f t="shared" si="43"/>
        <v>0</v>
      </c>
      <c r="I152" s="285">
        <f t="shared" si="44"/>
        <v>0</v>
      </c>
      <c r="J152" s="323">
        <f t="shared" si="45"/>
        <v>0</v>
      </c>
      <c r="L152" s="468"/>
      <c r="M152" s="469"/>
      <c r="N152" s="469"/>
      <c r="O152" s="472"/>
      <c r="P152" s="472"/>
      <c r="Q152" s="473"/>
      <c r="R152" s="474"/>
    </row>
    <row r="153" spans="2:18" x14ac:dyDescent="0.25">
      <c r="B153" s="327">
        <v>4</v>
      </c>
      <c r="C153" s="347">
        <f>TREND(C148:C149,B148:B149,B153)</f>
        <v>0</v>
      </c>
      <c r="D153" s="372">
        <f>TREND(D148:D149,B148:B149,B153)</f>
        <v>0</v>
      </c>
      <c r="E153" s="339">
        <f t="shared" si="40"/>
        <v>0</v>
      </c>
      <c r="F153" s="436">
        <f t="shared" si="41"/>
        <v>0</v>
      </c>
      <c r="G153" s="521">
        <f t="shared" si="42"/>
        <v>0</v>
      </c>
      <c r="H153" s="500">
        <f t="shared" si="43"/>
        <v>0</v>
      </c>
      <c r="I153" s="285">
        <f t="shared" si="44"/>
        <v>0</v>
      </c>
      <c r="J153" s="323">
        <f t="shared" si="45"/>
        <v>0</v>
      </c>
      <c r="L153" s="468"/>
      <c r="M153" s="469"/>
      <c r="N153" s="469"/>
      <c r="O153" s="472"/>
      <c r="P153" s="472"/>
      <c r="Q153" s="473"/>
      <c r="R153" s="474"/>
    </row>
    <row r="154" spans="2:18" x14ac:dyDescent="0.25">
      <c r="B154" s="327">
        <v>5</v>
      </c>
      <c r="C154" s="347">
        <f>TREND(C148:C149,B148:B149,B154)</f>
        <v>0</v>
      </c>
      <c r="D154" s="372">
        <f>TREND(D148:D149,B148:B149,B154)</f>
        <v>0</v>
      </c>
      <c r="E154" s="339">
        <f t="shared" si="40"/>
        <v>0</v>
      </c>
      <c r="F154" s="436">
        <f t="shared" si="41"/>
        <v>0</v>
      </c>
      <c r="G154" s="521">
        <f t="shared" si="42"/>
        <v>0</v>
      </c>
      <c r="H154" s="500">
        <f t="shared" si="43"/>
        <v>0</v>
      </c>
      <c r="I154" s="285">
        <f t="shared" si="44"/>
        <v>0</v>
      </c>
      <c r="J154" s="323">
        <f t="shared" si="45"/>
        <v>0</v>
      </c>
      <c r="L154" s="468"/>
      <c r="M154" s="469"/>
      <c r="N154" s="469"/>
      <c r="O154" s="472"/>
      <c r="P154" s="472"/>
      <c r="Q154" s="473"/>
      <c r="R154" s="474"/>
    </row>
    <row r="155" spans="2:18" x14ac:dyDescent="0.25">
      <c r="B155" s="327">
        <v>6</v>
      </c>
      <c r="C155" s="347">
        <f>TREND(C148:C149,B148:B149,B155)</f>
        <v>0</v>
      </c>
      <c r="D155" s="372">
        <f>TREND(D148:D149,B148:B149,B155)</f>
        <v>0</v>
      </c>
      <c r="E155" s="339">
        <f t="shared" si="40"/>
        <v>0</v>
      </c>
      <c r="F155" s="436">
        <f t="shared" si="41"/>
        <v>0</v>
      </c>
      <c r="G155" s="521">
        <f t="shared" si="42"/>
        <v>0</v>
      </c>
      <c r="H155" s="500">
        <f t="shared" si="43"/>
        <v>0</v>
      </c>
      <c r="I155" s="285">
        <f t="shared" si="44"/>
        <v>0</v>
      </c>
      <c r="J155" s="323">
        <f t="shared" si="45"/>
        <v>0</v>
      </c>
      <c r="L155" s="468"/>
      <c r="M155" s="469"/>
      <c r="N155" s="469"/>
      <c r="O155" s="472"/>
      <c r="P155" s="472"/>
      <c r="Q155" s="473"/>
      <c r="R155" s="474"/>
    </row>
    <row r="156" spans="2:18" x14ac:dyDescent="0.25">
      <c r="B156" s="327">
        <v>7</v>
      </c>
      <c r="C156" s="347">
        <f>TREND(C148:C149,B148:B149,B156)</f>
        <v>0</v>
      </c>
      <c r="D156" s="372">
        <f>TREND(D148:D149,B148:B149,B156)</f>
        <v>0</v>
      </c>
      <c r="E156" s="339">
        <f t="shared" si="40"/>
        <v>0</v>
      </c>
      <c r="F156" s="436">
        <f t="shared" si="41"/>
        <v>0</v>
      </c>
      <c r="G156" s="521">
        <f t="shared" si="42"/>
        <v>0</v>
      </c>
      <c r="H156" s="500">
        <f t="shared" si="43"/>
        <v>0</v>
      </c>
      <c r="I156" s="285">
        <f t="shared" si="44"/>
        <v>0</v>
      </c>
      <c r="J156" s="323">
        <f t="shared" si="45"/>
        <v>0</v>
      </c>
      <c r="L156" s="468"/>
      <c r="M156" s="469"/>
      <c r="N156" s="469"/>
      <c r="O156" s="472"/>
      <c r="P156" s="472"/>
      <c r="Q156" s="473"/>
      <c r="R156" s="474"/>
    </row>
    <row r="157" spans="2:18" x14ac:dyDescent="0.25">
      <c r="B157" s="327">
        <v>8</v>
      </c>
      <c r="C157" s="347">
        <f>TREND(C148:C149,B148:B149,B157)</f>
        <v>0</v>
      </c>
      <c r="D157" s="372">
        <f>TREND(D148:D149,B148:B149,B157)</f>
        <v>0</v>
      </c>
      <c r="E157" s="339">
        <f t="shared" si="40"/>
        <v>0</v>
      </c>
      <c r="F157" s="436">
        <f t="shared" si="41"/>
        <v>0</v>
      </c>
      <c r="G157" s="521">
        <f t="shared" si="42"/>
        <v>0</v>
      </c>
      <c r="H157" s="500">
        <f t="shared" si="43"/>
        <v>0</v>
      </c>
      <c r="I157" s="285">
        <f t="shared" si="44"/>
        <v>0</v>
      </c>
      <c r="J157" s="323">
        <f t="shared" si="45"/>
        <v>0</v>
      </c>
      <c r="L157" s="468"/>
      <c r="M157" s="469"/>
      <c r="N157" s="469"/>
      <c r="O157" s="472"/>
      <c r="P157" s="472"/>
      <c r="Q157" s="473"/>
      <c r="R157" s="474"/>
    </row>
    <row r="158" spans="2:18" x14ac:dyDescent="0.25">
      <c r="B158" s="327">
        <v>9</v>
      </c>
      <c r="C158" s="347">
        <f>TREND(C148:C149,B148:B149,B158)</f>
        <v>0</v>
      </c>
      <c r="D158" s="372">
        <f>TREND(D148:D149,B148:B149,B158)</f>
        <v>0</v>
      </c>
      <c r="E158" s="339">
        <f t="shared" si="40"/>
        <v>0</v>
      </c>
      <c r="F158" s="436">
        <f t="shared" si="41"/>
        <v>0</v>
      </c>
      <c r="G158" s="521">
        <f t="shared" si="42"/>
        <v>0</v>
      </c>
      <c r="H158" s="500">
        <f t="shared" si="43"/>
        <v>0</v>
      </c>
      <c r="I158" s="285">
        <f t="shared" si="44"/>
        <v>0</v>
      </c>
      <c r="J158" s="323">
        <f t="shared" si="45"/>
        <v>0</v>
      </c>
      <c r="L158" s="468"/>
      <c r="M158" s="469"/>
      <c r="N158" s="469"/>
      <c r="O158" s="472"/>
      <c r="P158" s="472"/>
      <c r="Q158" s="473"/>
      <c r="R158" s="474"/>
    </row>
    <row r="159" spans="2:18" x14ac:dyDescent="0.25">
      <c r="B159" s="327">
        <v>10</v>
      </c>
      <c r="C159" s="347">
        <f>TREND(C148:C149,B148:B149,B159)</f>
        <v>0</v>
      </c>
      <c r="D159" s="372">
        <f>TREND(D148:D149,B148:B149,B159)</f>
        <v>0</v>
      </c>
      <c r="E159" s="339">
        <f t="shared" si="40"/>
        <v>0</v>
      </c>
      <c r="F159" s="436">
        <f t="shared" si="41"/>
        <v>0</v>
      </c>
      <c r="G159" s="521">
        <f t="shared" si="42"/>
        <v>0</v>
      </c>
      <c r="H159" s="500">
        <f t="shared" si="43"/>
        <v>0</v>
      </c>
      <c r="I159" s="285">
        <f t="shared" si="44"/>
        <v>0</v>
      </c>
      <c r="J159" s="323">
        <f t="shared" si="45"/>
        <v>0</v>
      </c>
      <c r="L159" s="468"/>
      <c r="M159" s="469"/>
      <c r="N159" s="469"/>
      <c r="O159" s="472"/>
      <c r="P159" s="472"/>
      <c r="Q159" s="473"/>
      <c r="R159" s="474"/>
    </row>
    <row r="160" spans="2:18" x14ac:dyDescent="0.25">
      <c r="B160" s="327">
        <v>11</v>
      </c>
      <c r="C160" s="347">
        <f>TREND(C148:C149,B148:B149,B160)</f>
        <v>0</v>
      </c>
      <c r="D160" s="372">
        <f>TREND(D148:D149,B148:B149,B160)</f>
        <v>0</v>
      </c>
      <c r="E160" s="339">
        <f t="shared" si="40"/>
        <v>0</v>
      </c>
      <c r="F160" s="436">
        <f t="shared" si="41"/>
        <v>0</v>
      </c>
      <c r="G160" s="521">
        <f t="shared" si="42"/>
        <v>0</v>
      </c>
      <c r="H160" s="500">
        <f t="shared" si="43"/>
        <v>0</v>
      </c>
      <c r="I160" s="285">
        <f t="shared" si="44"/>
        <v>0</v>
      </c>
      <c r="J160" s="323">
        <f t="shared" si="45"/>
        <v>0</v>
      </c>
      <c r="L160" s="468"/>
      <c r="M160" s="469"/>
      <c r="N160" s="469"/>
      <c r="O160" s="472"/>
      <c r="P160" s="472"/>
      <c r="Q160" s="473"/>
      <c r="R160" s="474"/>
    </row>
    <row r="161" spans="2:18" x14ac:dyDescent="0.25">
      <c r="B161" s="327">
        <v>12</v>
      </c>
      <c r="C161" s="347">
        <f>TREND(C148:C149,B148:B149,B161)</f>
        <v>0</v>
      </c>
      <c r="D161" s="372">
        <f>TREND(D148:D149,B148:B149,B161)</f>
        <v>0</v>
      </c>
      <c r="E161" s="339">
        <f t="shared" si="40"/>
        <v>0</v>
      </c>
      <c r="F161" s="436">
        <f t="shared" si="41"/>
        <v>0</v>
      </c>
      <c r="G161" s="521">
        <f t="shared" si="42"/>
        <v>0</v>
      </c>
      <c r="H161" s="500">
        <f t="shared" si="43"/>
        <v>0</v>
      </c>
      <c r="I161" s="285">
        <f t="shared" si="44"/>
        <v>0</v>
      </c>
      <c r="J161" s="323">
        <f t="shared" si="45"/>
        <v>0</v>
      </c>
      <c r="L161" s="468"/>
      <c r="M161" s="469"/>
      <c r="N161" s="469"/>
      <c r="O161" s="472"/>
      <c r="P161" s="472"/>
      <c r="Q161" s="473"/>
      <c r="R161" s="474"/>
    </row>
    <row r="162" spans="2:18" x14ac:dyDescent="0.25">
      <c r="B162" s="327">
        <v>13</v>
      </c>
      <c r="C162" s="347">
        <f>TREND(C148:C149,B148:B149,B162)</f>
        <v>0</v>
      </c>
      <c r="D162" s="372">
        <f>TREND(D148:D149,B148:B149,B162)</f>
        <v>0</v>
      </c>
      <c r="E162" s="339">
        <f t="shared" si="40"/>
        <v>0</v>
      </c>
      <c r="F162" s="436">
        <f t="shared" si="41"/>
        <v>0</v>
      </c>
      <c r="G162" s="521">
        <f t="shared" si="42"/>
        <v>0</v>
      </c>
      <c r="H162" s="500">
        <f t="shared" si="43"/>
        <v>0</v>
      </c>
      <c r="I162" s="285">
        <f t="shared" si="44"/>
        <v>0</v>
      </c>
      <c r="J162" s="323">
        <f t="shared" si="45"/>
        <v>0</v>
      </c>
      <c r="L162" s="468"/>
      <c r="M162" s="469"/>
      <c r="N162" s="469"/>
      <c r="O162" s="472"/>
      <c r="P162" s="472"/>
      <c r="Q162" s="473"/>
      <c r="R162" s="474"/>
    </row>
    <row r="163" spans="2:18" x14ac:dyDescent="0.25">
      <c r="B163" s="327">
        <v>14</v>
      </c>
      <c r="C163" s="347">
        <f>TREND(C148:C149,B148:B149,B163)</f>
        <v>0</v>
      </c>
      <c r="D163" s="372">
        <f>TREND(D148:D149,B148:B149,B163)</f>
        <v>0</v>
      </c>
      <c r="E163" s="339">
        <f t="shared" si="40"/>
        <v>0</v>
      </c>
      <c r="F163" s="436">
        <f t="shared" si="41"/>
        <v>0</v>
      </c>
      <c r="G163" s="521">
        <f t="shared" si="42"/>
        <v>0</v>
      </c>
      <c r="H163" s="500">
        <f t="shared" si="43"/>
        <v>0</v>
      </c>
      <c r="I163" s="285">
        <f t="shared" si="44"/>
        <v>0</v>
      </c>
      <c r="J163" s="323">
        <f t="shared" si="45"/>
        <v>0</v>
      </c>
      <c r="L163" s="468"/>
      <c r="M163" s="469"/>
      <c r="N163" s="469"/>
      <c r="O163" s="472"/>
      <c r="P163" s="472"/>
      <c r="Q163" s="473"/>
      <c r="R163" s="474"/>
    </row>
    <row r="164" spans="2:18" x14ac:dyDescent="0.25">
      <c r="B164" s="327">
        <v>15</v>
      </c>
      <c r="C164" s="347">
        <f>TREND(C148:C149,B148:B149,B164)</f>
        <v>0</v>
      </c>
      <c r="D164" s="372">
        <f>TREND(D148:D149,B148:B149,B164)</f>
        <v>0</v>
      </c>
      <c r="E164" s="339">
        <f t="shared" si="40"/>
        <v>0</v>
      </c>
      <c r="F164" s="436">
        <f t="shared" si="41"/>
        <v>0</v>
      </c>
      <c r="G164" s="521">
        <f t="shared" si="42"/>
        <v>0</v>
      </c>
      <c r="H164" s="500">
        <f t="shared" si="43"/>
        <v>0</v>
      </c>
      <c r="I164" s="285">
        <f t="shared" si="44"/>
        <v>0</v>
      </c>
      <c r="J164" s="323">
        <f t="shared" si="45"/>
        <v>0</v>
      </c>
      <c r="L164" s="468"/>
      <c r="M164" s="469"/>
      <c r="N164" s="469"/>
      <c r="O164" s="472"/>
      <c r="P164" s="472"/>
      <c r="Q164" s="473"/>
      <c r="R164" s="474"/>
    </row>
    <row r="165" spans="2:18" x14ac:dyDescent="0.25">
      <c r="B165" s="327">
        <v>16</v>
      </c>
      <c r="C165" s="347">
        <f>TREND(C148:C149,B148:B149,B165)</f>
        <v>0</v>
      </c>
      <c r="D165" s="372">
        <f>TREND(D148:D149,B148:B149,B165)</f>
        <v>0</v>
      </c>
      <c r="E165" s="339">
        <f t="shared" si="40"/>
        <v>0</v>
      </c>
      <c r="F165" s="436">
        <f t="shared" si="41"/>
        <v>0</v>
      </c>
      <c r="G165" s="521">
        <f t="shared" si="42"/>
        <v>0</v>
      </c>
      <c r="H165" s="500">
        <f t="shared" si="43"/>
        <v>0</v>
      </c>
      <c r="I165" s="285">
        <f t="shared" si="44"/>
        <v>0</v>
      </c>
      <c r="J165" s="323">
        <f t="shared" si="45"/>
        <v>0</v>
      </c>
      <c r="L165" s="468"/>
      <c r="M165" s="469"/>
      <c r="N165" s="469"/>
      <c r="O165" s="472"/>
      <c r="P165" s="472"/>
      <c r="Q165" s="473"/>
      <c r="R165" s="474"/>
    </row>
    <row r="166" spans="2:18" x14ac:dyDescent="0.25">
      <c r="B166" s="327">
        <v>17</v>
      </c>
      <c r="C166" s="347">
        <f>TREND(C148:C149,B148:B149,B166)</f>
        <v>0</v>
      </c>
      <c r="D166" s="372">
        <f>TREND(D148:D149,B148:B149,B166)</f>
        <v>0</v>
      </c>
      <c r="E166" s="339">
        <f t="shared" si="40"/>
        <v>0</v>
      </c>
      <c r="F166" s="436">
        <f t="shared" si="41"/>
        <v>0</v>
      </c>
      <c r="G166" s="521">
        <f t="shared" si="42"/>
        <v>0</v>
      </c>
      <c r="H166" s="500">
        <f t="shared" si="43"/>
        <v>0</v>
      </c>
      <c r="I166" s="285">
        <f t="shared" si="44"/>
        <v>0</v>
      </c>
      <c r="J166" s="323">
        <f t="shared" si="45"/>
        <v>0</v>
      </c>
      <c r="L166" s="468"/>
      <c r="M166" s="469"/>
      <c r="N166" s="469"/>
      <c r="O166" s="472"/>
      <c r="P166" s="472"/>
      <c r="Q166" s="473"/>
      <c r="R166" s="474"/>
    </row>
    <row r="167" spans="2:18" x14ac:dyDescent="0.25">
      <c r="B167" s="327">
        <v>18</v>
      </c>
      <c r="C167" s="347">
        <f>TREND(C148:C149,B148:B149,B167)</f>
        <v>0</v>
      </c>
      <c r="D167" s="372">
        <f>TREND(D148:D149,B148:B149,B167)</f>
        <v>0</v>
      </c>
      <c r="E167" s="339">
        <f t="shared" si="40"/>
        <v>0</v>
      </c>
      <c r="F167" s="436">
        <f t="shared" si="41"/>
        <v>0</v>
      </c>
      <c r="G167" s="521">
        <f t="shared" si="42"/>
        <v>0</v>
      </c>
      <c r="H167" s="500">
        <f t="shared" si="43"/>
        <v>0</v>
      </c>
      <c r="I167" s="285">
        <f t="shared" si="44"/>
        <v>0</v>
      </c>
      <c r="J167" s="323">
        <f t="shared" si="45"/>
        <v>0</v>
      </c>
      <c r="L167" s="468"/>
      <c r="M167" s="469"/>
      <c r="N167" s="469"/>
      <c r="O167" s="472"/>
      <c r="P167" s="472"/>
      <c r="Q167" s="473"/>
      <c r="R167" s="474"/>
    </row>
    <row r="168" spans="2:18" x14ac:dyDescent="0.25">
      <c r="B168" s="359">
        <v>19</v>
      </c>
      <c r="C168" s="360">
        <f>TREND(C148:C149,B148:B149,B168)</f>
        <v>0</v>
      </c>
      <c r="D168" s="375">
        <f>TREND(D148:D149,B148:B149,B168)</f>
        <v>0</v>
      </c>
      <c r="E168" s="339">
        <f t="shared" si="40"/>
        <v>0</v>
      </c>
      <c r="F168" s="435">
        <f t="shared" si="41"/>
        <v>0</v>
      </c>
      <c r="G168" s="520">
        <f t="shared" si="42"/>
        <v>0</v>
      </c>
      <c r="H168" s="499">
        <f t="shared" si="43"/>
        <v>0</v>
      </c>
      <c r="I168" s="285">
        <f t="shared" si="44"/>
        <v>0</v>
      </c>
      <c r="J168" s="323">
        <f t="shared" si="45"/>
        <v>0</v>
      </c>
      <c r="L168" s="468"/>
      <c r="M168" s="469"/>
      <c r="N168" s="469"/>
      <c r="O168" s="472"/>
      <c r="P168" s="472"/>
      <c r="Q168" s="473"/>
      <c r="R168" s="474"/>
    </row>
    <row r="169" spans="2:18" x14ac:dyDescent="0.25">
      <c r="B169" s="357"/>
      <c r="C169" s="355"/>
      <c r="D169" s="355"/>
      <c r="E169" s="356"/>
      <c r="F169" s="356"/>
      <c r="G169" s="356"/>
      <c r="H169" s="356"/>
      <c r="I169" s="356"/>
      <c r="J169" s="358"/>
      <c r="L169" s="468"/>
      <c r="M169" s="469"/>
      <c r="N169" s="469"/>
      <c r="O169" s="472"/>
      <c r="P169" s="472"/>
      <c r="Q169" s="472"/>
      <c r="R169" s="475"/>
    </row>
    <row r="170" spans="2:18" ht="13" x14ac:dyDescent="0.25">
      <c r="B170" s="329" t="s">
        <v>172</v>
      </c>
      <c r="C170" s="330"/>
      <c r="D170" s="331"/>
      <c r="E170" s="331"/>
      <c r="F170" s="331"/>
      <c r="G170" s="331"/>
      <c r="H170" s="332"/>
      <c r="I170" s="341"/>
      <c r="J170" s="342">
        <f>SUM(J148:J168)</f>
        <v>0</v>
      </c>
      <c r="L170" s="465"/>
      <c r="M170" s="476"/>
      <c r="N170" s="271"/>
      <c r="O170" s="271"/>
      <c r="P170" s="473"/>
      <c r="Q170" s="271"/>
      <c r="R170" s="477"/>
    </row>
    <row r="171" spans="2:18" x14ac:dyDescent="0.25">
      <c r="L171" s="448"/>
      <c r="M171" s="448"/>
      <c r="N171" s="449"/>
      <c r="O171" s="450"/>
      <c r="P171" s="450"/>
      <c r="Q171" s="450"/>
      <c r="R171" s="450"/>
    </row>
    <row r="172" spans="2:18" x14ac:dyDescent="0.25">
      <c r="L172" s="448"/>
      <c r="M172" s="448"/>
      <c r="N172" s="449"/>
      <c r="O172" s="450"/>
      <c r="P172" s="450"/>
      <c r="Q172" s="450"/>
      <c r="R172" s="450"/>
    </row>
    <row r="173" spans="2:18" ht="13" x14ac:dyDescent="0.25">
      <c r="B173" s="350" t="s">
        <v>254</v>
      </c>
      <c r="C173" s="88"/>
      <c r="D173" s="88"/>
      <c r="E173" s="88"/>
      <c r="F173" s="309"/>
      <c r="G173" s="309"/>
      <c r="H173" s="88"/>
      <c r="I173" s="88"/>
      <c r="J173" s="88"/>
      <c r="L173" s="448"/>
      <c r="M173" s="448"/>
      <c r="N173" s="449"/>
      <c r="O173" s="450"/>
      <c r="P173" s="450"/>
      <c r="Q173" s="450"/>
      <c r="R173" s="450"/>
    </row>
    <row r="174" spans="2:18" x14ac:dyDescent="0.25">
      <c r="B174" s="88"/>
      <c r="C174" s="88"/>
      <c r="D174" s="274"/>
      <c r="E174" s="88"/>
      <c r="F174" s="88"/>
      <c r="G174" s="88"/>
      <c r="H174" s="88"/>
      <c r="I174" s="88"/>
      <c r="J174" s="351"/>
      <c r="L174" s="448"/>
      <c r="M174" s="448"/>
      <c r="N174" s="449"/>
      <c r="O174" s="450"/>
      <c r="P174" s="450"/>
      <c r="Q174" s="450"/>
      <c r="R174" s="450"/>
    </row>
    <row r="175" spans="2:18" ht="15.5" x14ac:dyDescent="0.25">
      <c r="B175" s="317"/>
      <c r="C175" s="320" t="s">
        <v>230</v>
      </c>
      <c r="D175" s="361"/>
      <c r="E175" s="335" t="s">
        <v>272</v>
      </c>
      <c r="F175" s="321"/>
      <c r="G175" s="437" t="s">
        <v>867</v>
      </c>
      <c r="H175" s="438"/>
      <c r="I175" s="322"/>
      <c r="J175" s="343"/>
      <c r="L175" s="448"/>
      <c r="M175" s="448"/>
      <c r="N175" s="449"/>
      <c r="O175" s="450"/>
      <c r="P175" s="450"/>
      <c r="Q175" s="450"/>
      <c r="R175" s="450"/>
    </row>
    <row r="176" spans="2:18" ht="14" x14ac:dyDescent="0.25">
      <c r="B176" s="318"/>
      <c r="C176" s="287" t="s">
        <v>237</v>
      </c>
      <c r="D176" s="362"/>
      <c r="E176" s="336" t="s">
        <v>274</v>
      </c>
      <c r="F176" s="288"/>
      <c r="G176" s="439" t="s">
        <v>275</v>
      </c>
      <c r="H176" s="440"/>
      <c r="I176" s="284"/>
      <c r="J176" s="344"/>
      <c r="L176" s="448"/>
      <c r="M176" s="448"/>
      <c r="N176" s="449"/>
      <c r="O176" s="450"/>
      <c r="P176" s="450"/>
      <c r="Q176" s="450"/>
      <c r="R176" s="450"/>
    </row>
    <row r="177" spans="2:18" ht="14" x14ac:dyDescent="0.25">
      <c r="B177" s="169" t="s">
        <v>135</v>
      </c>
      <c r="C177" s="316"/>
      <c r="D177" s="283"/>
      <c r="E177" s="316"/>
      <c r="F177" s="283"/>
      <c r="G177" s="316"/>
      <c r="H177" s="283"/>
      <c r="I177" s="286" t="s">
        <v>242</v>
      </c>
      <c r="J177" s="345" t="s">
        <v>139</v>
      </c>
      <c r="L177" s="448"/>
      <c r="M177" s="448"/>
      <c r="N177" s="449"/>
      <c r="O177" s="450"/>
      <c r="P177" s="450"/>
      <c r="Q177" s="450"/>
      <c r="R177" s="450"/>
    </row>
    <row r="178" spans="2:18" ht="14" x14ac:dyDescent="0.25">
      <c r="B178" s="319"/>
      <c r="C178" s="324" t="s">
        <v>0</v>
      </c>
      <c r="D178" s="325" t="s">
        <v>1</v>
      </c>
      <c r="E178" s="324" t="s">
        <v>0</v>
      </c>
      <c r="F178" s="325" t="s">
        <v>1</v>
      </c>
      <c r="G178" s="324" t="s">
        <v>0</v>
      </c>
      <c r="H178" s="325" t="s">
        <v>1</v>
      </c>
      <c r="I178" s="326" t="s">
        <v>148</v>
      </c>
      <c r="J178" s="346" t="s">
        <v>149</v>
      </c>
      <c r="L178" s="448"/>
      <c r="M178" s="448"/>
      <c r="N178" s="449"/>
      <c r="O178" s="450"/>
      <c r="P178" s="450"/>
      <c r="Q178" s="450"/>
      <c r="R178" s="450"/>
    </row>
    <row r="179" spans="2:18" x14ac:dyDescent="0.25">
      <c r="B179" s="327">
        <v>1</v>
      </c>
      <c r="C179" s="348">
        <f>NNV1NB*AnnualFactor</f>
        <v>0</v>
      </c>
      <c r="D179" s="349">
        <f>NNV1B*AnnualFactor</f>
        <v>0</v>
      </c>
      <c r="E179" s="339">
        <f>ImpactedNB*C179</f>
        <v>0</v>
      </c>
      <c r="F179" s="434">
        <f>ImpactedB*D179</f>
        <v>0</v>
      </c>
      <c r="G179" s="515">
        <f>IF(OR(Intersect,FreeConn,HOVConn,HOVDrop,OffRamp,OnRamp),C179,E179)/1000000*(HwyFatCost*FatalRateNB+HwyInjCost*InjuryRateNB+HwyPDOCost*PDORateNB)</f>
        <v>0</v>
      </c>
      <c r="H179" s="498">
        <f>IF(OR(Intersect,FreeConn,HOVConn,HOVDrop,OffRamp,OnRamp),D179,F179)/1000000*(HwyFatCost*FatalRateB+HwyInjCost*InjuryRateB+HwyPDOCost*PDORateB)</f>
        <v>0</v>
      </c>
      <c r="I179" s="285">
        <f>G179-H179</f>
        <v>0</v>
      </c>
      <c r="J179" s="323">
        <f>$I179/(1+DiscRate)^($B179+Construct-1)</f>
        <v>0</v>
      </c>
      <c r="L179" s="448"/>
      <c r="M179" s="448"/>
      <c r="N179" s="449"/>
      <c r="O179" s="450"/>
      <c r="P179" s="450"/>
      <c r="Q179" s="450"/>
      <c r="R179" s="450"/>
    </row>
    <row r="180" spans="2:18" x14ac:dyDescent="0.25">
      <c r="B180" s="328">
        <v>20</v>
      </c>
      <c r="C180" s="353">
        <f>NNV20NB*AnnualFactor</f>
        <v>0</v>
      </c>
      <c r="D180" s="354">
        <f>NNV20B*AnnualFactor</f>
        <v>0</v>
      </c>
      <c r="E180" s="339">
        <f>ImpactedNB*C180</f>
        <v>0</v>
      </c>
      <c r="F180" s="435">
        <f>ImpactedB*D180</f>
        <v>0</v>
      </c>
      <c r="G180" s="520">
        <f>IF(OR(Intersect,FreeConn,HOVConn,HOVDrop,OffRamp,OnRamp),C180,E180)/1000000*(HwyFatCost*FatalRateNB+HwyInjCost*InjuryRateNB+HwyPDOCost*PDORateNB)</f>
        <v>0</v>
      </c>
      <c r="H180" s="499">
        <f>IF(OR(Intersect,FreeConn,HOVConn,HOVDrop,OffRamp,OnRamp),D180,F180)/1000000*(HwyFatCost*FatalRateB+HwyInjCost*InjuryRateB+HwyPDOCost*PDORateB)</f>
        <v>0</v>
      </c>
      <c r="I180" s="285">
        <f>G180-H180</f>
        <v>0</v>
      </c>
      <c r="J180" s="323">
        <f>$I180/(1+DiscRate)^($B180+Construct-1)</f>
        <v>0</v>
      </c>
      <c r="L180" s="448"/>
      <c r="M180" s="448"/>
      <c r="N180" s="449"/>
      <c r="O180" s="450"/>
      <c r="P180" s="450"/>
      <c r="Q180" s="450"/>
      <c r="R180" s="450"/>
    </row>
    <row r="181" spans="2:18" x14ac:dyDescent="0.25">
      <c r="B181" s="357"/>
      <c r="C181" s="355"/>
      <c r="D181" s="355"/>
      <c r="E181" s="356"/>
      <c r="F181" s="356"/>
      <c r="G181" s="356"/>
      <c r="H181" s="356"/>
      <c r="I181" s="356"/>
      <c r="J181" s="358"/>
    </row>
    <row r="182" spans="2:18" x14ac:dyDescent="0.25">
      <c r="B182" s="352">
        <v>2</v>
      </c>
      <c r="C182" s="368">
        <f>TREND(C179:C180,B179:B180,B182)</f>
        <v>0</v>
      </c>
      <c r="D182" s="369">
        <f>TREND(D179:D180,B179:B180,B182)</f>
        <v>0</v>
      </c>
      <c r="E182" s="339">
        <f t="shared" ref="E182:E199" si="46">ImpactedNB*C182</f>
        <v>0</v>
      </c>
      <c r="F182" s="434">
        <f t="shared" ref="F182:F199" si="47">ImpactedB*D182</f>
        <v>0</v>
      </c>
      <c r="G182" s="515">
        <f t="shared" ref="G182:G199" si="48">IF(OR(Intersect,FreeConn,HOVConn,HOVDrop,OffRamp,OnRamp),C182,E182)/1000000*(HwyFatCost*FatalRateNB+HwyInjCost*InjuryRateNB+HwyPDOCost*PDORateNB)</f>
        <v>0</v>
      </c>
      <c r="H182" s="498">
        <f t="shared" ref="H182:H199" si="49">IF(OR(Intersect,FreeConn,HOVConn,HOVDrop,OffRamp,OnRamp),D182,F182)/1000000*(HwyFatCost*FatalRateB+HwyInjCost*InjuryRateB+HwyPDOCost*PDORateB)</f>
        <v>0</v>
      </c>
      <c r="I182" s="285">
        <f t="shared" ref="I182:I199" si="50">G182-H182</f>
        <v>0</v>
      </c>
      <c r="J182" s="323">
        <f t="shared" ref="J182:J199" si="51">$I182/(1+DiscRate)^($B182+Construct-1)</f>
        <v>0</v>
      </c>
    </row>
    <row r="183" spans="2:18" x14ac:dyDescent="0.25">
      <c r="B183" s="327">
        <v>3</v>
      </c>
      <c r="C183" s="347">
        <f>TREND(C179:C180,B179:B180,B183)</f>
        <v>0</v>
      </c>
      <c r="D183" s="372">
        <f>TREND(D179:D180,B179:B180,B183)</f>
        <v>0</v>
      </c>
      <c r="E183" s="339">
        <f t="shared" si="46"/>
        <v>0</v>
      </c>
      <c r="F183" s="436">
        <f t="shared" si="47"/>
        <v>0</v>
      </c>
      <c r="G183" s="521">
        <f t="shared" si="48"/>
        <v>0</v>
      </c>
      <c r="H183" s="500">
        <f t="shared" si="49"/>
        <v>0</v>
      </c>
      <c r="I183" s="285">
        <f t="shared" si="50"/>
        <v>0</v>
      </c>
      <c r="J183" s="323">
        <f t="shared" si="51"/>
        <v>0</v>
      </c>
    </row>
    <row r="184" spans="2:18" x14ac:dyDescent="0.25">
      <c r="B184" s="327">
        <v>4</v>
      </c>
      <c r="C184" s="347">
        <f>TREND(C179:C180,B179:B180,B184)</f>
        <v>0</v>
      </c>
      <c r="D184" s="372">
        <f>TREND(D179:D180,B179:B180,B184)</f>
        <v>0</v>
      </c>
      <c r="E184" s="339">
        <f t="shared" si="46"/>
        <v>0</v>
      </c>
      <c r="F184" s="436">
        <f t="shared" si="47"/>
        <v>0</v>
      </c>
      <c r="G184" s="521">
        <f t="shared" si="48"/>
        <v>0</v>
      </c>
      <c r="H184" s="500">
        <f t="shared" si="49"/>
        <v>0</v>
      </c>
      <c r="I184" s="285">
        <f t="shared" si="50"/>
        <v>0</v>
      </c>
      <c r="J184" s="323">
        <f t="shared" si="51"/>
        <v>0</v>
      </c>
    </row>
    <row r="185" spans="2:18" x14ac:dyDescent="0.25">
      <c r="B185" s="327">
        <v>5</v>
      </c>
      <c r="C185" s="347">
        <f>TREND(C179:C180,B179:B180,B185)</f>
        <v>0</v>
      </c>
      <c r="D185" s="372">
        <f>TREND(D179:D180,B179:B180,B185)</f>
        <v>0</v>
      </c>
      <c r="E185" s="339">
        <f t="shared" si="46"/>
        <v>0</v>
      </c>
      <c r="F185" s="436">
        <f t="shared" si="47"/>
        <v>0</v>
      </c>
      <c r="G185" s="521">
        <f t="shared" si="48"/>
        <v>0</v>
      </c>
      <c r="H185" s="500">
        <f t="shared" si="49"/>
        <v>0</v>
      </c>
      <c r="I185" s="285">
        <f t="shared" si="50"/>
        <v>0</v>
      </c>
      <c r="J185" s="323">
        <f t="shared" si="51"/>
        <v>0</v>
      </c>
    </row>
    <row r="186" spans="2:18" x14ac:dyDescent="0.25">
      <c r="B186" s="327">
        <v>6</v>
      </c>
      <c r="C186" s="347">
        <f>TREND(C179:C180,B179:B180,B186)</f>
        <v>0</v>
      </c>
      <c r="D186" s="372">
        <f>TREND(D179:D180,B179:B180,B186)</f>
        <v>0</v>
      </c>
      <c r="E186" s="339">
        <f t="shared" si="46"/>
        <v>0</v>
      </c>
      <c r="F186" s="436">
        <f t="shared" si="47"/>
        <v>0</v>
      </c>
      <c r="G186" s="521">
        <f t="shared" si="48"/>
        <v>0</v>
      </c>
      <c r="H186" s="500">
        <f t="shared" si="49"/>
        <v>0</v>
      </c>
      <c r="I186" s="285">
        <f t="shared" si="50"/>
        <v>0</v>
      </c>
      <c r="J186" s="323">
        <f t="shared" si="51"/>
        <v>0</v>
      </c>
    </row>
    <row r="187" spans="2:18" x14ac:dyDescent="0.25">
      <c r="B187" s="327">
        <v>7</v>
      </c>
      <c r="C187" s="347">
        <f>TREND(C179:C180,B179:B180,B187)</f>
        <v>0</v>
      </c>
      <c r="D187" s="372">
        <f>TREND(D179:D180,B179:B180,B187)</f>
        <v>0</v>
      </c>
      <c r="E187" s="339">
        <f t="shared" si="46"/>
        <v>0</v>
      </c>
      <c r="F187" s="436">
        <f t="shared" si="47"/>
        <v>0</v>
      </c>
      <c r="G187" s="521">
        <f t="shared" si="48"/>
        <v>0</v>
      </c>
      <c r="H187" s="500">
        <f t="shared" si="49"/>
        <v>0</v>
      </c>
      <c r="I187" s="285">
        <f t="shared" si="50"/>
        <v>0</v>
      </c>
      <c r="J187" s="323">
        <f t="shared" si="51"/>
        <v>0</v>
      </c>
    </row>
    <row r="188" spans="2:18" x14ac:dyDescent="0.25">
      <c r="B188" s="327">
        <v>8</v>
      </c>
      <c r="C188" s="347">
        <f>TREND(C179:C180,B179:B180,B188)</f>
        <v>0</v>
      </c>
      <c r="D188" s="372">
        <f>TREND(D179:D180,B179:B180,B188)</f>
        <v>0</v>
      </c>
      <c r="E188" s="339">
        <f t="shared" si="46"/>
        <v>0</v>
      </c>
      <c r="F188" s="436">
        <f t="shared" si="47"/>
        <v>0</v>
      </c>
      <c r="G188" s="521">
        <f t="shared" si="48"/>
        <v>0</v>
      </c>
      <c r="H188" s="500">
        <f t="shared" si="49"/>
        <v>0</v>
      </c>
      <c r="I188" s="285">
        <f t="shared" si="50"/>
        <v>0</v>
      </c>
      <c r="J188" s="323">
        <f t="shared" si="51"/>
        <v>0</v>
      </c>
    </row>
    <row r="189" spans="2:18" x14ac:dyDescent="0.25">
      <c r="B189" s="327">
        <v>9</v>
      </c>
      <c r="C189" s="347">
        <f>TREND(C179:C180,B179:B180,B189)</f>
        <v>0</v>
      </c>
      <c r="D189" s="372">
        <f>TREND(D179:D180,B179:B180,B189)</f>
        <v>0</v>
      </c>
      <c r="E189" s="339">
        <f t="shared" si="46"/>
        <v>0</v>
      </c>
      <c r="F189" s="436">
        <f t="shared" si="47"/>
        <v>0</v>
      </c>
      <c r="G189" s="521">
        <f t="shared" si="48"/>
        <v>0</v>
      </c>
      <c r="H189" s="500">
        <f t="shared" si="49"/>
        <v>0</v>
      </c>
      <c r="I189" s="285">
        <f t="shared" si="50"/>
        <v>0</v>
      </c>
      <c r="J189" s="323">
        <f t="shared" si="51"/>
        <v>0</v>
      </c>
    </row>
    <row r="190" spans="2:18" x14ac:dyDescent="0.25">
      <c r="B190" s="327">
        <v>10</v>
      </c>
      <c r="C190" s="347">
        <f>TREND(C179:C180,B179:B180,B190)</f>
        <v>0</v>
      </c>
      <c r="D190" s="372">
        <f>TREND(D179:D180,B179:B180,B190)</f>
        <v>0</v>
      </c>
      <c r="E190" s="339">
        <f t="shared" si="46"/>
        <v>0</v>
      </c>
      <c r="F190" s="436">
        <f t="shared" si="47"/>
        <v>0</v>
      </c>
      <c r="G190" s="521">
        <f t="shared" si="48"/>
        <v>0</v>
      </c>
      <c r="H190" s="500">
        <f t="shared" si="49"/>
        <v>0</v>
      </c>
      <c r="I190" s="285">
        <f t="shared" si="50"/>
        <v>0</v>
      </c>
      <c r="J190" s="323">
        <f t="shared" si="51"/>
        <v>0</v>
      </c>
    </row>
    <row r="191" spans="2:18" x14ac:dyDescent="0.25">
      <c r="B191" s="327">
        <v>11</v>
      </c>
      <c r="C191" s="347">
        <f>TREND(C179:C180,B179:B180,B191)</f>
        <v>0</v>
      </c>
      <c r="D191" s="372">
        <f>TREND(D179:D180,B179:B180,B191)</f>
        <v>0</v>
      </c>
      <c r="E191" s="339">
        <f t="shared" si="46"/>
        <v>0</v>
      </c>
      <c r="F191" s="436">
        <f t="shared" si="47"/>
        <v>0</v>
      </c>
      <c r="G191" s="521">
        <f t="shared" si="48"/>
        <v>0</v>
      </c>
      <c r="H191" s="500">
        <f t="shared" si="49"/>
        <v>0</v>
      </c>
      <c r="I191" s="285">
        <f t="shared" si="50"/>
        <v>0</v>
      </c>
      <c r="J191" s="323">
        <f t="shared" si="51"/>
        <v>0</v>
      </c>
    </row>
    <row r="192" spans="2:18" x14ac:dyDescent="0.25">
      <c r="B192" s="327">
        <v>12</v>
      </c>
      <c r="C192" s="347">
        <f>TREND(C179:C180,B179:B180,B192)</f>
        <v>0</v>
      </c>
      <c r="D192" s="372">
        <f>TREND(D179:D180,B179:B180,B192)</f>
        <v>0</v>
      </c>
      <c r="E192" s="339">
        <f t="shared" si="46"/>
        <v>0</v>
      </c>
      <c r="F192" s="436">
        <f t="shared" si="47"/>
        <v>0</v>
      </c>
      <c r="G192" s="521">
        <f t="shared" si="48"/>
        <v>0</v>
      </c>
      <c r="H192" s="500">
        <f t="shared" si="49"/>
        <v>0</v>
      </c>
      <c r="I192" s="285">
        <f t="shared" si="50"/>
        <v>0</v>
      </c>
      <c r="J192" s="323">
        <f t="shared" si="51"/>
        <v>0</v>
      </c>
    </row>
    <row r="193" spans="2:10" x14ac:dyDescent="0.25">
      <c r="B193" s="327">
        <v>13</v>
      </c>
      <c r="C193" s="347">
        <f>TREND(C179:C180,B179:B180,B193)</f>
        <v>0</v>
      </c>
      <c r="D193" s="372">
        <f>TREND(D179:D180,B179:B180,B193)</f>
        <v>0</v>
      </c>
      <c r="E193" s="339">
        <f t="shared" si="46"/>
        <v>0</v>
      </c>
      <c r="F193" s="436">
        <f t="shared" si="47"/>
        <v>0</v>
      </c>
      <c r="G193" s="521">
        <f t="shared" si="48"/>
        <v>0</v>
      </c>
      <c r="H193" s="500">
        <f t="shared" si="49"/>
        <v>0</v>
      </c>
      <c r="I193" s="285">
        <f t="shared" si="50"/>
        <v>0</v>
      </c>
      <c r="J193" s="323">
        <f t="shared" si="51"/>
        <v>0</v>
      </c>
    </row>
    <row r="194" spans="2:10" x14ac:dyDescent="0.25">
      <c r="B194" s="327">
        <v>14</v>
      </c>
      <c r="C194" s="347">
        <f>TREND(C179:C180,B179:B180,B194)</f>
        <v>0</v>
      </c>
      <c r="D194" s="372">
        <f>TREND(D179:D180,B179:B180,B194)</f>
        <v>0</v>
      </c>
      <c r="E194" s="339">
        <f t="shared" si="46"/>
        <v>0</v>
      </c>
      <c r="F194" s="436">
        <f t="shared" si="47"/>
        <v>0</v>
      </c>
      <c r="G194" s="521">
        <f t="shared" si="48"/>
        <v>0</v>
      </c>
      <c r="H194" s="500">
        <f t="shared" si="49"/>
        <v>0</v>
      </c>
      <c r="I194" s="285">
        <f t="shared" si="50"/>
        <v>0</v>
      </c>
      <c r="J194" s="323">
        <f t="shared" si="51"/>
        <v>0</v>
      </c>
    </row>
    <row r="195" spans="2:10" x14ac:dyDescent="0.25">
      <c r="B195" s="327">
        <v>15</v>
      </c>
      <c r="C195" s="347">
        <f>TREND(C179:C180,B179:B180,B195)</f>
        <v>0</v>
      </c>
      <c r="D195" s="372">
        <f>TREND(D179:D180,B179:B180,B195)</f>
        <v>0</v>
      </c>
      <c r="E195" s="339">
        <f t="shared" si="46"/>
        <v>0</v>
      </c>
      <c r="F195" s="436">
        <f t="shared" si="47"/>
        <v>0</v>
      </c>
      <c r="G195" s="521">
        <f t="shared" si="48"/>
        <v>0</v>
      </c>
      <c r="H195" s="500">
        <f t="shared" si="49"/>
        <v>0</v>
      </c>
      <c r="I195" s="285">
        <f t="shared" si="50"/>
        <v>0</v>
      </c>
      <c r="J195" s="323">
        <f t="shared" si="51"/>
        <v>0</v>
      </c>
    </row>
    <row r="196" spans="2:10" x14ac:dyDescent="0.25">
      <c r="B196" s="327">
        <v>16</v>
      </c>
      <c r="C196" s="347">
        <f>TREND(C179:C180,B179:B180,B196)</f>
        <v>0</v>
      </c>
      <c r="D196" s="372">
        <f>TREND(D179:D180,B179:B180,B196)</f>
        <v>0</v>
      </c>
      <c r="E196" s="339">
        <f t="shared" si="46"/>
        <v>0</v>
      </c>
      <c r="F196" s="436">
        <f t="shared" si="47"/>
        <v>0</v>
      </c>
      <c r="G196" s="521">
        <f t="shared" si="48"/>
        <v>0</v>
      </c>
      <c r="H196" s="500">
        <f t="shared" si="49"/>
        <v>0</v>
      </c>
      <c r="I196" s="285">
        <f t="shared" si="50"/>
        <v>0</v>
      </c>
      <c r="J196" s="323">
        <f t="shared" si="51"/>
        <v>0</v>
      </c>
    </row>
    <row r="197" spans="2:10" x14ac:dyDescent="0.25">
      <c r="B197" s="327">
        <v>17</v>
      </c>
      <c r="C197" s="347">
        <f>TREND(C179:C180,B179:B180,B197)</f>
        <v>0</v>
      </c>
      <c r="D197" s="372">
        <f>TREND(D179:D180,B179:B180,B197)</f>
        <v>0</v>
      </c>
      <c r="E197" s="339">
        <f t="shared" si="46"/>
        <v>0</v>
      </c>
      <c r="F197" s="436">
        <f t="shared" si="47"/>
        <v>0</v>
      </c>
      <c r="G197" s="521">
        <f t="shared" si="48"/>
        <v>0</v>
      </c>
      <c r="H197" s="500">
        <f t="shared" si="49"/>
        <v>0</v>
      </c>
      <c r="I197" s="285">
        <f t="shared" si="50"/>
        <v>0</v>
      </c>
      <c r="J197" s="323">
        <f t="shared" si="51"/>
        <v>0</v>
      </c>
    </row>
    <row r="198" spans="2:10" x14ac:dyDescent="0.25">
      <c r="B198" s="327">
        <v>18</v>
      </c>
      <c r="C198" s="347">
        <f>TREND(C179:C180,B179:B180,B198)</f>
        <v>0</v>
      </c>
      <c r="D198" s="372">
        <f>TREND(D179:D180,B179:B180,B198)</f>
        <v>0</v>
      </c>
      <c r="E198" s="339">
        <f t="shared" si="46"/>
        <v>0</v>
      </c>
      <c r="F198" s="436">
        <f t="shared" si="47"/>
        <v>0</v>
      </c>
      <c r="G198" s="521">
        <f t="shared" si="48"/>
        <v>0</v>
      </c>
      <c r="H198" s="500">
        <f t="shared" si="49"/>
        <v>0</v>
      </c>
      <c r="I198" s="285">
        <f t="shared" si="50"/>
        <v>0</v>
      </c>
      <c r="J198" s="323">
        <f t="shared" si="51"/>
        <v>0</v>
      </c>
    </row>
    <row r="199" spans="2:10" x14ac:dyDescent="0.25">
      <c r="B199" s="359">
        <v>19</v>
      </c>
      <c r="C199" s="360">
        <f>TREND(C179:C180,B179:B180,B199)</f>
        <v>0</v>
      </c>
      <c r="D199" s="375">
        <f>TREND(D179:D180,B179:B180,B199)</f>
        <v>0</v>
      </c>
      <c r="E199" s="339">
        <f t="shared" si="46"/>
        <v>0</v>
      </c>
      <c r="F199" s="435">
        <f t="shared" si="47"/>
        <v>0</v>
      </c>
      <c r="G199" s="520">
        <f t="shared" si="48"/>
        <v>0</v>
      </c>
      <c r="H199" s="499">
        <f t="shared" si="49"/>
        <v>0</v>
      </c>
      <c r="I199" s="285">
        <f t="shared" si="50"/>
        <v>0</v>
      </c>
      <c r="J199" s="323">
        <f t="shared" si="51"/>
        <v>0</v>
      </c>
    </row>
    <row r="200" spans="2:10" x14ac:dyDescent="0.25">
      <c r="B200" s="357"/>
      <c r="C200" s="355"/>
      <c r="D200" s="355"/>
      <c r="E200" s="356"/>
      <c r="F200" s="356"/>
      <c r="G200" s="356"/>
      <c r="H200" s="356"/>
      <c r="I200" s="356"/>
      <c r="J200" s="358"/>
    </row>
    <row r="201" spans="2:10" ht="13" x14ac:dyDescent="0.25">
      <c r="B201" s="329" t="s">
        <v>172</v>
      </c>
      <c r="C201" s="330"/>
      <c r="D201" s="331"/>
      <c r="E201" s="331"/>
      <c r="F201" s="331"/>
      <c r="G201" s="331"/>
      <c r="H201" s="332"/>
      <c r="I201" s="341"/>
      <c r="J201" s="342">
        <f>SUM(J179:J199)</f>
        <v>0</v>
      </c>
    </row>
    <row r="204" spans="2:10" ht="13" x14ac:dyDescent="0.25">
      <c r="B204" s="350" t="s">
        <v>506</v>
      </c>
      <c r="C204" s="88"/>
      <c r="D204" s="88"/>
      <c r="E204" s="88"/>
      <c r="F204" s="309"/>
      <c r="G204" s="309"/>
      <c r="H204" s="88"/>
      <c r="I204" s="88"/>
      <c r="J204" s="88"/>
    </row>
    <row r="205" spans="2:10" x14ac:dyDescent="0.25">
      <c r="B205" s="88"/>
      <c r="C205" s="88"/>
      <c r="D205" s="274"/>
      <c r="E205" s="88"/>
      <c r="F205" s="88"/>
      <c r="G205" s="88"/>
      <c r="H205" s="88"/>
      <c r="I205" s="88"/>
      <c r="J205" s="351"/>
    </row>
    <row r="206" spans="2:10" ht="15.5" x14ac:dyDescent="0.25">
      <c r="B206" s="317"/>
      <c r="C206" s="320" t="s">
        <v>230</v>
      </c>
      <c r="D206" s="361"/>
      <c r="E206" s="335" t="s">
        <v>272</v>
      </c>
      <c r="F206" s="321"/>
      <c r="G206" s="437" t="s">
        <v>867</v>
      </c>
      <c r="H206" s="438"/>
      <c r="I206" s="322"/>
      <c r="J206" s="343"/>
    </row>
    <row r="207" spans="2:10" ht="14" x14ac:dyDescent="0.25">
      <c r="B207" s="318"/>
      <c r="C207" s="287" t="s">
        <v>237</v>
      </c>
      <c r="D207" s="362"/>
      <c r="E207" s="336" t="s">
        <v>274</v>
      </c>
      <c r="F207" s="288"/>
      <c r="G207" s="439" t="s">
        <v>275</v>
      </c>
      <c r="H207" s="440"/>
      <c r="I207" s="284"/>
      <c r="J207" s="344"/>
    </row>
    <row r="208" spans="2:10" ht="14" x14ac:dyDescent="0.25">
      <c r="B208" s="169" t="s">
        <v>135</v>
      </c>
      <c r="C208" s="316"/>
      <c r="D208" s="283"/>
      <c r="E208" s="316"/>
      <c r="F208" s="283"/>
      <c r="G208" s="316"/>
      <c r="H208" s="283"/>
      <c r="I208" s="286" t="s">
        <v>242</v>
      </c>
      <c r="J208" s="345" t="s">
        <v>139</v>
      </c>
    </row>
    <row r="209" spans="2:10" ht="14" x14ac:dyDescent="0.25">
      <c r="B209" s="319"/>
      <c r="C209" s="324" t="s">
        <v>0</v>
      </c>
      <c r="D209" s="325" t="s">
        <v>1</v>
      </c>
      <c r="E209" s="324" t="s">
        <v>0</v>
      </c>
      <c r="F209" s="325" t="s">
        <v>1</v>
      </c>
      <c r="G209" s="324" t="s">
        <v>0</v>
      </c>
      <c r="H209" s="325" t="s">
        <v>1</v>
      </c>
      <c r="I209" s="326" t="s">
        <v>148</v>
      </c>
      <c r="J209" s="346" t="s">
        <v>149</v>
      </c>
    </row>
    <row r="210" spans="2:10" x14ac:dyDescent="0.25">
      <c r="B210" s="327">
        <v>1</v>
      </c>
      <c r="C210" s="348">
        <f>NWV1NB*AnnualFactor</f>
        <v>0</v>
      </c>
      <c r="D210" s="349">
        <f>NWV1B*AnnualFactor</f>
        <v>0</v>
      </c>
      <c r="E210" s="339">
        <f>ImpactedNB*C210</f>
        <v>0</v>
      </c>
      <c r="F210" s="434">
        <f>ImpactedB*D210</f>
        <v>0</v>
      </c>
      <c r="G210" s="515">
        <f>IF(OR(Intersect,FreeConn,HOVConn,HOVDrop,OffRamp,OnRamp),C210,E210)/1000000*(HwyFatCost*FatalRateNB+HwyInjCost*InjuryRateNB+HwyPDOCost*PDORateNB)</f>
        <v>0</v>
      </c>
      <c r="H210" s="498">
        <f>IF(OR(Intersect,FreeConn,HOVConn,HOVDrop,OffRamp,OnRamp),D210,F210)/1000000*(HwyFatCost*FatalRateB+HwyInjCost*InjuryRateB+HwyPDOCost*PDORateB)</f>
        <v>0</v>
      </c>
      <c r="I210" s="285">
        <f>G210-H210</f>
        <v>0</v>
      </c>
      <c r="J210" s="323">
        <f>$I210/(1+DiscRate)^($B210+Construct-1)</f>
        <v>0</v>
      </c>
    </row>
    <row r="211" spans="2:10" x14ac:dyDescent="0.25">
      <c r="B211" s="328">
        <v>20</v>
      </c>
      <c r="C211" s="353">
        <f>NWV20NB*AnnualFactor</f>
        <v>0</v>
      </c>
      <c r="D211" s="354">
        <f>NWV20B*AnnualFactor</f>
        <v>0</v>
      </c>
      <c r="E211" s="339">
        <f>ImpactedNB*C211</f>
        <v>0</v>
      </c>
      <c r="F211" s="435">
        <f>ImpactedB*D211</f>
        <v>0</v>
      </c>
      <c r="G211" s="520">
        <f>IF(OR(Intersect,FreeConn,HOVConn,HOVDrop,OffRamp,OnRamp),C211,E211)/1000000*(HwyFatCost*FatalRateNB+HwyInjCost*InjuryRateNB+HwyPDOCost*PDORateNB)</f>
        <v>0</v>
      </c>
      <c r="H211" s="499">
        <f>IF(OR(Intersect,FreeConn,HOVConn,HOVDrop,OffRamp,OnRamp),D211,F211)/1000000*(HwyFatCost*FatalRateB+HwyInjCost*InjuryRateB+HwyPDOCost*PDORateB)</f>
        <v>0</v>
      </c>
      <c r="I211" s="285">
        <f>G211-H211</f>
        <v>0</v>
      </c>
      <c r="J211" s="323">
        <f>$I211/(1+DiscRate)^($B211+Construct-1)</f>
        <v>0</v>
      </c>
    </row>
    <row r="212" spans="2:10" x14ac:dyDescent="0.25">
      <c r="B212" s="357"/>
      <c r="C212" s="355"/>
      <c r="D212" s="355"/>
      <c r="E212" s="356"/>
      <c r="F212" s="356"/>
      <c r="G212" s="356"/>
      <c r="H212" s="356"/>
      <c r="I212" s="356"/>
      <c r="J212" s="358"/>
    </row>
    <row r="213" spans="2:10" x14ac:dyDescent="0.25">
      <c r="B213" s="352">
        <v>2</v>
      </c>
      <c r="C213" s="368">
        <f>TREND(C210:C211,B210:B211,B213)</f>
        <v>0</v>
      </c>
      <c r="D213" s="369">
        <f>TREND(D210:D211,B210:B211,B213)</f>
        <v>0</v>
      </c>
      <c r="E213" s="339">
        <f t="shared" ref="E213:E230" si="52">ImpactedNB*C213</f>
        <v>0</v>
      </c>
      <c r="F213" s="434">
        <f t="shared" ref="F213:F230" si="53">ImpactedB*D213</f>
        <v>0</v>
      </c>
      <c r="G213" s="515">
        <f t="shared" ref="G213:G230" si="54">IF(OR(Intersect,FreeConn,HOVConn,HOVDrop,OffRamp,OnRamp),C213,E213)/1000000*(HwyFatCost*FatalRateNB+HwyInjCost*InjuryRateNB+HwyPDOCost*PDORateNB)</f>
        <v>0</v>
      </c>
      <c r="H213" s="498">
        <f t="shared" ref="H213:H230" si="55">IF(OR(Intersect,FreeConn,HOVConn,HOVDrop,OffRamp,OnRamp),D213,F213)/1000000*(HwyFatCost*FatalRateB+HwyInjCost*InjuryRateB+HwyPDOCost*PDORateB)</f>
        <v>0</v>
      </c>
      <c r="I213" s="285">
        <f t="shared" ref="I213:I230" si="56">G213-H213</f>
        <v>0</v>
      </c>
      <c r="J213" s="323">
        <f t="shared" ref="J213:J230" si="57">$I213/(1+DiscRate)^($B213+Construct-1)</f>
        <v>0</v>
      </c>
    </row>
    <row r="214" spans="2:10" x14ac:dyDescent="0.25">
      <c r="B214" s="327">
        <v>3</v>
      </c>
      <c r="C214" s="347">
        <f>TREND(C210:C211,B210:B211,B214)</f>
        <v>0</v>
      </c>
      <c r="D214" s="372">
        <f>TREND(D210:D211,B210:B211,B214)</f>
        <v>0</v>
      </c>
      <c r="E214" s="339">
        <f t="shared" si="52"/>
        <v>0</v>
      </c>
      <c r="F214" s="436">
        <f t="shared" si="53"/>
        <v>0</v>
      </c>
      <c r="G214" s="521">
        <f t="shared" si="54"/>
        <v>0</v>
      </c>
      <c r="H214" s="500">
        <f t="shared" si="55"/>
        <v>0</v>
      </c>
      <c r="I214" s="285">
        <f t="shared" si="56"/>
        <v>0</v>
      </c>
      <c r="J214" s="323">
        <f t="shared" si="57"/>
        <v>0</v>
      </c>
    </row>
    <row r="215" spans="2:10" x14ac:dyDescent="0.25">
      <c r="B215" s="327">
        <v>4</v>
      </c>
      <c r="C215" s="347">
        <f>TREND(C210:C211,B210:B211,B215)</f>
        <v>0</v>
      </c>
      <c r="D215" s="372">
        <f>TREND(D210:D211,B210:B211,B215)</f>
        <v>0</v>
      </c>
      <c r="E215" s="339">
        <f t="shared" si="52"/>
        <v>0</v>
      </c>
      <c r="F215" s="436">
        <f t="shared" si="53"/>
        <v>0</v>
      </c>
      <c r="G215" s="521">
        <f t="shared" si="54"/>
        <v>0</v>
      </c>
      <c r="H215" s="500">
        <f t="shared" si="55"/>
        <v>0</v>
      </c>
      <c r="I215" s="285">
        <f t="shared" si="56"/>
        <v>0</v>
      </c>
      <c r="J215" s="323">
        <f t="shared" si="57"/>
        <v>0</v>
      </c>
    </row>
    <row r="216" spans="2:10" x14ac:dyDescent="0.25">
      <c r="B216" s="327">
        <v>5</v>
      </c>
      <c r="C216" s="347">
        <f>TREND(C210:C211,B210:B211,B216)</f>
        <v>0</v>
      </c>
      <c r="D216" s="372">
        <f>TREND(D210:D211,B210:B211,B216)</f>
        <v>0</v>
      </c>
      <c r="E216" s="339">
        <f t="shared" si="52"/>
        <v>0</v>
      </c>
      <c r="F216" s="436">
        <f t="shared" si="53"/>
        <v>0</v>
      </c>
      <c r="G216" s="521">
        <f t="shared" si="54"/>
        <v>0</v>
      </c>
      <c r="H216" s="500">
        <f t="shared" si="55"/>
        <v>0</v>
      </c>
      <c r="I216" s="285">
        <f t="shared" si="56"/>
        <v>0</v>
      </c>
      <c r="J216" s="323">
        <f t="shared" si="57"/>
        <v>0</v>
      </c>
    </row>
    <row r="217" spans="2:10" x14ac:dyDescent="0.25">
      <c r="B217" s="327">
        <v>6</v>
      </c>
      <c r="C217" s="347">
        <f>TREND(C210:C211,B210:B211,B217)</f>
        <v>0</v>
      </c>
      <c r="D217" s="372">
        <f>TREND(D210:D211,B210:B211,B217)</f>
        <v>0</v>
      </c>
      <c r="E217" s="339">
        <f t="shared" si="52"/>
        <v>0</v>
      </c>
      <c r="F217" s="436">
        <f t="shared" si="53"/>
        <v>0</v>
      </c>
      <c r="G217" s="521">
        <f t="shared" si="54"/>
        <v>0</v>
      </c>
      <c r="H217" s="500">
        <f t="shared" si="55"/>
        <v>0</v>
      </c>
      <c r="I217" s="285">
        <f t="shared" si="56"/>
        <v>0</v>
      </c>
      <c r="J217" s="323">
        <f t="shared" si="57"/>
        <v>0</v>
      </c>
    </row>
    <row r="218" spans="2:10" x14ac:dyDescent="0.25">
      <c r="B218" s="327">
        <v>7</v>
      </c>
      <c r="C218" s="347">
        <f>TREND(C210:C211,B210:B211,B218)</f>
        <v>0</v>
      </c>
      <c r="D218" s="372">
        <f>TREND(D210:D211,B210:B211,B218)</f>
        <v>0</v>
      </c>
      <c r="E218" s="339">
        <f t="shared" si="52"/>
        <v>0</v>
      </c>
      <c r="F218" s="436">
        <f t="shared" si="53"/>
        <v>0</v>
      </c>
      <c r="G218" s="521">
        <f t="shared" si="54"/>
        <v>0</v>
      </c>
      <c r="H218" s="500">
        <f t="shared" si="55"/>
        <v>0</v>
      </c>
      <c r="I218" s="285">
        <f t="shared" si="56"/>
        <v>0</v>
      </c>
      <c r="J218" s="323">
        <f t="shared" si="57"/>
        <v>0</v>
      </c>
    </row>
    <row r="219" spans="2:10" x14ac:dyDescent="0.25">
      <c r="B219" s="327">
        <v>8</v>
      </c>
      <c r="C219" s="347">
        <f>TREND(C210:C211,B210:B211,B219)</f>
        <v>0</v>
      </c>
      <c r="D219" s="372">
        <f>TREND(D210:D211,B210:B211,B219)</f>
        <v>0</v>
      </c>
      <c r="E219" s="339">
        <f t="shared" si="52"/>
        <v>0</v>
      </c>
      <c r="F219" s="436">
        <f t="shared" si="53"/>
        <v>0</v>
      </c>
      <c r="G219" s="521">
        <f t="shared" si="54"/>
        <v>0</v>
      </c>
      <c r="H219" s="500">
        <f t="shared" si="55"/>
        <v>0</v>
      </c>
      <c r="I219" s="285">
        <f t="shared" si="56"/>
        <v>0</v>
      </c>
      <c r="J219" s="323">
        <f t="shared" si="57"/>
        <v>0</v>
      </c>
    </row>
    <row r="220" spans="2:10" x14ac:dyDescent="0.25">
      <c r="B220" s="327">
        <v>9</v>
      </c>
      <c r="C220" s="347">
        <f>TREND(C210:C211,B210:B211,B220)</f>
        <v>0</v>
      </c>
      <c r="D220" s="372">
        <f>TREND(D210:D211,B210:B211,B220)</f>
        <v>0</v>
      </c>
      <c r="E220" s="339">
        <f t="shared" si="52"/>
        <v>0</v>
      </c>
      <c r="F220" s="436">
        <f t="shared" si="53"/>
        <v>0</v>
      </c>
      <c r="G220" s="521">
        <f t="shared" si="54"/>
        <v>0</v>
      </c>
      <c r="H220" s="500">
        <f t="shared" si="55"/>
        <v>0</v>
      </c>
      <c r="I220" s="285">
        <f t="shared" si="56"/>
        <v>0</v>
      </c>
      <c r="J220" s="323">
        <f t="shared" si="57"/>
        <v>0</v>
      </c>
    </row>
    <row r="221" spans="2:10" x14ac:dyDescent="0.25">
      <c r="B221" s="327">
        <v>10</v>
      </c>
      <c r="C221" s="347">
        <f>TREND(C210:C211,B210:B211,B221)</f>
        <v>0</v>
      </c>
      <c r="D221" s="372">
        <f>TREND(D210:D211,B210:B211,B221)</f>
        <v>0</v>
      </c>
      <c r="E221" s="339">
        <f t="shared" si="52"/>
        <v>0</v>
      </c>
      <c r="F221" s="436">
        <f t="shared" si="53"/>
        <v>0</v>
      </c>
      <c r="G221" s="521">
        <f t="shared" si="54"/>
        <v>0</v>
      </c>
      <c r="H221" s="500">
        <f t="shared" si="55"/>
        <v>0</v>
      </c>
      <c r="I221" s="285">
        <f t="shared" si="56"/>
        <v>0</v>
      </c>
      <c r="J221" s="323">
        <f t="shared" si="57"/>
        <v>0</v>
      </c>
    </row>
    <row r="222" spans="2:10" x14ac:dyDescent="0.25">
      <c r="B222" s="327">
        <v>11</v>
      </c>
      <c r="C222" s="347">
        <f>TREND(C210:C211,B210:B211,B222)</f>
        <v>0</v>
      </c>
      <c r="D222" s="372">
        <f>TREND(D210:D211,B210:B211,B222)</f>
        <v>0</v>
      </c>
      <c r="E222" s="339">
        <f t="shared" si="52"/>
        <v>0</v>
      </c>
      <c r="F222" s="436">
        <f t="shared" si="53"/>
        <v>0</v>
      </c>
      <c r="G222" s="521">
        <f t="shared" si="54"/>
        <v>0</v>
      </c>
      <c r="H222" s="500">
        <f t="shared" si="55"/>
        <v>0</v>
      </c>
      <c r="I222" s="285">
        <f t="shared" si="56"/>
        <v>0</v>
      </c>
      <c r="J222" s="323">
        <f t="shared" si="57"/>
        <v>0</v>
      </c>
    </row>
    <row r="223" spans="2:10" x14ac:dyDescent="0.25">
      <c r="B223" s="327">
        <v>12</v>
      </c>
      <c r="C223" s="347">
        <f>TREND(C210:C211,B210:B211,B223)</f>
        <v>0</v>
      </c>
      <c r="D223" s="372">
        <f>TREND(D210:D211,B210:B211,B223)</f>
        <v>0</v>
      </c>
      <c r="E223" s="339">
        <f t="shared" si="52"/>
        <v>0</v>
      </c>
      <c r="F223" s="436">
        <f t="shared" si="53"/>
        <v>0</v>
      </c>
      <c r="G223" s="521">
        <f t="shared" si="54"/>
        <v>0</v>
      </c>
      <c r="H223" s="500">
        <f t="shared" si="55"/>
        <v>0</v>
      </c>
      <c r="I223" s="285">
        <f t="shared" si="56"/>
        <v>0</v>
      </c>
      <c r="J223" s="323">
        <f t="shared" si="57"/>
        <v>0</v>
      </c>
    </row>
    <row r="224" spans="2:10" x14ac:dyDescent="0.25">
      <c r="B224" s="327">
        <v>13</v>
      </c>
      <c r="C224" s="347">
        <f>TREND(C210:C211,B210:B211,B224)</f>
        <v>0</v>
      </c>
      <c r="D224" s="372">
        <f>TREND(D210:D211,B210:B211,B224)</f>
        <v>0</v>
      </c>
      <c r="E224" s="339">
        <f t="shared" si="52"/>
        <v>0</v>
      </c>
      <c r="F224" s="436">
        <f t="shared" si="53"/>
        <v>0</v>
      </c>
      <c r="G224" s="521">
        <f t="shared" si="54"/>
        <v>0</v>
      </c>
      <c r="H224" s="500">
        <f t="shared" si="55"/>
        <v>0</v>
      </c>
      <c r="I224" s="285">
        <f t="shared" si="56"/>
        <v>0</v>
      </c>
      <c r="J224" s="323">
        <f t="shared" si="57"/>
        <v>0</v>
      </c>
    </row>
    <row r="225" spans="2:10" x14ac:dyDescent="0.25">
      <c r="B225" s="327">
        <v>14</v>
      </c>
      <c r="C225" s="347">
        <f>TREND(C210:C211,B210:B211,B225)</f>
        <v>0</v>
      </c>
      <c r="D225" s="372">
        <f>TREND(D210:D211,B210:B211,B225)</f>
        <v>0</v>
      </c>
      <c r="E225" s="339">
        <f t="shared" si="52"/>
        <v>0</v>
      </c>
      <c r="F225" s="436">
        <f t="shared" si="53"/>
        <v>0</v>
      </c>
      <c r="G225" s="521">
        <f t="shared" si="54"/>
        <v>0</v>
      </c>
      <c r="H225" s="500">
        <f t="shared" si="55"/>
        <v>0</v>
      </c>
      <c r="I225" s="285">
        <f t="shared" si="56"/>
        <v>0</v>
      </c>
      <c r="J225" s="323">
        <f t="shared" si="57"/>
        <v>0</v>
      </c>
    </row>
    <row r="226" spans="2:10" x14ac:dyDescent="0.25">
      <c r="B226" s="327">
        <v>15</v>
      </c>
      <c r="C226" s="347">
        <f>TREND(C210:C211,B210:B211,B226)</f>
        <v>0</v>
      </c>
      <c r="D226" s="372">
        <f>TREND(D210:D211,B210:B211,B226)</f>
        <v>0</v>
      </c>
      <c r="E226" s="339">
        <f t="shared" si="52"/>
        <v>0</v>
      </c>
      <c r="F226" s="436">
        <f t="shared" si="53"/>
        <v>0</v>
      </c>
      <c r="G226" s="521">
        <f t="shared" si="54"/>
        <v>0</v>
      </c>
      <c r="H226" s="500">
        <f t="shared" si="55"/>
        <v>0</v>
      </c>
      <c r="I226" s="285">
        <f t="shared" si="56"/>
        <v>0</v>
      </c>
      <c r="J226" s="323">
        <f t="shared" si="57"/>
        <v>0</v>
      </c>
    </row>
    <row r="227" spans="2:10" x14ac:dyDescent="0.25">
      <c r="B227" s="327">
        <v>16</v>
      </c>
      <c r="C227" s="347">
        <f>TREND(C210:C211,B210:B211,B227)</f>
        <v>0</v>
      </c>
      <c r="D227" s="372">
        <f>TREND(D210:D211,B210:B211,B227)</f>
        <v>0</v>
      </c>
      <c r="E227" s="339">
        <f t="shared" si="52"/>
        <v>0</v>
      </c>
      <c r="F227" s="436">
        <f t="shared" si="53"/>
        <v>0</v>
      </c>
      <c r="G227" s="521">
        <f t="shared" si="54"/>
        <v>0</v>
      </c>
      <c r="H227" s="500">
        <f t="shared" si="55"/>
        <v>0</v>
      </c>
      <c r="I227" s="285">
        <f t="shared" si="56"/>
        <v>0</v>
      </c>
      <c r="J227" s="323">
        <f t="shared" si="57"/>
        <v>0</v>
      </c>
    </row>
    <row r="228" spans="2:10" x14ac:dyDescent="0.25">
      <c r="B228" s="327">
        <v>17</v>
      </c>
      <c r="C228" s="347">
        <f>TREND(C210:C211,B210:B211,B228)</f>
        <v>0</v>
      </c>
      <c r="D228" s="372">
        <f>TREND(D210:D211,B210:B211,B228)</f>
        <v>0</v>
      </c>
      <c r="E228" s="339">
        <f t="shared" si="52"/>
        <v>0</v>
      </c>
      <c r="F228" s="436">
        <f t="shared" si="53"/>
        <v>0</v>
      </c>
      <c r="G228" s="521">
        <f t="shared" si="54"/>
        <v>0</v>
      </c>
      <c r="H228" s="500">
        <f t="shared" si="55"/>
        <v>0</v>
      </c>
      <c r="I228" s="285">
        <f t="shared" si="56"/>
        <v>0</v>
      </c>
      <c r="J228" s="323">
        <f t="shared" si="57"/>
        <v>0</v>
      </c>
    </row>
    <row r="229" spans="2:10" x14ac:dyDescent="0.25">
      <c r="B229" s="327">
        <v>18</v>
      </c>
      <c r="C229" s="347">
        <f>TREND(C210:C211,B210:B211,B229)</f>
        <v>0</v>
      </c>
      <c r="D229" s="372">
        <f>TREND(D210:D211,B210:B211,B229)</f>
        <v>0</v>
      </c>
      <c r="E229" s="339">
        <f t="shared" si="52"/>
        <v>0</v>
      </c>
      <c r="F229" s="436">
        <f t="shared" si="53"/>
        <v>0</v>
      </c>
      <c r="G229" s="521">
        <f t="shared" si="54"/>
        <v>0</v>
      </c>
      <c r="H229" s="500">
        <f t="shared" si="55"/>
        <v>0</v>
      </c>
      <c r="I229" s="285">
        <f t="shared" si="56"/>
        <v>0</v>
      </c>
      <c r="J229" s="323">
        <f t="shared" si="57"/>
        <v>0</v>
      </c>
    </row>
    <row r="230" spans="2:10" x14ac:dyDescent="0.25">
      <c r="B230" s="359">
        <v>19</v>
      </c>
      <c r="C230" s="360">
        <f>TREND(C210:C211,B210:B211,B230)</f>
        <v>0</v>
      </c>
      <c r="D230" s="375">
        <f>TREND(D210:D211,B210:B211,B230)</f>
        <v>0</v>
      </c>
      <c r="E230" s="339">
        <f t="shared" si="52"/>
        <v>0</v>
      </c>
      <c r="F230" s="435">
        <f t="shared" si="53"/>
        <v>0</v>
      </c>
      <c r="G230" s="520">
        <f t="shared" si="54"/>
        <v>0</v>
      </c>
      <c r="H230" s="499">
        <f t="shared" si="55"/>
        <v>0</v>
      </c>
      <c r="I230" s="285">
        <f t="shared" si="56"/>
        <v>0</v>
      </c>
      <c r="J230" s="323">
        <f t="shared" si="57"/>
        <v>0</v>
      </c>
    </row>
    <row r="231" spans="2:10" x14ac:dyDescent="0.25">
      <c r="B231" s="357"/>
      <c r="C231" s="355"/>
      <c r="D231" s="355"/>
      <c r="E231" s="356"/>
      <c r="F231" s="356"/>
      <c r="G231" s="356"/>
      <c r="H231" s="356"/>
      <c r="I231" s="356"/>
      <c r="J231" s="358"/>
    </row>
    <row r="232" spans="2:10" ht="13" x14ac:dyDescent="0.25">
      <c r="B232" s="329" t="s">
        <v>172</v>
      </c>
      <c r="C232" s="330"/>
      <c r="D232" s="331"/>
      <c r="E232" s="331"/>
      <c r="F232" s="331"/>
      <c r="G232" s="331"/>
      <c r="H232" s="332"/>
      <c r="I232" s="341"/>
      <c r="J232" s="342">
        <f>SUM(J210:J230)</f>
        <v>0</v>
      </c>
    </row>
    <row r="235" spans="2:10" ht="13" x14ac:dyDescent="0.25">
      <c r="B235" s="350" t="s">
        <v>255</v>
      </c>
      <c r="C235" s="88"/>
      <c r="D235" s="88"/>
      <c r="E235" s="88"/>
      <c r="F235" s="309"/>
      <c r="G235" s="309"/>
      <c r="H235" s="88"/>
      <c r="I235" s="88"/>
      <c r="J235" s="88"/>
    </row>
    <row r="236" spans="2:10" x14ac:dyDescent="0.25">
      <c r="B236" s="88"/>
      <c r="C236" s="88"/>
      <c r="D236" s="274"/>
      <c r="E236" s="88"/>
      <c r="F236" s="88"/>
      <c r="G236" s="88"/>
      <c r="H236" s="88"/>
      <c r="I236" s="88"/>
      <c r="J236" s="351"/>
    </row>
    <row r="237" spans="2:10" ht="15.5" x14ac:dyDescent="0.25">
      <c r="B237" s="317"/>
      <c r="C237" s="320" t="s">
        <v>230</v>
      </c>
      <c r="D237" s="361"/>
      <c r="E237" s="335" t="s">
        <v>272</v>
      </c>
      <c r="F237" s="321"/>
      <c r="G237" s="437" t="s">
        <v>867</v>
      </c>
      <c r="H237" s="438"/>
      <c r="I237" s="322"/>
      <c r="J237" s="343"/>
    </row>
    <row r="238" spans="2:10" ht="14" x14ac:dyDescent="0.25">
      <c r="B238" s="318"/>
      <c r="C238" s="287" t="s">
        <v>237</v>
      </c>
      <c r="D238" s="362"/>
      <c r="E238" s="336" t="s">
        <v>274</v>
      </c>
      <c r="F238" s="288"/>
      <c r="G238" s="439" t="s">
        <v>275</v>
      </c>
      <c r="H238" s="440"/>
      <c r="I238" s="284"/>
      <c r="J238" s="344"/>
    </row>
    <row r="239" spans="2:10" ht="14" x14ac:dyDescent="0.25">
      <c r="B239" s="169" t="s">
        <v>135</v>
      </c>
      <c r="C239" s="316"/>
      <c r="D239" s="283"/>
      <c r="E239" s="316"/>
      <c r="F239" s="283"/>
      <c r="G239" s="316"/>
      <c r="H239" s="283"/>
      <c r="I239" s="286" t="s">
        <v>242</v>
      </c>
      <c r="J239" s="345" t="s">
        <v>139</v>
      </c>
    </row>
    <row r="240" spans="2:10" ht="14" x14ac:dyDescent="0.25">
      <c r="B240" s="319"/>
      <c r="C240" s="324" t="s">
        <v>0</v>
      </c>
      <c r="D240" s="325" t="s">
        <v>1</v>
      </c>
      <c r="E240" s="324" t="s">
        <v>0</v>
      </c>
      <c r="F240" s="325" t="s">
        <v>1</v>
      </c>
      <c r="G240" s="324" t="s">
        <v>0</v>
      </c>
      <c r="H240" s="325" t="s">
        <v>1</v>
      </c>
      <c r="I240" s="326" t="s">
        <v>148</v>
      </c>
      <c r="J240" s="346" t="s">
        <v>149</v>
      </c>
    </row>
    <row r="241" spans="2:10" x14ac:dyDescent="0.25">
      <c r="B241" s="327">
        <v>1</v>
      </c>
      <c r="C241" s="348">
        <f>NTV1NB*AnnualFactor</f>
        <v>0</v>
      </c>
      <c r="D241" s="349">
        <f>NTV1B*AnnualFactor</f>
        <v>0</v>
      </c>
      <c r="E241" s="339">
        <f>ImpactedNB*C241</f>
        <v>0</v>
      </c>
      <c r="F241" s="434">
        <f>ImpactedB*D241</f>
        <v>0</v>
      </c>
      <c r="G241" s="515">
        <f>IF(OR(Intersect,FreeConn,HOVConn,HOVDrop,OffRamp,OnRamp),C241,E241)/1000000*(HwyFatCost*FatalRateNB+HwyInjCost*InjuryRateNB+HwyPDOCost*PDORateNB)</f>
        <v>0</v>
      </c>
      <c r="H241" s="498">
        <f>IF(OR(Intersect,FreeConn,HOVConn,HOVDrop,OffRamp,OnRamp),D241,F241)/1000000*(HwyFatCost*FatalRateB+HwyInjCost*InjuryRateB+HwyPDOCost*PDORateB)</f>
        <v>0</v>
      </c>
      <c r="I241" s="285">
        <f>G241-H241</f>
        <v>0</v>
      </c>
      <c r="J241" s="323">
        <f>$I241/(1+DiscRate)^($B241+Construct-1)</f>
        <v>0</v>
      </c>
    </row>
    <row r="242" spans="2:10" x14ac:dyDescent="0.25">
      <c r="B242" s="328">
        <v>20</v>
      </c>
      <c r="C242" s="353">
        <f>NTV20NB*AnnualFactor</f>
        <v>0</v>
      </c>
      <c r="D242" s="354">
        <f>NTV20B*AnnualFactor</f>
        <v>0</v>
      </c>
      <c r="E242" s="339">
        <f>ImpactedNB*C242</f>
        <v>0</v>
      </c>
      <c r="F242" s="435">
        <f>ImpactedB*D242</f>
        <v>0</v>
      </c>
      <c r="G242" s="520">
        <f>IF(OR(Intersect,FreeConn,HOVConn,HOVDrop,OffRamp,OnRamp),C242,E242)/1000000*(HwyFatCost*FatalRateNB+HwyInjCost*InjuryRateNB+HwyPDOCost*PDORateNB)</f>
        <v>0</v>
      </c>
      <c r="H242" s="499">
        <f>IF(OR(Intersect,FreeConn,HOVConn,HOVDrop,OffRamp,OnRamp),D242,F242)/1000000*(HwyFatCost*FatalRateB+HwyInjCost*InjuryRateB+HwyPDOCost*PDORateB)</f>
        <v>0</v>
      </c>
      <c r="I242" s="285">
        <f>G242-H242</f>
        <v>0</v>
      </c>
      <c r="J242" s="323">
        <f>$I242/(1+DiscRate)^($B242+Construct-1)</f>
        <v>0</v>
      </c>
    </row>
    <row r="243" spans="2:10" x14ac:dyDescent="0.25">
      <c r="B243" s="357"/>
      <c r="C243" s="355"/>
      <c r="D243" s="355"/>
      <c r="E243" s="356"/>
      <c r="F243" s="356"/>
      <c r="G243" s="356"/>
      <c r="H243" s="356"/>
      <c r="I243" s="356"/>
      <c r="J243" s="358"/>
    </row>
    <row r="244" spans="2:10" x14ac:dyDescent="0.25">
      <c r="B244" s="352">
        <v>2</v>
      </c>
      <c r="C244" s="368">
        <f>TREND(C241:C242,B241:B242,B244)</f>
        <v>0</v>
      </c>
      <c r="D244" s="369">
        <f>TREND(D241:D242,B241:B242,B244)</f>
        <v>0</v>
      </c>
      <c r="E244" s="339">
        <f t="shared" ref="E244:E261" si="58">ImpactedNB*C244</f>
        <v>0</v>
      </c>
      <c r="F244" s="434">
        <f t="shared" ref="F244:F261" si="59">ImpactedB*D244</f>
        <v>0</v>
      </c>
      <c r="G244" s="515">
        <f t="shared" ref="G244:G261" si="60">IF(OR(Intersect,FreeConn,HOVConn,HOVDrop,OffRamp,OnRamp),C244,E244)/1000000*(HwyFatCost*FatalRateNB+HwyInjCost*InjuryRateNB+HwyPDOCost*PDORateNB)</f>
        <v>0</v>
      </c>
      <c r="H244" s="498">
        <f t="shared" ref="H244:H261" si="61">IF(OR(Intersect,FreeConn,HOVConn,HOVDrop,OffRamp,OnRamp),D244,F244)/1000000*(HwyFatCost*FatalRateB+HwyInjCost*InjuryRateB+HwyPDOCost*PDORateB)</f>
        <v>0</v>
      </c>
      <c r="I244" s="285">
        <f t="shared" ref="I244:I261" si="62">G244-H244</f>
        <v>0</v>
      </c>
      <c r="J244" s="323">
        <f t="shared" ref="J244:J261" si="63">$I244/(1+DiscRate)^($B244+Construct-1)</f>
        <v>0</v>
      </c>
    </row>
    <row r="245" spans="2:10" x14ac:dyDescent="0.25">
      <c r="B245" s="327">
        <v>3</v>
      </c>
      <c r="C245" s="347">
        <f>TREND(C241:C242,B241:B242,B245)</f>
        <v>0</v>
      </c>
      <c r="D245" s="372">
        <f>TREND(D241:D242,B241:B242,B245)</f>
        <v>0</v>
      </c>
      <c r="E245" s="339">
        <f t="shared" si="58"/>
        <v>0</v>
      </c>
      <c r="F245" s="436">
        <f t="shared" si="59"/>
        <v>0</v>
      </c>
      <c r="G245" s="521">
        <f t="shared" si="60"/>
        <v>0</v>
      </c>
      <c r="H245" s="500">
        <f t="shared" si="61"/>
        <v>0</v>
      </c>
      <c r="I245" s="285">
        <f t="shared" si="62"/>
        <v>0</v>
      </c>
      <c r="J245" s="323">
        <f t="shared" si="63"/>
        <v>0</v>
      </c>
    </row>
    <row r="246" spans="2:10" x14ac:dyDescent="0.25">
      <c r="B246" s="327">
        <v>4</v>
      </c>
      <c r="C246" s="347">
        <f>TREND(C241:C242,B241:B242,B246)</f>
        <v>0</v>
      </c>
      <c r="D246" s="372">
        <f>TREND(D241:D242,B241:B242,B246)</f>
        <v>0</v>
      </c>
      <c r="E246" s="339">
        <f t="shared" si="58"/>
        <v>0</v>
      </c>
      <c r="F246" s="436">
        <f t="shared" si="59"/>
        <v>0</v>
      </c>
      <c r="G246" s="521">
        <f t="shared" si="60"/>
        <v>0</v>
      </c>
      <c r="H246" s="500">
        <f t="shared" si="61"/>
        <v>0</v>
      </c>
      <c r="I246" s="285">
        <f t="shared" si="62"/>
        <v>0</v>
      </c>
      <c r="J246" s="323">
        <f t="shared" si="63"/>
        <v>0</v>
      </c>
    </row>
    <row r="247" spans="2:10" x14ac:dyDescent="0.25">
      <c r="B247" s="327">
        <v>5</v>
      </c>
      <c r="C247" s="347">
        <f>TREND(C241:C242,B241:B242,B247)</f>
        <v>0</v>
      </c>
      <c r="D247" s="372">
        <f>TREND(D241:D242,B241:B242,B247)</f>
        <v>0</v>
      </c>
      <c r="E247" s="339">
        <f t="shared" si="58"/>
        <v>0</v>
      </c>
      <c r="F247" s="436">
        <f t="shared" si="59"/>
        <v>0</v>
      </c>
      <c r="G247" s="521">
        <f t="shared" si="60"/>
        <v>0</v>
      </c>
      <c r="H247" s="500">
        <f t="shared" si="61"/>
        <v>0</v>
      </c>
      <c r="I247" s="285">
        <f t="shared" si="62"/>
        <v>0</v>
      </c>
      <c r="J247" s="323">
        <f t="shared" si="63"/>
        <v>0</v>
      </c>
    </row>
    <row r="248" spans="2:10" x14ac:dyDescent="0.25">
      <c r="B248" s="327">
        <v>6</v>
      </c>
      <c r="C248" s="347">
        <f>TREND(C241:C242,B241:B242,B248)</f>
        <v>0</v>
      </c>
      <c r="D248" s="372">
        <f>TREND(D241:D242,B241:B242,B248)</f>
        <v>0</v>
      </c>
      <c r="E248" s="339">
        <f t="shared" si="58"/>
        <v>0</v>
      </c>
      <c r="F248" s="436">
        <f t="shared" si="59"/>
        <v>0</v>
      </c>
      <c r="G248" s="521">
        <f t="shared" si="60"/>
        <v>0</v>
      </c>
      <c r="H248" s="500">
        <f t="shared" si="61"/>
        <v>0</v>
      </c>
      <c r="I248" s="285">
        <f t="shared" si="62"/>
        <v>0</v>
      </c>
      <c r="J248" s="323">
        <f t="shared" si="63"/>
        <v>0</v>
      </c>
    </row>
    <row r="249" spans="2:10" x14ac:dyDescent="0.25">
      <c r="B249" s="327">
        <v>7</v>
      </c>
      <c r="C249" s="347">
        <f>TREND(C241:C242,B241:B242,B249)</f>
        <v>0</v>
      </c>
      <c r="D249" s="372">
        <f>TREND(D241:D242,B241:B242,B249)</f>
        <v>0</v>
      </c>
      <c r="E249" s="339">
        <f t="shared" si="58"/>
        <v>0</v>
      </c>
      <c r="F249" s="436">
        <f t="shared" si="59"/>
        <v>0</v>
      </c>
      <c r="G249" s="521">
        <f t="shared" si="60"/>
        <v>0</v>
      </c>
      <c r="H249" s="500">
        <f t="shared" si="61"/>
        <v>0</v>
      </c>
      <c r="I249" s="285">
        <f t="shared" si="62"/>
        <v>0</v>
      </c>
      <c r="J249" s="323">
        <f t="shared" si="63"/>
        <v>0</v>
      </c>
    </row>
    <row r="250" spans="2:10" x14ac:dyDescent="0.25">
      <c r="B250" s="327">
        <v>8</v>
      </c>
      <c r="C250" s="347">
        <f>TREND(C241:C242,B241:B242,B250)</f>
        <v>0</v>
      </c>
      <c r="D250" s="372">
        <f>TREND(D241:D242,B241:B242,B250)</f>
        <v>0</v>
      </c>
      <c r="E250" s="339">
        <f t="shared" si="58"/>
        <v>0</v>
      </c>
      <c r="F250" s="436">
        <f t="shared" si="59"/>
        <v>0</v>
      </c>
      <c r="G250" s="521">
        <f t="shared" si="60"/>
        <v>0</v>
      </c>
      <c r="H250" s="500">
        <f t="shared" si="61"/>
        <v>0</v>
      </c>
      <c r="I250" s="285">
        <f t="shared" si="62"/>
        <v>0</v>
      </c>
      <c r="J250" s="323">
        <f t="shared" si="63"/>
        <v>0</v>
      </c>
    </row>
    <row r="251" spans="2:10" x14ac:dyDescent="0.25">
      <c r="B251" s="327">
        <v>9</v>
      </c>
      <c r="C251" s="347">
        <f>TREND(C241:C242,B241:B242,B251)</f>
        <v>0</v>
      </c>
      <c r="D251" s="372">
        <f>TREND(D241:D242,B241:B242,B251)</f>
        <v>0</v>
      </c>
      <c r="E251" s="339">
        <f t="shared" si="58"/>
        <v>0</v>
      </c>
      <c r="F251" s="436">
        <f t="shared" si="59"/>
        <v>0</v>
      </c>
      <c r="G251" s="521">
        <f t="shared" si="60"/>
        <v>0</v>
      </c>
      <c r="H251" s="500">
        <f t="shared" si="61"/>
        <v>0</v>
      </c>
      <c r="I251" s="285">
        <f t="shared" si="62"/>
        <v>0</v>
      </c>
      <c r="J251" s="323">
        <f t="shared" si="63"/>
        <v>0</v>
      </c>
    </row>
    <row r="252" spans="2:10" x14ac:dyDescent="0.25">
      <c r="B252" s="327">
        <v>10</v>
      </c>
      <c r="C252" s="347">
        <f>TREND(C241:C242,B241:B242,B252)</f>
        <v>0</v>
      </c>
      <c r="D252" s="372">
        <f>TREND(D241:D242,B241:B242,B252)</f>
        <v>0</v>
      </c>
      <c r="E252" s="339">
        <f t="shared" si="58"/>
        <v>0</v>
      </c>
      <c r="F252" s="436">
        <f t="shared" si="59"/>
        <v>0</v>
      </c>
      <c r="G252" s="521">
        <f t="shared" si="60"/>
        <v>0</v>
      </c>
      <c r="H252" s="500">
        <f t="shared" si="61"/>
        <v>0</v>
      </c>
      <c r="I252" s="285">
        <f t="shared" si="62"/>
        <v>0</v>
      </c>
      <c r="J252" s="323">
        <f t="shared" si="63"/>
        <v>0</v>
      </c>
    </row>
    <row r="253" spans="2:10" x14ac:dyDescent="0.25">
      <c r="B253" s="327">
        <v>11</v>
      </c>
      <c r="C253" s="347">
        <f>TREND(C241:C242,B241:B242,B253)</f>
        <v>0</v>
      </c>
      <c r="D253" s="372">
        <f>TREND(D241:D242,B241:B242,B253)</f>
        <v>0</v>
      </c>
      <c r="E253" s="339">
        <f t="shared" si="58"/>
        <v>0</v>
      </c>
      <c r="F253" s="436">
        <f t="shared" si="59"/>
        <v>0</v>
      </c>
      <c r="G253" s="521">
        <f t="shared" si="60"/>
        <v>0</v>
      </c>
      <c r="H253" s="500">
        <f t="shared" si="61"/>
        <v>0</v>
      </c>
      <c r="I253" s="285">
        <f t="shared" si="62"/>
        <v>0</v>
      </c>
      <c r="J253" s="323">
        <f t="shared" si="63"/>
        <v>0</v>
      </c>
    </row>
    <row r="254" spans="2:10" x14ac:dyDescent="0.25">
      <c r="B254" s="327">
        <v>12</v>
      </c>
      <c r="C254" s="347">
        <f>TREND(C241:C242,B241:B242,B254)</f>
        <v>0</v>
      </c>
      <c r="D254" s="372">
        <f>TREND(D241:D242,B241:B242,B254)</f>
        <v>0</v>
      </c>
      <c r="E254" s="339">
        <f t="shared" si="58"/>
        <v>0</v>
      </c>
      <c r="F254" s="436">
        <f t="shared" si="59"/>
        <v>0</v>
      </c>
      <c r="G254" s="521">
        <f t="shared" si="60"/>
        <v>0</v>
      </c>
      <c r="H254" s="500">
        <f t="shared" si="61"/>
        <v>0</v>
      </c>
      <c r="I254" s="285">
        <f t="shared" si="62"/>
        <v>0</v>
      </c>
      <c r="J254" s="323">
        <f t="shared" si="63"/>
        <v>0</v>
      </c>
    </row>
    <row r="255" spans="2:10" x14ac:dyDescent="0.25">
      <c r="B255" s="327">
        <v>13</v>
      </c>
      <c r="C255" s="347">
        <f>TREND(C241:C242,B241:B242,B255)</f>
        <v>0</v>
      </c>
      <c r="D255" s="372">
        <f>TREND(D241:D242,B241:B242,B255)</f>
        <v>0</v>
      </c>
      <c r="E255" s="339">
        <f t="shared" si="58"/>
        <v>0</v>
      </c>
      <c r="F255" s="436">
        <f t="shared" si="59"/>
        <v>0</v>
      </c>
      <c r="G255" s="521">
        <f t="shared" si="60"/>
        <v>0</v>
      </c>
      <c r="H255" s="500">
        <f t="shared" si="61"/>
        <v>0</v>
      </c>
      <c r="I255" s="285">
        <f t="shared" si="62"/>
        <v>0</v>
      </c>
      <c r="J255" s="323">
        <f t="shared" si="63"/>
        <v>0</v>
      </c>
    </row>
    <row r="256" spans="2:10" x14ac:dyDescent="0.25">
      <c r="B256" s="327">
        <v>14</v>
      </c>
      <c r="C256" s="347">
        <f>TREND(C241:C242,B241:B242,B256)</f>
        <v>0</v>
      </c>
      <c r="D256" s="372">
        <f>TREND(D241:D242,B241:B242,B256)</f>
        <v>0</v>
      </c>
      <c r="E256" s="339">
        <f t="shared" si="58"/>
        <v>0</v>
      </c>
      <c r="F256" s="436">
        <f t="shared" si="59"/>
        <v>0</v>
      </c>
      <c r="G256" s="521">
        <f t="shared" si="60"/>
        <v>0</v>
      </c>
      <c r="H256" s="500">
        <f t="shared" si="61"/>
        <v>0</v>
      </c>
      <c r="I256" s="285">
        <f t="shared" si="62"/>
        <v>0</v>
      </c>
      <c r="J256" s="323">
        <f t="shared" si="63"/>
        <v>0</v>
      </c>
    </row>
    <row r="257" spans="2:10" x14ac:dyDescent="0.25">
      <c r="B257" s="327">
        <v>15</v>
      </c>
      <c r="C257" s="347">
        <f>TREND(C241:C242,B241:B242,B257)</f>
        <v>0</v>
      </c>
      <c r="D257" s="372">
        <f>TREND(D241:D242,B241:B242,B257)</f>
        <v>0</v>
      </c>
      <c r="E257" s="339">
        <f t="shared" si="58"/>
        <v>0</v>
      </c>
      <c r="F257" s="436">
        <f t="shared" si="59"/>
        <v>0</v>
      </c>
      <c r="G257" s="521">
        <f t="shared" si="60"/>
        <v>0</v>
      </c>
      <c r="H257" s="500">
        <f t="shared" si="61"/>
        <v>0</v>
      </c>
      <c r="I257" s="285">
        <f t="shared" si="62"/>
        <v>0</v>
      </c>
      <c r="J257" s="323">
        <f t="shared" si="63"/>
        <v>0</v>
      </c>
    </row>
    <row r="258" spans="2:10" x14ac:dyDescent="0.25">
      <c r="B258" s="327">
        <v>16</v>
      </c>
      <c r="C258" s="347">
        <f>TREND(C241:C242,B241:B242,B258)</f>
        <v>0</v>
      </c>
      <c r="D258" s="372">
        <f>TREND(D241:D242,B241:B242,B258)</f>
        <v>0</v>
      </c>
      <c r="E258" s="339">
        <f t="shared" si="58"/>
        <v>0</v>
      </c>
      <c r="F258" s="436">
        <f t="shared" si="59"/>
        <v>0</v>
      </c>
      <c r="G258" s="521">
        <f t="shared" si="60"/>
        <v>0</v>
      </c>
      <c r="H258" s="500">
        <f t="shared" si="61"/>
        <v>0</v>
      </c>
      <c r="I258" s="285">
        <f t="shared" si="62"/>
        <v>0</v>
      </c>
      <c r="J258" s="323">
        <f t="shared" si="63"/>
        <v>0</v>
      </c>
    </row>
    <row r="259" spans="2:10" x14ac:dyDescent="0.25">
      <c r="B259" s="327">
        <v>17</v>
      </c>
      <c r="C259" s="347">
        <f>TREND(C241:C242,B241:B242,B259)</f>
        <v>0</v>
      </c>
      <c r="D259" s="372">
        <f>TREND(D241:D242,B241:B242,B259)</f>
        <v>0</v>
      </c>
      <c r="E259" s="339">
        <f t="shared" si="58"/>
        <v>0</v>
      </c>
      <c r="F259" s="436">
        <f t="shared" si="59"/>
        <v>0</v>
      </c>
      <c r="G259" s="521">
        <f t="shared" si="60"/>
        <v>0</v>
      </c>
      <c r="H259" s="500">
        <f t="shared" si="61"/>
        <v>0</v>
      </c>
      <c r="I259" s="285">
        <f t="shared" si="62"/>
        <v>0</v>
      </c>
      <c r="J259" s="323">
        <f t="shared" si="63"/>
        <v>0</v>
      </c>
    </row>
    <row r="260" spans="2:10" x14ac:dyDescent="0.25">
      <c r="B260" s="327">
        <v>18</v>
      </c>
      <c r="C260" s="347">
        <f>TREND(C241:C242,B241:B242,B260)</f>
        <v>0</v>
      </c>
      <c r="D260" s="372">
        <f>TREND(D241:D242,B241:B242,B260)</f>
        <v>0</v>
      </c>
      <c r="E260" s="339">
        <f t="shared" si="58"/>
        <v>0</v>
      </c>
      <c r="F260" s="436">
        <f t="shared" si="59"/>
        <v>0</v>
      </c>
      <c r="G260" s="521">
        <f t="shared" si="60"/>
        <v>0</v>
      </c>
      <c r="H260" s="500">
        <f t="shared" si="61"/>
        <v>0</v>
      </c>
      <c r="I260" s="285">
        <f t="shared" si="62"/>
        <v>0</v>
      </c>
      <c r="J260" s="323">
        <f t="shared" si="63"/>
        <v>0</v>
      </c>
    </row>
    <row r="261" spans="2:10" x14ac:dyDescent="0.25">
      <c r="B261" s="359">
        <v>19</v>
      </c>
      <c r="C261" s="360">
        <f>TREND(C241:C242,B241:B242,B261)</f>
        <v>0</v>
      </c>
      <c r="D261" s="375">
        <f>TREND(D241:D242,B241:B242,B261)</f>
        <v>0</v>
      </c>
      <c r="E261" s="339">
        <f t="shared" si="58"/>
        <v>0</v>
      </c>
      <c r="F261" s="435">
        <f t="shared" si="59"/>
        <v>0</v>
      </c>
      <c r="G261" s="520">
        <f t="shared" si="60"/>
        <v>0</v>
      </c>
      <c r="H261" s="499">
        <f t="shared" si="61"/>
        <v>0</v>
      </c>
      <c r="I261" s="285">
        <f t="shared" si="62"/>
        <v>0</v>
      </c>
      <c r="J261" s="323">
        <f t="shared" si="63"/>
        <v>0</v>
      </c>
    </row>
    <row r="262" spans="2:10" x14ac:dyDescent="0.25">
      <c r="B262" s="357"/>
      <c r="C262" s="355"/>
      <c r="D262" s="355"/>
      <c r="E262" s="356"/>
      <c r="F262" s="356"/>
      <c r="G262" s="356"/>
      <c r="H262" s="356"/>
      <c r="I262" s="356"/>
      <c r="J262" s="358"/>
    </row>
    <row r="263" spans="2:10" ht="13" x14ac:dyDescent="0.25">
      <c r="B263" s="329" t="s">
        <v>172</v>
      </c>
      <c r="C263" s="330"/>
      <c r="D263" s="331"/>
      <c r="E263" s="331"/>
      <c r="F263" s="331"/>
      <c r="G263" s="331"/>
      <c r="H263" s="332"/>
      <c r="I263" s="341"/>
      <c r="J263" s="342">
        <f>SUM(J241:J261)</f>
        <v>0</v>
      </c>
    </row>
    <row r="267" spans="2:10" x14ac:dyDescent="0.25">
      <c r="G267" s="195" t="s">
        <v>176</v>
      </c>
      <c r="H267" s="193"/>
      <c r="I267" s="194"/>
      <c r="J267" s="196"/>
    </row>
    <row r="268" spans="2:10" x14ac:dyDescent="0.25">
      <c r="G268" s="109"/>
      <c r="H268" s="695" t="s">
        <v>256</v>
      </c>
      <c r="I268" s="695"/>
      <c r="J268" s="696"/>
    </row>
  </sheetData>
  <phoneticPr fontId="0" type="noConversion"/>
  <printOptions horizontalCentered="1"/>
  <pageMargins left="0.25" right="0.25" top="0.75" bottom="0.75" header="0.5" footer="0.5"/>
  <pageSetup scale="77" orientation="landscape" r:id="rId1"/>
  <headerFooter alignWithMargins="0">
    <oddFooter>&amp;L&amp;8Transportation Economics
Caltrans DOTP&amp;C&amp;8Cal-B/C &amp;A&amp;R&amp;8Page &amp;P
&amp;D</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F300"/>
  <sheetViews>
    <sheetView showGridLines="0" zoomScale="65" zoomScaleNormal="65" workbookViewId="0"/>
  </sheetViews>
  <sheetFormatPr defaultColWidth="9.1796875" defaultRowHeight="12.5" x14ac:dyDescent="0.25"/>
  <cols>
    <col min="1" max="1" width="9.1796875" style="1"/>
    <col min="2" max="2" width="7.7265625" style="111" customWidth="1"/>
    <col min="3" max="3" width="14.7265625" style="111" customWidth="1"/>
    <col min="4" max="6" width="14.7265625" style="280" customWidth="1"/>
    <col min="7" max="7" width="14.7265625" style="1" customWidth="1"/>
    <col min="8" max="13" width="14.7265625" style="281" customWidth="1"/>
    <col min="14" max="14" width="15.7265625" style="281" customWidth="1"/>
    <col min="15" max="15" width="2.54296875" style="281" customWidth="1"/>
    <col min="16" max="28" width="14.453125" style="281" customWidth="1"/>
    <col min="29" max="29" width="9.1796875" style="1"/>
    <col min="30" max="30" width="7.7265625" style="111" customWidth="1"/>
    <col min="31" max="31" width="14.7265625" style="111" customWidth="1"/>
    <col min="32" max="34" width="14.7265625" style="280" customWidth="1"/>
    <col min="35" max="37" width="14.7265625" style="281" customWidth="1"/>
    <col min="38" max="38" width="15.7265625" style="281" customWidth="1"/>
    <col min="39" max="39" width="2.453125" style="281" customWidth="1"/>
    <col min="40" max="40" width="14.54296875" style="281" customWidth="1"/>
    <col min="41" max="52" width="14.453125" style="281" customWidth="1"/>
    <col min="53" max="53" width="9.1796875" style="1"/>
    <col min="54" max="54" width="7.54296875" style="1" customWidth="1"/>
    <col min="55" max="63" width="14.453125" style="1" customWidth="1"/>
    <col min="64" max="65" width="14.54296875" style="1" customWidth="1"/>
    <col min="66" max="66" width="15.7265625" style="1" customWidth="1"/>
    <col min="67" max="67" width="14.54296875" style="1" customWidth="1"/>
    <col min="68" max="68" width="16" style="1" customWidth="1"/>
    <col min="69" max="69" width="2.453125" style="36" customWidth="1"/>
    <col min="70" max="70" width="17" style="1" customWidth="1"/>
    <col min="71" max="71" width="9.1796875" style="1"/>
    <col min="72" max="84" width="14.453125" style="1" customWidth="1"/>
    <col min="85" max="16384" width="9.1796875" style="1"/>
  </cols>
  <sheetData>
    <row r="1" spans="1:84" ht="20" x14ac:dyDescent="0.4">
      <c r="B1" s="310" t="s">
        <v>295</v>
      </c>
      <c r="M1" s="1"/>
      <c r="N1" s="447"/>
      <c r="O1" s="447"/>
      <c r="P1" s="447"/>
      <c r="Q1" s="447"/>
      <c r="R1" s="447"/>
      <c r="S1" s="447"/>
      <c r="T1" s="447"/>
      <c r="U1" s="447"/>
      <c r="V1" s="447"/>
      <c r="W1" s="447"/>
      <c r="X1" s="447"/>
      <c r="Y1" s="447"/>
      <c r="Z1" s="447"/>
      <c r="AA1" s="447"/>
      <c r="AB1" s="447"/>
      <c r="AC1" s="448"/>
      <c r="AD1" s="449"/>
      <c r="AE1" s="449"/>
      <c r="AF1" s="449"/>
      <c r="AG1" s="450"/>
      <c r="AH1" s="450"/>
      <c r="AI1" s="450"/>
      <c r="AJ1" s="450"/>
      <c r="AK1" s="1"/>
      <c r="AL1" s="1"/>
      <c r="AM1" s="1"/>
      <c r="AN1" s="1"/>
      <c r="AO1" s="1"/>
      <c r="AP1" s="1"/>
      <c r="AQ1" s="1"/>
      <c r="AR1" s="1"/>
      <c r="AS1" s="1"/>
      <c r="AT1" s="1"/>
      <c r="AU1" s="1"/>
      <c r="AV1" s="1"/>
      <c r="AW1" s="1"/>
      <c r="AX1" s="1"/>
      <c r="AY1" s="1"/>
      <c r="AZ1" s="1"/>
      <c r="BO1" s="36"/>
      <c r="BQ1" s="1"/>
    </row>
    <row r="2" spans="1:84" x14ac:dyDescent="0.25">
      <c r="M2" s="1"/>
      <c r="N2" s="448"/>
      <c r="O2" s="448"/>
      <c r="P2" s="448"/>
      <c r="Q2" s="448"/>
      <c r="R2" s="448"/>
      <c r="S2" s="448"/>
      <c r="T2" s="448"/>
      <c r="U2" s="448"/>
      <c r="V2" s="448"/>
      <c r="W2" s="448"/>
      <c r="X2" s="448"/>
      <c r="Y2" s="448"/>
      <c r="Z2" s="448"/>
      <c r="AA2" s="448"/>
      <c r="AB2" s="448"/>
      <c r="AC2" s="448"/>
      <c r="AD2" s="449"/>
      <c r="AE2" s="449"/>
      <c r="AF2" s="449"/>
      <c r="AG2" s="450"/>
      <c r="AH2" s="450"/>
      <c r="AI2" s="450"/>
      <c r="AJ2" s="450"/>
      <c r="AK2" s="1"/>
      <c r="AL2" s="1"/>
      <c r="AM2" s="1"/>
      <c r="AN2" s="1"/>
      <c r="AO2" s="1"/>
      <c r="AP2" s="1"/>
      <c r="AQ2" s="1"/>
      <c r="AR2" s="1"/>
      <c r="AS2" s="1"/>
      <c r="AT2" s="1"/>
      <c r="AU2" s="1"/>
      <c r="AV2" s="1"/>
      <c r="AW2" s="1"/>
      <c r="AX2" s="1"/>
      <c r="AY2" s="1"/>
      <c r="AZ2" s="1"/>
      <c r="BO2" s="36"/>
      <c r="BQ2" s="1"/>
    </row>
    <row r="3" spans="1:84" ht="17.5" x14ac:dyDescent="0.25">
      <c r="B3" s="289" t="s">
        <v>296</v>
      </c>
      <c r="C3" s="1"/>
      <c r="D3" s="271"/>
      <c r="E3" s="271"/>
      <c r="F3" s="271"/>
      <c r="G3" s="272"/>
      <c r="H3" s="272"/>
      <c r="I3" s="272"/>
      <c r="J3" s="271"/>
      <c r="K3" s="271"/>
      <c r="L3" s="273"/>
      <c r="M3" s="1"/>
      <c r="N3" s="289"/>
      <c r="O3" s="289"/>
      <c r="P3" s="289"/>
      <c r="Q3" s="289"/>
      <c r="R3" s="289"/>
      <c r="S3" s="289"/>
      <c r="T3" s="289"/>
      <c r="U3" s="289"/>
      <c r="V3" s="289"/>
      <c r="W3" s="289"/>
      <c r="X3" s="289"/>
      <c r="Y3" s="289"/>
      <c r="Z3" s="289"/>
      <c r="AA3" s="289"/>
      <c r="AB3" s="289"/>
      <c r="AC3" s="36"/>
      <c r="AD3" s="271"/>
      <c r="AE3" s="271"/>
      <c r="AF3" s="271"/>
      <c r="AG3" s="272"/>
      <c r="AH3" s="271"/>
      <c r="AI3" s="271"/>
      <c r="AJ3" s="271"/>
      <c r="AK3" s="1"/>
      <c r="AL3" s="1"/>
      <c r="AM3" s="1"/>
      <c r="AN3" s="1"/>
      <c r="AO3" s="1"/>
      <c r="AP3" s="1"/>
      <c r="AQ3" s="1"/>
      <c r="AR3" s="1"/>
      <c r="AS3" s="1"/>
      <c r="AT3" s="1"/>
      <c r="AU3" s="1"/>
      <c r="AV3" s="1"/>
      <c r="AW3" s="1"/>
      <c r="AX3" s="1"/>
      <c r="AY3" s="1"/>
      <c r="AZ3" s="1"/>
      <c r="BO3" s="36"/>
      <c r="BQ3" s="1"/>
    </row>
    <row r="4" spans="1:84" ht="17.5" x14ac:dyDescent="0.25">
      <c r="B4" s="289"/>
      <c r="C4" s="1"/>
      <c r="D4" s="271"/>
      <c r="E4" s="271"/>
      <c r="F4" s="271"/>
      <c r="G4" s="272"/>
      <c r="H4" s="272"/>
      <c r="I4" s="272"/>
      <c r="J4" s="271"/>
      <c r="K4" s="271"/>
      <c r="L4" s="273"/>
      <c r="M4" s="1"/>
      <c r="N4" s="289"/>
      <c r="O4" s="289"/>
      <c r="P4" s="289"/>
      <c r="Q4" s="289"/>
      <c r="R4" s="289"/>
      <c r="S4" s="289"/>
      <c r="T4" s="289"/>
      <c r="U4" s="289"/>
      <c r="V4" s="289"/>
      <c r="W4" s="289"/>
      <c r="X4" s="289"/>
      <c r="Y4" s="289"/>
      <c r="Z4" s="289"/>
      <c r="AA4" s="289"/>
      <c r="AB4" s="289"/>
      <c r="AC4" s="36"/>
      <c r="AD4" s="271"/>
      <c r="AE4" s="271"/>
      <c r="AF4" s="271"/>
      <c r="AG4" s="272"/>
      <c r="AH4" s="271"/>
      <c r="AI4" s="271"/>
      <c r="AJ4" s="271"/>
      <c r="AK4" s="1"/>
      <c r="AL4" s="1"/>
      <c r="AM4" s="1"/>
      <c r="AN4" s="1"/>
      <c r="AO4" s="1"/>
      <c r="AP4" s="1"/>
      <c r="AQ4" s="1"/>
      <c r="AR4" s="1"/>
      <c r="AS4" s="1"/>
      <c r="AT4" s="1"/>
      <c r="AU4" s="1"/>
      <c r="AV4" s="1"/>
      <c r="AW4" s="1"/>
      <c r="AX4" s="1"/>
      <c r="AY4" s="1"/>
      <c r="AZ4" s="1"/>
      <c r="BO4" s="36"/>
      <c r="BQ4" s="1"/>
    </row>
    <row r="5" spans="1:84" ht="17.5" x14ac:dyDescent="0.25">
      <c r="B5" s="308" t="s">
        <v>216</v>
      </c>
      <c r="C5" s="55"/>
      <c r="D5" s="128"/>
      <c r="E5" s="128"/>
      <c r="F5" s="128"/>
      <c r="G5" s="298"/>
      <c r="H5" s="298"/>
      <c r="I5" s="298"/>
      <c r="J5" s="128"/>
      <c r="K5" s="128"/>
      <c r="L5" s="129"/>
      <c r="M5" s="1"/>
      <c r="N5" s="451"/>
      <c r="O5" s="451"/>
      <c r="P5" s="451"/>
      <c r="Q5" s="451"/>
      <c r="R5" s="451"/>
      <c r="S5" s="451"/>
      <c r="T5" s="451"/>
      <c r="U5" s="451"/>
      <c r="V5" s="451"/>
      <c r="W5" s="451"/>
      <c r="X5" s="451"/>
      <c r="Y5" s="451"/>
      <c r="Z5" s="451"/>
      <c r="AA5" s="451"/>
      <c r="AB5" s="451"/>
      <c r="AC5" s="36"/>
      <c r="AD5" s="271"/>
      <c r="AE5" s="271"/>
      <c r="AF5" s="271"/>
      <c r="AG5" s="272"/>
      <c r="AH5" s="271"/>
      <c r="AI5" s="271"/>
      <c r="AJ5" s="271"/>
      <c r="AK5" s="1"/>
      <c r="AL5" s="1"/>
      <c r="AM5" s="1"/>
      <c r="AN5" s="1"/>
      <c r="AO5" s="1"/>
      <c r="AP5" s="1"/>
      <c r="AQ5" s="1"/>
      <c r="AR5" s="1"/>
      <c r="AS5" s="1"/>
      <c r="AT5" s="1"/>
      <c r="AU5" s="1"/>
      <c r="AV5" s="1"/>
      <c r="AW5" s="1"/>
      <c r="AX5" s="1"/>
      <c r="AY5" s="1"/>
      <c r="AZ5" s="1"/>
      <c r="BO5" s="36"/>
      <c r="BQ5" s="1"/>
    </row>
    <row r="6" spans="1:84" ht="13" x14ac:dyDescent="0.25">
      <c r="B6" s="299"/>
      <c r="C6" s="33"/>
      <c r="D6" s="290"/>
      <c r="E6" s="290"/>
      <c r="F6" s="290"/>
      <c r="G6" s="291"/>
      <c r="H6" s="291"/>
      <c r="I6" s="291"/>
      <c r="J6" s="290"/>
      <c r="K6" s="290"/>
      <c r="L6" s="300"/>
      <c r="M6" s="1"/>
      <c r="N6" s="452"/>
      <c r="O6" s="452"/>
      <c r="P6" s="452"/>
      <c r="Q6" s="452"/>
      <c r="R6" s="452"/>
      <c r="S6" s="452"/>
      <c r="T6" s="452"/>
      <c r="U6" s="452"/>
      <c r="V6" s="452"/>
      <c r="W6" s="452"/>
      <c r="X6" s="452"/>
      <c r="Y6" s="452"/>
      <c r="Z6" s="452"/>
      <c r="AA6" s="452"/>
      <c r="AB6" s="452"/>
      <c r="AC6" s="36"/>
      <c r="AD6" s="271"/>
      <c r="AE6" s="271"/>
      <c r="AF6" s="271"/>
      <c r="AG6" s="272"/>
      <c r="AH6" s="271"/>
      <c r="AI6" s="271"/>
      <c r="AJ6" s="271"/>
      <c r="AK6" s="1"/>
      <c r="AL6" s="1"/>
      <c r="AM6" s="1"/>
      <c r="AN6" s="1"/>
      <c r="AO6" s="1"/>
      <c r="AP6" s="1"/>
      <c r="AQ6" s="1"/>
      <c r="AR6" s="1"/>
      <c r="AS6" s="1"/>
      <c r="AT6" s="1"/>
      <c r="AU6" s="1"/>
      <c r="AV6" s="1"/>
      <c r="AW6" s="1"/>
      <c r="AX6" s="1"/>
      <c r="AY6" s="1"/>
      <c r="AZ6" s="1"/>
      <c r="BO6" s="36"/>
      <c r="BQ6" s="1"/>
    </row>
    <row r="7" spans="1:84" x14ac:dyDescent="0.25">
      <c r="B7" s="292" t="s">
        <v>40</v>
      </c>
      <c r="C7" s="293"/>
      <c r="D7" s="294"/>
      <c r="E7" s="294"/>
      <c r="F7" s="295"/>
      <c r="G7" s="33"/>
      <c r="H7" s="443" t="s">
        <v>297</v>
      </c>
      <c r="I7" s="293"/>
      <c r="J7" s="293"/>
      <c r="K7" s="444"/>
      <c r="L7" s="300"/>
      <c r="M7" s="1"/>
      <c r="N7" s="453"/>
      <c r="O7" s="453"/>
      <c r="P7" s="453"/>
      <c r="Q7" s="453"/>
      <c r="R7" s="453"/>
      <c r="S7" s="453"/>
      <c r="T7" s="453"/>
      <c r="U7" s="453"/>
      <c r="V7" s="453"/>
      <c r="W7" s="453"/>
      <c r="X7" s="453"/>
      <c r="Y7" s="453"/>
      <c r="Z7" s="453"/>
      <c r="AA7" s="453"/>
      <c r="AB7" s="453"/>
      <c r="AC7" s="271"/>
      <c r="AD7" s="272"/>
      <c r="AE7" s="272"/>
      <c r="AF7" s="36"/>
      <c r="AG7" s="271"/>
      <c r="AH7" s="271"/>
      <c r="AI7" s="450"/>
      <c r="AJ7" s="271"/>
      <c r="AK7" s="1"/>
      <c r="AL7" s="1"/>
      <c r="AM7" s="1"/>
      <c r="AN7" s="1"/>
      <c r="AO7" s="1"/>
      <c r="AP7" s="1"/>
      <c r="AQ7" s="1"/>
      <c r="AR7" s="1"/>
      <c r="AS7" s="1"/>
      <c r="AT7" s="1"/>
      <c r="AU7" s="1"/>
      <c r="AV7" s="1"/>
      <c r="AW7" s="1"/>
      <c r="AX7" s="1"/>
      <c r="AY7" s="1"/>
      <c r="AZ7" s="1"/>
      <c r="BO7" s="36"/>
      <c r="BQ7" s="1"/>
    </row>
    <row r="8" spans="1:84" x14ac:dyDescent="0.25">
      <c r="B8" s="301" t="s">
        <v>261</v>
      </c>
      <c r="C8" s="33"/>
      <c r="D8" s="689" t="s">
        <v>262</v>
      </c>
      <c r="E8" s="689" t="s">
        <v>263</v>
      </c>
      <c r="F8" s="290"/>
      <c r="G8" s="290"/>
      <c r="H8" s="302"/>
      <c r="I8" s="303"/>
      <c r="J8" s="446"/>
      <c r="K8" s="290"/>
      <c r="L8" s="300"/>
      <c r="M8" s="1"/>
      <c r="N8" s="454"/>
      <c r="O8" s="454"/>
      <c r="P8" s="454"/>
      <c r="Q8" s="454"/>
      <c r="R8" s="454"/>
      <c r="S8" s="454"/>
      <c r="T8" s="454"/>
      <c r="U8" s="454"/>
      <c r="V8" s="454"/>
      <c r="W8" s="454"/>
      <c r="X8" s="454"/>
      <c r="Y8" s="454"/>
      <c r="Z8" s="454"/>
      <c r="AA8" s="454"/>
      <c r="AB8" s="454"/>
      <c r="AC8" s="36"/>
      <c r="AD8" s="271"/>
      <c r="AE8" s="271"/>
      <c r="AF8" s="271"/>
      <c r="AG8" s="456"/>
      <c r="AH8" s="271"/>
      <c r="AI8" s="271"/>
      <c r="AJ8" s="271"/>
      <c r="AK8" s="1"/>
      <c r="AL8" s="1"/>
      <c r="AM8" s="1"/>
      <c r="AN8" s="1"/>
      <c r="AO8" s="1"/>
      <c r="AP8" s="1"/>
      <c r="AQ8" s="1"/>
      <c r="AR8" s="1"/>
      <c r="AS8" s="1"/>
      <c r="AT8" s="1"/>
      <c r="AU8" s="1"/>
      <c r="AV8" s="1"/>
      <c r="AW8" s="1"/>
      <c r="AX8" s="1"/>
      <c r="AY8" s="1"/>
      <c r="AZ8" s="1"/>
      <c r="BO8" s="36"/>
      <c r="BQ8" s="1"/>
    </row>
    <row r="9" spans="1:84" x14ac:dyDescent="0.25">
      <c r="B9" s="11"/>
      <c r="C9" s="290"/>
      <c r="D9" s="290"/>
      <c r="E9" s="290"/>
      <c r="F9" s="290"/>
      <c r="G9" s="290"/>
      <c r="H9" s="33"/>
      <c r="I9" s="33"/>
      <c r="J9" s="33"/>
      <c r="K9" s="290"/>
      <c r="L9" s="300"/>
      <c r="M9" s="1"/>
      <c r="N9" s="271"/>
      <c r="O9" s="271"/>
      <c r="P9" s="271"/>
      <c r="Q9" s="271"/>
      <c r="R9" s="271"/>
      <c r="S9" s="271"/>
      <c r="T9" s="271"/>
      <c r="U9" s="271"/>
      <c r="V9" s="271"/>
      <c r="W9" s="271"/>
      <c r="X9" s="271"/>
      <c r="Y9" s="271"/>
      <c r="Z9" s="271"/>
      <c r="AA9" s="271"/>
      <c r="AB9" s="271"/>
      <c r="AC9" s="271"/>
      <c r="AD9" s="271"/>
      <c r="AE9" s="271"/>
      <c r="AF9" s="271"/>
      <c r="AG9" s="36"/>
      <c r="AH9" s="36"/>
      <c r="AI9" s="271"/>
      <c r="AJ9" s="271"/>
      <c r="AK9" s="1"/>
      <c r="AL9" s="1"/>
      <c r="AM9" s="1"/>
      <c r="AN9" s="1"/>
      <c r="AO9" s="1"/>
      <c r="AP9" s="1"/>
      <c r="AQ9" s="1"/>
      <c r="AR9" s="1"/>
      <c r="AS9" s="1"/>
      <c r="AT9" s="1"/>
      <c r="AU9" s="1"/>
      <c r="AV9" s="1"/>
      <c r="AW9" s="1"/>
      <c r="AX9" s="1"/>
      <c r="AY9" s="1"/>
      <c r="AZ9" s="1"/>
      <c r="BO9" s="36"/>
      <c r="BQ9" s="1"/>
    </row>
    <row r="10" spans="1:84" x14ac:dyDescent="0.25">
      <c r="B10" s="292" t="s">
        <v>300</v>
      </c>
      <c r="C10" s="293"/>
      <c r="D10" s="294"/>
      <c r="E10" s="294"/>
      <c r="F10" s="296"/>
      <c r="G10" s="290"/>
      <c r="H10" s="33"/>
      <c r="I10" s="33"/>
      <c r="J10" s="33"/>
      <c r="K10" s="290"/>
      <c r="L10" s="300"/>
      <c r="M10" s="1"/>
      <c r="N10" s="453"/>
      <c r="O10" s="453"/>
      <c r="P10" s="453"/>
      <c r="Q10" s="453"/>
      <c r="R10" s="453"/>
      <c r="S10" s="453"/>
      <c r="T10" s="453"/>
      <c r="U10" s="453"/>
      <c r="V10" s="453"/>
      <c r="W10" s="453"/>
      <c r="X10" s="453"/>
      <c r="Y10" s="453"/>
      <c r="Z10" s="453"/>
      <c r="AA10" s="453"/>
      <c r="AB10" s="453"/>
      <c r="AC10" s="271"/>
      <c r="AD10" s="272"/>
      <c r="AE10" s="272"/>
      <c r="AF10" s="271"/>
      <c r="AG10" s="271"/>
      <c r="AH10" s="36"/>
      <c r="AI10" s="450"/>
      <c r="AJ10" s="271"/>
      <c r="AK10" s="1"/>
      <c r="AL10" s="1"/>
      <c r="AM10" s="1"/>
      <c r="AN10" s="1"/>
      <c r="AO10" s="1"/>
      <c r="AP10" s="1"/>
      <c r="AQ10" s="1"/>
      <c r="AR10" s="1"/>
      <c r="AS10" s="1"/>
      <c r="AT10" s="1"/>
      <c r="AU10" s="1"/>
      <c r="AV10" s="1"/>
      <c r="AW10" s="1"/>
      <c r="AX10" s="1"/>
      <c r="AY10" s="1"/>
      <c r="AZ10" s="1"/>
      <c r="BO10" s="36"/>
      <c r="BQ10" s="1"/>
    </row>
    <row r="11" spans="1:84" x14ac:dyDescent="0.25">
      <c r="B11" s="304"/>
      <c r="C11" s="305"/>
      <c r="D11" s="306"/>
      <c r="E11" s="306"/>
      <c r="F11" s="307"/>
      <c r="G11" s="307"/>
      <c r="H11" s="305"/>
      <c r="I11" s="305"/>
      <c r="J11" s="61"/>
      <c r="K11" s="61"/>
      <c r="L11" s="62"/>
      <c r="M11" s="1"/>
      <c r="N11" s="455"/>
      <c r="O11" s="455"/>
      <c r="P11" s="455"/>
      <c r="Q11" s="455"/>
      <c r="R11" s="455"/>
      <c r="S11" s="455"/>
      <c r="T11" s="455"/>
      <c r="U11" s="455"/>
      <c r="V11" s="455"/>
      <c r="W11" s="455"/>
      <c r="X11" s="455"/>
      <c r="Y11" s="455"/>
      <c r="Z11" s="455"/>
      <c r="AA11" s="455"/>
      <c r="AB11" s="455"/>
      <c r="AC11" s="271"/>
      <c r="AD11" s="455"/>
      <c r="AE11" s="455"/>
      <c r="AF11" s="458"/>
      <c r="AG11" s="271"/>
      <c r="AH11" s="36"/>
      <c r="AI11" s="36"/>
      <c r="AJ11" s="36"/>
      <c r="AK11" s="1"/>
      <c r="AL11" s="1"/>
      <c r="AM11" s="1"/>
      <c r="AN11" s="1"/>
      <c r="AO11" s="1"/>
      <c r="AP11" s="1"/>
      <c r="AQ11" s="1"/>
      <c r="AR11" s="1"/>
      <c r="AS11" s="1"/>
      <c r="AT11" s="1"/>
      <c r="AU11" s="1"/>
      <c r="AV11" s="1"/>
      <c r="AW11" s="1"/>
      <c r="AX11" s="1"/>
      <c r="AY11" s="1"/>
      <c r="AZ11" s="1"/>
      <c r="BO11" s="36"/>
      <c r="BQ11" s="1"/>
    </row>
    <row r="12" spans="1:84" x14ac:dyDescent="0.25">
      <c r="A12" s="277"/>
      <c r="B12" s="1"/>
      <c r="C12" s="1"/>
      <c r="D12" s="1"/>
      <c r="E12" s="1"/>
      <c r="F12" s="1"/>
      <c r="H12" s="1"/>
      <c r="I12" s="1"/>
      <c r="J12" s="1"/>
      <c r="K12" s="1"/>
      <c r="L12" s="1"/>
      <c r="M12" s="1"/>
      <c r="N12" s="271"/>
      <c r="O12" s="271"/>
      <c r="P12" s="271"/>
      <c r="Q12" s="271"/>
      <c r="R12" s="271"/>
      <c r="S12" s="271"/>
      <c r="T12" s="271"/>
      <c r="U12" s="271"/>
      <c r="V12" s="271"/>
      <c r="W12" s="271"/>
      <c r="X12" s="271"/>
      <c r="Y12" s="271"/>
      <c r="Z12" s="271"/>
      <c r="AA12" s="271"/>
      <c r="AB12" s="271"/>
      <c r="AC12" s="455"/>
      <c r="AD12" s="458"/>
      <c r="AE12" s="458"/>
      <c r="AF12" s="458"/>
      <c r="AG12" s="455"/>
      <c r="AH12" s="36"/>
      <c r="AI12" s="36"/>
      <c r="AJ12" s="36"/>
      <c r="AK12" s="1"/>
      <c r="AL12" s="1"/>
      <c r="AM12" s="1"/>
      <c r="AN12" s="1"/>
      <c r="AO12" s="1"/>
      <c r="AP12" s="1"/>
      <c r="AQ12" s="1"/>
      <c r="AR12" s="1"/>
      <c r="AS12" s="1"/>
      <c r="AT12" s="1"/>
      <c r="AU12" s="1"/>
      <c r="AV12" s="1"/>
      <c r="AW12" s="1"/>
      <c r="AX12" s="1"/>
      <c r="AY12" s="1"/>
      <c r="AZ12" s="1"/>
      <c r="BO12" s="36"/>
      <c r="BQ12" s="1"/>
    </row>
    <row r="13" spans="1:84" x14ac:dyDescent="0.25">
      <c r="A13" s="277"/>
      <c r="B13" s="88"/>
      <c r="C13" s="277"/>
      <c r="D13" s="278"/>
      <c r="E13" s="278"/>
      <c r="F13" s="278"/>
      <c r="G13" s="88"/>
      <c r="H13" s="277"/>
      <c r="I13" s="277"/>
      <c r="J13" s="1"/>
      <c r="K13" s="277"/>
      <c r="L13" s="1"/>
      <c r="M13" s="1"/>
      <c r="N13" s="1"/>
      <c r="O13" s="1"/>
      <c r="P13" s="1"/>
      <c r="Q13" s="1"/>
      <c r="R13" s="1"/>
      <c r="S13" s="1"/>
      <c r="T13" s="1"/>
      <c r="U13" s="1"/>
      <c r="V13" s="1"/>
      <c r="W13" s="1"/>
      <c r="X13" s="1"/>
      <c r="Y13" s="1"/>
      <c r="Z13" s="1"/>
      <c r="AA13" s="1"/>
      <c r="AB13" s="1"/>
      <c r="AD13" s="88"/>
      <c r="AE13" s="277"/>
      <c r="AF13" s="278"/>
      <c r="AG13" s="278"/>
      <c r="AH13" s="278"/>
      <c r="AI13" s="277"/>
      <c r="AJ13" s="1"/>
      <c r="AK13" s="1"/>
      <c r="AL13" s="1"/>
      <c r="AM13" s="1"/>
      <c r="AN13" s="1"/>
      <c r="AO13" s="1"/>
      <c r="AP13" s="1"/>
      <c r="AQ13" s="1"/>
      <c r="AR13" s="1"/>
      <c r="AS13" s="1"/>
      <c r="AT13" s="1"/>
      <c r="AU13" s="1"/>
      <c r="AV13" s="1"/>
      <c r="AW13" s="1"/>
      <c r="AX13" s="1"/>
      <c r="AY13" s="1"/>
      <c r="AZ13" s="1"/>
      <c r="BB13" s="88"/>
      <c r="BC13" s="277"/>
      <c r="BD13" s="278"/>
      <c r="BE13" s="278"/>
      <c r="BF13" s="278"/>
      <c r="BG13" s="278"/>
      <c r="BH13" s="278"/>
      <c r="BI13" s="278"/>
      <c r="BJ13" s="278"/>
      <c r="BK13" s="88"/>
      <c r="BL13" s="277"/>
      <c r="BM13" s="277"/>
      <c r="BN13" s="277"/>
      <c r="BO13" s="277"/>
      <c r="BP13" s="277"/>
      <c r="BQ13" s="455"/>
    </row>
    <row r="14" spans="1:84" x14ac:dyDescent="0.25">
      <c r="A14" s="277"/>
      <c r="B14" s="88"/>
      <c r="C14" s="277"/>
      <c r="D14" s="278"/>
      <c r="E14" s="278"/>
      <c r="F14" s="278"/>
      <c r="G14" s="88"/>
      <c r="H14" s="277"/>
      <c r="I14" s="277"/>
      <c r="J14" s="1"/>
      <c r="K14" s="277"/>
      <c r="L14" s="1"/>
      <c r="M14" s="1"/>
      <c r="N14" s="1"/>
      <c r="O14" s="1"/>
      <c r="P14" s="1"/>
      <c r="Q14" s="1"/>
      <c r="R14" s="1"/>
      <c r="S14" s="1"/>
      <c r="T14" s="1"/>
      <c r="U14" s="1"/>
      <c r="V14" s="1"/>
      <c r="W14" s="1"/>
      <c r="X14" s="1"/>
      <c r="Y14" s="1"/>
      <c r="Z14" s="1"/>
      <c r="AA14" s="1"/>
      <c r="AB14" s="1"/>
      <c r="AD14" s="88"/>
      <c r="AE14" s="277"/>
      <c r="AF14" s="278"/>
      <c r="AG14" s="278"/>
      <c r="AH14" s="278"/>
      <c r="AI14" s="277"/>
      <c r="AJ14" s="1"/>
      <c r="AK14" s="1"/>
      <c r="AL14" s="1"/>
      <c r="AM14" s="1"/>
      <c r="AN14" s="1"/>
      <c r="AO14" s="1"/>
      <c r="AP14" s="1"/>
      <c r="AQ14" s="1"/>
      <c r="AR14" s="1"/>
      <c r="AS14" s="1"/>
      <c r="AT14" s="1"/>
      <c r="AU14" s="1"/>
      <c r="AV14" s="1"/>
      <c r="AW14" s="1"/>
      <c r="AX14" s="1"/>
      <c r="AY14" s="1"/>
      <c r="AZ14" s="1"/>
      <c r="BB14" s="88"/>
      <c r="BC14" s="277"/>
      <c r="BD14" s="278"/>
      <c r="BE14" s="278"/>
      <c r="BF14" s="278"/>
      <c r="BG14" s="278"/>
      <c r="BH14" s="278"/>
      <c r="BI14" s="278"/>
      <c r="BJ14" s="278"/>
      <c r="BK14" s="88"/>
      <c r="BL14" s="277"/>
      <c r="BM14" s="277"/>
      <c r="BN14" s="277"/>
      <c r="BO14" s="277"/>
      <c r="BP14" s="277"/>
      <c r="BQ14" s="455"/>
    </row>
    <row r="15" spans="1:84" ht="20" x14ac:dyDescent="0.4">
      <c r="A15" s="277"/>
      <c r="B15" s="315" t="s">
        <v>223</v>
      </c>
      <c r="C15" s="314" t="s">
        <v>224</v>
      </c>
      <c r="D15" s="312"/>
      <c r="E15" s="312"/>
      <c r="F15" s="312"/>
      <c r="G15" s="312"/>
      <c r="H15" s="311"/>
      <c r="I15" s="311"/>
      <c r="J15" s="313"/>
      <c r="K15" s="311"/>
      <c r="L15" s="313"/>
      <c r="M15" s="313"/>
      <c r="N15" s="313"/>
      <c r="O15" s="313"/>
      <c r="P15" s="313"/>
      <c r="Q15" s="313"/>
      <c r="R15" s="313"/>
      <c r="S15" s="313"/>
      <c r="T15" s="313"/>
      <c r="U15" s="313"/>
      <c r="V15" s="313"/>
      <c r="W15" s="313"/>
      <c r="X15" s="313"/>
      <c r="Y15" s="313"/>
      <c r="Z15" s="313"/>
      <c r="AA15" s="313"/>
      <c r="AB15" s="313"/>
      <c r="AD15" s="315" t="s">
        <v>225</v>
      </c>
      <c r="AE15" s="314" t="s">
        <v>226</v>
      </c>
      <c r="AF15" s="312"/>
      <c r="AG15" s="312"/>
      <c r="AH15" s="312"/>
      <c r="AI15" s="311"/>
      <c r="AJ15" s="313"/>
      <c r="AK15" s="313"/>
      <c r="AL15" s="313"/>
      <c r="AM15" s="313"/>
      <c r="AN15" s="313"/>
      <c r="AO15" s="313"/>
      <c r="AP15" s="313"/>
      <c r="AQ15" s="313"/>
      <c r="AR15" s="313"/>
      <c r="AS15" s="313"/>
      <c r="AT15" s="313"/>
      <c r="AU15" s="313"/>
      <c r="AV15" s="313"/>
      <c r="AW15" s="313"/>
      <c r="AX15" s="313"/>
      <c r="AY15" s="313"/>
      <c r="AZ15" s="313"/>
      <c r="BB15" s="315" t="s">
        <v>227</v>
      </c>
      <c r="BC15" s="314" t="s">
        <v>301</v>
      </c>
      <c r="BD15" s="312"/>
      <c r="BE15" s="312"/>
      <c r="BF15" s="312"/>
      <c r="BG15" s="312"/>
      <c r="BH15" s="312"/>
      <c r="BI15" s="312"/>
      <c r="BJ15" s="312"/>
      <c r="BK15" s="312"/>
      <c r="BL15" s="314" t="s">
        <v>614</v>
      </c>
      <c r="BM15" s="311"/>
      <c r="BN15" s="311"/>
      <c r="BO15" s="311"/>
      <c r="BP15" s="311"/>
      <c r="BQ15" s="586"/>
      <c r="BR15" s="523"/>
      <c r="BT15" s="314" t="s">
        <v>614</v>
      </c>
      <c r="BU15" s="523"/>
      <c r="BV15" s="523"/>
      <c r="BW15" s="523"/>
      <c r="BX15" s="523"/>
      <c r="BY15" s="523"/>
      <c r="BZ15" s="523"/>
      <c r="CA15" s="314" t="s">
        <v>614</v>
      </c>
      <c r="CB15" s="523"/>
      <c r="CC15" s="523"/>
      <c r="CD15" s="523"/>
      <c r="CE15" s="523"/>
      <c r="CF15" s="523"/>
    </row>
    <row r="16" spans="1:84" x14ac:dyDescent="0.25">
      <c r="A16" s="277"/>
      <c r="B16" s="88"/>
      <c r="C16" s="277"/>
      <c r="D16" s="278"/>
      <c r="E16" s="278"/>
      <c r="F16" s="278"/>
      <c r="G16" s="88"/>
      <c r="H16" s="277"/>
      <c r="I16" s="277"/>
      <c r="J16" s="279"/>
      <c r="K16" s="277"/>
      <c r="L16" s="279"/>
      <c r="M16" s="88"/>
      <c r="N16" s="1"/>
      <c r="O16" s="1"/>
      <c r="P16" s="1"/>
      <c r="Q16" s="1"/>
      <c r="R16" s="1"/>
      <c r="S16" s="1"/>
      <c r="T16" s="1"/>
      <c r="U16" s="1"/>
      <c r="V16" s="1"/>
      <c r="W16" s="1"/>
      <c r="X16" s="1"/>
      <c r="Y16" s="1"/>
      <c r="Z16" s="1"/>
      <c r="AA16" s="1"/>
      <c r="AB16" s="1"/>
      <c r="AD16" s="88"/>
      <c r="AE16" s="277"/>
      <c r="AF16" s="278"/>
      <c r="AG16" s="278"/>
      <c r="AH16" s="278"/>
      <c r="AI16" s="277"/>
      <c r="AJ16" s="279"/>
      <c r="AK16" s="88"/>
      <c r="AL16" s="1"/>
      <c r="AM16" s="1"/>
      <c r="AN16" s="1"/>
      <c r="AO16" s="1"/>
      <c r="AP16" s="1"/>
      <c r="AQ16" s="1"/>
      <c r="AR16" s="1"/>
      <c r="AS16" s="1"/>
      <c r="AT16" s="1"/>
      <c r="AU16" s="1"/>
      <c r="AV16" s="1"/>
      <c r="AW16" s="1"/>
      <c r="AX16" s="1"/>
      <c r="AY16" s="1"/>
      <c r="AZ16" s="1"/>
      <c r="BB16" s="88"/>
      <c r="BC16" s="277"/>
      <c r="BD16" s="278"/>
      <c r="BE16" s="278"/>
      <c r="BF16" s="278"/>
      <c r="BG16" s="278"/>
      <c r="BH16" s="278"/>
      <c r="BI16" s="278"/>
      <c r="BJ16" s="278"/>
      <c r="BK16" s="88"/>
      <c r="BL16" s="277"/>
      <c r="BM16" s="277"/>
      <c r="BN16" s="277"/>
      <c r="BO16" s="277"/>
      <c r="BP16" s="277"/>
      <c r="BQ16" s="455"/>
    </row>
    <row r="17" spans="1:84" x14ac:dyDescent="0.25">
      <c r="A17" s="516"/>
      <c r="B17" s="88"/>
      <c r="C17" s="516"/>
      <c r="D17" s="517"/>
      <c r="E17" s="517"/>
      <c r="F17" s="518"/>
      <c r="G17" s="88"/>
      <c r="H17" s="516"/>
      <c r="I17" s="516"/>
      <c r="J17" s="351"/>
      <c r="K17" s="516"/>
      <c r="L17" s="351"/>
      <c r="M17" s="88"/>
      <c r="N17" s="1"/>
      <c r="O17" s="1"/>
      <c r="P17" s="1"/>
      <c r="Q17" s="1"/>
      <c r="R17" s="1"/>
      <c r="S17" s="1"/>
      <c r="T17" s="1"/>
      <c r="U17" s="1"/>
      <c r="V17" s="1"/>
      <c r="W17" s="1"/>
      <c r="X17" s="1"/>
      <c r="Y17" s="1"/>
      <c r="Z17" s="1"/>
      <c r="AA17" s="1"/>
      <c r="AB17" s="1"/>
      <c r="AD17" s="88"/>
      <c r="AE17" s="516"/>
      <c r="AF17" s="517"/>
      <c r="AG17" s="517"/>
      <c r="AH17" s="517"/>
      <c r="AI17" s="516"/>
      <c r="AJ17" s="351"/>
      <c r="AK17" s="88"/>
      <c r="AL17" s="1"/>
      <c r="AM17" s="1"/>
      <c r="AN17" s="1"/>
      <c r="AO17" s="1"/>
      <c r="AP17" s="1"/>
      <c r="AQ17" s="1"/>
      <c r="AR17" s="1"/>
      <c r="AS17" s="1"/>
      <c r="AT17" s="1"/>
      <c r="AU17" s="1"/>
      <c r="AV17" s="1"/>
      <c r="AW17" s="1"/>
      <c r="AX17" s="1"/>
      <c r="AY17" s="1"/>
      <c r="AZ17" s="1"/>
    </row>
    <row r="18" spans="1:84" ht="13" x14ac:dyDescent="0.25">
      <c r="B18" s="350" t="s">
        <v>229</v>
      </c>
      <c r="C18" s="88"/>
      <c r="D18" s="88"/>
      <c r="E18" s="88"/>
      <c r="F18" s="88"/>
      <c r="G18" s="88"/>
      <c r="H18" s="309"/>
      <c r="I18" s="309"/>
      <c r="J18" s="88"/>
      <c r="K18" s="309"/>
      <c r="L18" s="88"/>
      <c r="M18" s="88"/>
      <c r="N18" s="88"/>
      <c r="O18" s="88"/>
      <c r="P18" s="88"/>
      <c r="Q18" s="88"/>
      <c r="R18" s="88"/>
      <c r="S18" s="88"/>
      <c r="T18" s="88"/>
      <c r="U18" s="88"/>
      <c r="V18" s="88"/>
      <c r="W18" s="88"/>
      <c r="X18" s="88"/>
      <c r="Y18" s="88"/>
      <c r="Z18" s="88"/>
      <c r="AA18" s="88"/>
      <c r="AB18" s="88"/>
      <c r="AD18" s="350" t="s">
        <v>302</v>
      </c>
      <c r="AE18" s="88"/>
      <c r="AF18" s="88"/>
      <c r="AG18" s="88"/>
      <c r="AH18" s="88"/>
      <c r="AI18" s="309"/>
      <c r="AJ18" s="88"/>
      <c r="AK18" s="88"/>
      <c r="AL18" s="88"/>
      <c r="AM18" s="88"/>
      <c r="AN18" s="88"/>
      <c r="AO18" s="88"/>
      <c r="AP18" s="88"/>
      <c r="AQ18" s="88"/>
      <c r="AR18" s="88"/>
      <c r="AS18" s="88"/>
      <c r="AT18" s="88"/>
      <c r="AU18" s="88"/>
      <c r="AV18" s="88"/>
      <c r="AW18" s="88"/>
      <c r="AX18" s="88"/>
      <c r="AY18" s="88"/>
      <c r="AZ18" s="88"/>
    </row>
    <row r="19" spans="1:84" x14ac:dyDescent="0.25">
      <c r="B19" s="88"/>
      <c r="C19" s="88"/>
      <c r="D19" s="274"/>
      <c r="E19" s="274"/>
      <c r="F19" s="274"/>
      <c r="G19" s="88"/>
      <c r="H19" s="88"/>
      <c r="I19" s="88"/>
      <c r="J19" s="88"/>
      <c r="K19" s="88"/>
      <c r="L19" s="88"/>
      <c r="M19" s="88"/>
      <c r="N19" s="351"/>
      <c r="O19" s="351"/>
      <c r="P19" s="351"/>
      <c r="Q19" s="351"/>
      <c r="R19" s="351"/>
      <c r="S19" s="351"/>
      <c r="T19" s="351"/>
      <c r="U19" s="351"/>
      <c r="V19" s="351"/>
      <c r="W19" s="351"/>
      <c r="X19" s="351"/>
      <c r="Y19" s="351"/>
      <c r="Z19" s="351"/>
      <c r="AA19" s="351"/>
      <c r="AB19" s="351"/>
      <c r="AD19" s="88"/>
      <c r="AE19" s="88"/>
      <c r="AF19" s="274"/>
      <c r="AG19" s="274"/>
      <c r="AH19" s="274"/>
      <c r="AI19" s="88"/>
      <c r="AJ19" s="88"/>
      <c r="AK19" s="88"/>
      <c r="AL19" s="351"/>
      <c r="AM19" s="351"/>
      <c r="AN19" s="351"/>
      <c r="AO19" s="351"/>
      <c r="AP19" s="351"/>
      <c r="AQ19" s="351"/>
      <c r="AR19" s="351"/>
      <c r="AS19" s="351"/>
      <c r="AT19" s="351"/>
      <c r="AU19" s="351"/>
      <c r="AV19" s="351"/>
      <c r="AW19" s="351"/>
      <c r="AX19" s="351"/>
      <c r="AY19" s="351"/>
      <c r="AZ19" s="351"/>
    </row>
    <row r="20" spans="1:84" ht="15.5" x14ac:dyDescent="0.25">
      <c r="B20" s="317"/>
      <c r="C20" s="320" t="s">
        <v>230</v>
      </c>
      <c r="D20" s="361"/>
      <c r="E20" s="320" t="s">
        <v>231</v>
      </c>
      <c r="F20" s="333"/>
      <c r="G20" s="335" t="s">
        <v>272</v>
      </c>
      <c r="H20" s="321"/>
      <c r="I20" s="437" t="s">
        <v>510</v>
      </c>
      <c r="J20" s="438"/>
      <c r="K20" s="437" t="s">
        <v>511</v>
      </c>
      <c r="L20" s="438"/>
      <c r="M20" s="322"/>
      <c r="N20" s="343"/>
      <c r="O20" s="271"/>
      <c r="P20" s="437" t="s">
        <v>740</v>
      </c>
      <c r="Q20" s="437"/>
      <c r="R20" s="320"/>
      <c r="S20" s="320"/>
      <c r="T20" s="320"/>
      <c r="U20" s="320"/>
      <c r="V20" s="320"/>
      <c r="W20" s="437" t="s">
        <v>746</v>
      </c>
      <c r="X20" s="438"/>
      <c r="Y20" s="320"/>
      <c r="Z20" s="320"/>
      <c r="AA20" s="320"/>
      <c r="AB20" s="1315"/>
      <c r="AD20" s="317"/>
      <c r="AE20" s="320" t="s">
        <v>304</v>
      </c>
      <c r="AF20" s="361"/>
      <c r="AG20" s="320" t="s">
        <v>231</v>
      </c>
      <c r="AH20" s="333"/>
      <c r="AI20" s="437" t="s">
        <v>303</v>
      </c>
      <c r="AJ20" s="438"/>
      <c r="AK20" s="322"/>
      <c r="AL20" s="343"/>
      <c r="AM20" s="271"/>
      <c r="AN20" s="437" t="s">
        <v>740</v>
      </c>
      <c r="AO20" s="437"/>
      <c r="AP20" s="320"/>
      <c r="AQ20" s="320"/>
      <c r="AR20" s="320"/>
      <c r="AS20" s="320"/>
      <c r="AT20" s="320"/>
      <c r="AU20" s="437" t="s">
        <v>746</v>
      </c>
      <c r="AV20" s="438"/>
      <c r="AW20" s="320"/>
      <c r="AX20" s="320"/>
      <c r="AY20" s="320"/>
      <c r="AZ20" s="1315"/>
      <c r="BB20" s="317"/>
      <c r="BC20" s="569" t="s">
        <v>235</v>
      </c>
      <c r="BD20" s="569"/>
      <c r="BE20" s="569"/>
      <c r="BF20" s="569"/>
      <c r="BG20" s="569"/>
      <c r="BH20" s="569"/>
      <c r="BI20" s="569"/>
      <c r="BJ20" s="569"/>
      <c r="BK20" s="569"/>
      <c r="BL20" s="569" t="s">
        <v>236</v>
      </c>
      <c r="BM20" s="569"/>
      <c r="BN20" s="569"/>
      <c r="BO20" s="569"/>
      <c r="BP20" s="480" t="s">
        <v>139</v>
      </c>
      <c r="BQ20" s="587"/>
      <c r="BR20" s="480"/>
      <c r="BT20" s="437" t="s">
        <v>740</v>
      </c>
      <c r="BU20" s="437"/>
      <c r="BV20" s="320"/>
      <c r="BW20" s="320"/>
      <c r="BX20" s="320"/>
      <c r="BY20" s="320"/>
      <c r="BZ20" s="320"/>
      <c r="CA20" s="437" t="s">
        <v>746</v>
      </c>
      <c r="CB20" s="438"/>
      <c r="CC20" s="320"/>
      <c r="CD20" s="320"/>
      <c r="CE20" s="320"/>
      <c r="CF20" s="1315"/>
    </row>
    <row r="21" spans="1:84" ht="15" customHeight="1" x14ac:dyDescent="0.25">
      <c r="B21" s="318"/>
      <c r="C21" s="287" t="s">
        <v>237</v>
      </c>
      <c r="D21" s="362"/>
      <c r="E21" s="287" t="s">
        <v>238</v>
      </c>
      <c r="F21" s="334"/>
      <c r="G21" s="336" t="s">
        <v>274</v>
      </c>
      <c r="H21" s="288"/>
      <c r="I21" s="439" t="s">
        <v>275</v>
      </c>
      <c r="J21" s="440"/>
      <c r="K21" s="439" t="s">
        <v>275</v>
      </c>
      <c r="L21" s="440"/>
      <c r="M21" s="284"/>
      <c r="N21" s="344"/>
      <c r="O21" s="271"/>
      <c r="P21" s="1311" t="s">
        <v>748</v>
      </c>
      <c r="Q21" s="1311"/>
      <c r="R21" s="1312"/>
      <c r="S21" s="1312"/>
      <c r="T21" s="1312"/>
      <c r="U21" s="1312"/>
      <c r="V21" s="1316"/>
      <c r="W21" s="1311" t="s">
        <v>749</v>
      </c>
      <c r="X21" s="288"/>
      <c r="Y21" s="287"/>
      <c r="Z21" s="287"/>
      <c r="AA21" s="287"/>
      <c r="AB21" s="288"/>
      <c r="AD21" s="318"/>
      <c r="AE21" s="336" t="s">
        <v>274</v>
      </c>
      <c r="AF21" s="362"/>
      <c r="AG21" s="287" t="s">
        <v>238</v>
      </c>
      <c r="AH21" s="334"/>
      <c r="AI21" s="439" t="s">
        <v>275</v>
      </c>
      <c r="AJ21" s="440"/>
      <c r="AK21" s="284"/>
      <c r="AL21" s="344"/>
      <c r="AM21" s="271"/>
      <c r="AN21" s="1311" t="s">
        <v>748</v>
      </c>
      <c r="AO21" s="1311"/>
      <c r="AP21" s="1312"/>
      <c r="AQ21" s="1312"/>
      <c r="AR21" s="1312"/>
      <c r="AS21" s="1312"/>
      <c r="AT21" s="1316"/>
      <c r="AU21" s="1311" t="s">
        <v>749</v>
      </c>
      <c r="AV21" s="288"/>
      <c r="AW21" s="287"/>
      <c r="AX21" s="287"/>
      <c r="AY21" s="287"/>
      <c r="AZ21" s="288"/>
      <c r="BB21" s="318"/>
      <c r="BC21" s="570"/>
      <c r="BD21" s="571"/>
      <c r="BE21" s="571"/>
      <c r="BF21" s="571"/>
      <c r="BG21" s="571"/>
      <c r="BH21" s="571"/>
      <c r="BI21" s="571"/>
      <c r="BJ21" s="571"/>
      <c r="BK21" s="572"/>
      <c r="BL21" s="570"/>
      <c r="BM21" s="571"/>
      <c r="BN21" s="571"/>
      <c r="BO21" s="572"/>
      <c r="BP21" s="345" t="s">
        <v>241</v>
      </c>
      <c r="BQ21" s="587"/>
      <c r="BR21" s="345"/>
      <c r="BT21" s="1311" t="s">
        <v>748</v>
      </c>
      <c r="BU21" s="1311"/>
      <c r="BV21" s="1312"/>
      <c r="BW21" s="1312"/>
      <c r="BX21" s="1312"/>
      <c r="BY21" s="1312"/>
      <c r="BZ21" s="1316"/>
      <c r="CA21" s="1311" t="s">
        <v>749</v>
      </c>
      <c r="CB21" s="288"/>
      <c r="CC21" s="287"/>
      <c r="CD21" s="287"/>
      <c r="CE21" s="287"/>
      <c r="CF21" s="288"/>
    </row>
    <row r="22" spans="1:84" ht="14" x14ac:dyDescent="0.25">
      <c r="B22" s="169" t="s">
        <v>135</v>
      </c>
      <c r="C22" s="316"/>
      <c r="D22" s="283"/>
      <c r="E22" s="316"/>
      <c r="F22" s="283"/>
      <c r="G22" s="316"/>
      <c r="H22" s="283"/>
      <c r="I22" s="316"/>
      <c r="J22" s="283"/>
      <c r="K22" s="316"/>
      <c r="L22" s="283"/>
      <c r="M22" s="286" t="s">
        <v>242</v>
      </c>
      <c r="N22" s="345" t="s">
        <v>139</v>
      </c>
      <c r="O22" s="465"/>
      <c r="P22" s="432"/>
      <c r="Q22" s="647"/>
      <c r="R22" s="647"/>
      <c r="S22" s="647"/>
      <c r="T22" s="647"/>
      <c r="U22" s="647"/>
      <c r="V22" s="1313"/>
      <c r="W22" s="432"/>
      <c r="X22" s="647"/>
      <c r="Y22" s="647"/>
      <c r="Z22" s="647"/>
      <c r="AA22" s="647"/>
      <c r="AB22" s="283"/>
      <c r="AD22" s="169" t="s">
        <v>135</v>
      </c>
      <c r="AE22" s="316"/>
      <c r="AF22" s="283"/>
      <c r="AG22" s="316"/>
      <c r="AH22" s="283"/>
      <c r="AI22" s="316"/>
      <c r="AJ22" s="283"/>
      <c r="AK22" s="286" t="s">
        <v>242</v>
      </c>
      <c r="AL22" s="345" t="s">
        <v>139</v>
      </c>
      <c r="AM22" s="465"/>
      <c r="AN22" s="432"/>
      <c r="AO22" s="647"/>
      <c r="AP22" s="647"/>
      <c r="AQ22" s="647"/>
      <c r="AR22" s="647"/>
      <c r="AS22" s="647"/>
      <c r="AT22" s="1313"/>
      <c r="AU22" s="432"/>
      <c r="AV22" s="647"/>
      <c r="AW22" s="647"/>
      <c r="AX22" s="647"/>
      <c r="AY22" s="647"/>
      <c r="AZ22" s="283"/>
      <c r="BB22" s="169" t="s">
        <v>135</v>
      </c>
      <c r="BC22" s="573" t="s">
        <v>173</v>
      </c>
      <c r="BD22" s="574" t="s">
        <v>173</v>
      </c>
      <c r="BE22" s="574" t="s">
        <v>173</v>
      </c>
      <c r="BF22" s="574" t="s">
        <v>173</v>
      </c>
      <c r="BG22" s="574" t="s">
        <v>173</v>
      </c>
      <c r="BH22" s="574" t="s">
        <v>173</v>
      </c>
      <c r="BI22" s="574" t="s">
        <v>171</v>
      </c>
      <c r="BJ22" s="574" t="s">
        <v>171</v>
      </c>
      <c r="BK22" s="574" t="s">
        <v>171</v>
      </c>
      <c r="BL22" s="574" t="s">
        <v>173</v>
      </c>
      <c r="BM22" s="574" t="s">
        <v>171</v>
      </c>
      <c r="BN22" s="574" t="s">
        <v>305</v>
      </c>
      <c r="BO22" s="574" t="s">
        <v>306</v>
      </c>
      <c r="BP22" s="345" t="s">
        <v>307</v>
      </c>
      <c r="BQ22" s="587"/>
      <c r="BR22" s="345" t="s">
        <v>242</v>
      </c>
      <c r="BT22" s="432"/>
      <c r="BU22" s="647"/>
      <c r="BV22" s="647"/>
      <c r="BW22" s="647"/>
      <c r="BX22" s="647"/>
      <c r="BY22" s="647"/>
      <c r="BZ22" s="1313"/>
      <c r="CA22" s="432"/>
      <c r="CB22" s="647"/>
      <c r="CC22" s="647"/>
      <c r="CD22" s="647"/>
      <c r="CE22" s="647"/>
      <c r="CF22" s="283"/>
    </row>
    <row r="23" spans="1:84" ht="17" x14ac:dyDescent="0.25">
      <c r="B23" s="319"/>
      <c r="C23" s="324" t="s">
        <v>0</v>
      </c>
      <c r="D23" s="325" t="s">
        <v>1</v>
      </c>
      <c r="E23" s="324" t="s">
        <v>0</v>
      </c>
      <c r="F23" s="325" t="s">
        <v>1</v>
      </c>
      <c r="G23" s="324" t="s">
        <v>0</v>
      </c>
      <c r="H23" s="325" t="s">
        <v>1</v>
      </c>
      <c r="I23" s="324" t="s">
        <v>0</v>
      </c>
      <c r="J23" s="325" t="s">
        <v>1</v>
      </c>
      <c r="K23" s="324" t="s">
        <v>0</v>
      </c>
      <c r="L23" s="325" t="s">
        <v>1</v>
      </c>
      <c r="M23" s="326" t="s">
        <v>148</v>
      </c>
      <c r="N23" s="346" t="s">
        <v>149</v>
      </c>
      <c r="O23" s="465"/>
      <c r="P23" s="441" t="s">
        <v>380</v>
      </c>
      <c r="Q23" s="648" t="s">
        <v>741</v>
      </c>
      <c r="R23" s="648" t="s">
        <v>742</v>
      </c>
      <c r="S23" s="648" t="s">
        <v>743</v>
      </c>
      <c r="T23" s="648" t="s">
        <v>745</v>
      </c>
      <c r="U23" s="648" t="s">
        <v>384</v>
      </c>
      <c r="V23" s="1314" t="s">
        <v>744</v>
      </c>
      <c r="W23" s="441" t="s">
        <v>380</v>
      </c>
      <c r="X23" s="648" t="s">
        <v>741</v>
      </c>
      <c r="Y23" s="648" t="s">
        <v>742</v>
      </c>
      <c r="Z23" s="648" t="s">
        <v>743</v>
      </c>
      <c r="AA23" s="648" t="s">
        <v>745</v>
      </c>
      <c r="AB23" s="325" t="s">
        <v>384</v>
      </c>
      <c r="AD23" s="319"/>
      <c r="AE23" s="324" t="s">
        <v>0</v>
      </c>
      <c r="AF23" s="325" t="s">
        <v>1</v>
      </c>
      <c r="AG23" s="324" t="s">
        <v>0</v>
      </c>
      <c r="AH23" s="325" t="s">
        <v>1</v>
      </c>
      <c r="AI23" s="324" t="s">
        <v>0</v>
      </c>
      <c r="AJ23" s="325" t="s">
        <v>1</v>
      </c>
      <c r="AK23" s="326" t="s">
        <v>148</v>
      </c>
      <c r="AL23" s="346" t="s">
        <v>149</v>
      </c>
      <c r="AM23" s="465"/>
      <c r="AN23" s="441" t="s">
        <v>380</v>
      </c>
      <c r="AO23" s="648" t="s">
        <v>741</v>
      </c>
      <c r="AP23" s="648" t="s">
        <v>742</v>
      </c>
      <c r="AQ23" s="648" t="s">
        <v>743</v>
      </c>
      <c r="AR23" s="648" t="s">
        <v>745</v>
      </c>
      <c r="AS23" s="648" t="s">
        <v>384</v>
      </c>
      <c r="AT23" s="1314" t="s">
        <v>744</v>
      </c>
      <c r="AU23" s="441" t="s">
        <v>380</v>
      </c>
      <c r="AV23" s="648" t="s">
        <v>741</v>
      </c>
      <c r="AW23" s="648" t="s">
        <v>742</v>
      </c>
      <c r="AX23" s="648" t="s">
        <v>743</v>
      </c>
      <c r="AY23" s="648" t="s">
        <v>745</v>
      </c>
      <c r="AZ23" s="325" t="s">
        <v>384</v>
      </c>
      <c r="BB23" s="319"/>
      <c r="BC23" s="575" t="s">
        <v>247</v>
      </c>
      <c r="BD23" s="575" t="s">
        <v>248</v>
      </c>
      <c r="BE23" s="575" t="s">
        <v>501</v>
      </c>
      <c r="BF23" s="575" t="s">
        <v>249</v>
      </c>
      <c r="BG23" s="575" t="s">
        <v>554</v>
      </c>
      <c r="BH23" s="575" t="s">
        <v>556</v>
      </c>
      <c r="BI23" s="575" t="s">
        <v>248</v>
      </c>
      <c r="BJ23" s="575" t="s">
        <v>501</v>
      </c>
      <c r="BK23" s="575" t="s">
        <v>249</v>
      </c>
      <c r="BL23" s="575" t="s">
        <v>155</v>
      </c>
      <c r="BM23" s="575" t="s">
        <v>155</v>
      </c>
      <c r="BN23" s="575" t="s">
        <v>308</v>
      </c>
      <c r="BO23" s="575" t="s">
        <v>308</v>
      </c>
      <c r="BP23" s="346" t="str">
        <f>IF(Emissions&lt;&gt;"N","Benefits","Benefits*")</f>
        <v>Benefits</v>
      </c>
      <c r="BQ23" s="587"/>
      <c r="BR23" s="346" t="s">
        <v>148</v>
      </c>
      <c r="BT23" s="441" t="s">
        <v>380</v>
      </c>
      <c r="BU23" s="648" t="s">
        <v>741</v>
      </c>
      <c r="BV23" s="648" t="s">
        <v>742</v>
      </c>
      <c r="BW23" s="648" t="s">
        <v>743</v>
      </c>
      <c r="BX23" s="648" t="s">
        <v>745</v>
      </c>
      <c r="BY23" s="648" t="s">
        <v>384</v>
      </c>
      <c r="BZ23" s="1314" t="s">
        <v>744</v>
      </c>
      <c r="CA23" s="441" t="s">
        <v>380</v>
      </c>
      <c r="CB23" s="648" t="s">
        <v>741</v>
      </c>
      <c r="CC23" s="648" t="s">
        <v>742</v>
      </c>
      <c r="CD23" s="648" t="s">
        <v>743</v>
      </c>
      <c r="CE23" s="648" t="s">
        <v>745</v>
      </c>
      <c r="CF23" s="325" t="s">
        <v>384</v>
      </c>
    </row>
    <row r="24" spans="1:84" x14ac:dyDescent="0.25">
      <c r="B24" s="327">
        <v>1</v>
      </c>
      <c r="C24" s="348">
        <f>PHV1NB*AnnualFactor</f>
        <v>0</v>
      </c>
      <c r="D24" s="349">
        <f>PHV1B*AnnualFactor</f>
        <v>0</v>
      </c>
      <c r="E24" s="363">
        <f>ROUND(PHS1NB,1)</f>
        <v>55</v>
      </c>
      <c r="F24" s="364">
        <f>ROUND(PHS1B,1)</f>
        <v>55</v>
      </c>
      <c r="G24" s="339">
        <f>ImpactedNB*C24</f>
        <v>0</v>
      </c>
      <c r="H24" s="434">
        <f>ImpactedB*D24</f>
        <v>0</v>
      </c>
      <c r="I24" s="515" t="e">
        <f>G24*0.00000110231131*(VLOOKUP(E24,EmAuto1,2)*VLOOKUP(ProjLoc,EmCost,2)+VLOOKUP(E24,EmAuto1,3)*VLOOKUP(ProjLoc,EmCost,3)*(1+CO2Uprater)^($B24+Construct-1)+VLOOKUP(E24,EmAuto1,4)*VLOOKUP(ProjLoc,EmCost,4)+VLOOKUP(E24,EmAuto1,5)*VLOOKUP(ProjLoc,EmCost,5)+VLOOKUP(E24,EmAuto1,6)*VLOOKUP(ProjLoc,EmCost,6)+VLOOKUP(E24,EmAuto1,7)*VLOOKUP(ProjLoc,EmCost,7))</f>
        <v>#N/A</v>
      </c>
      <c r="J24" s="498" t="e">
        <f>H24*0.00000110231131*(VLOOKUP(F24,EmAuto1,2)*VLOOKUP(ProjLoc,EmCost,2)+VLOOKUP(F24,EmAuto1,3)*VLOOKUP(ProjLoc,EmCost,3)*(1+CO2Uprater)^($B24+Construct-1)+VLOOKUP(F24,EmAuto1,4)*VLOOKUP(ProjLoc,EmCost,4)+VLOOKUP(F24,EmAuto1,5)*VLOOKUP(ProjLoc,EmCost,5)+VLOOKUP(F24,EmAuto1,6)*VLOOKUP(ProjLoc,EmCost,6)+VLOOKUP(F24,EmAuto1,7)*VLOOKUP(ProjLoc,EmCost,7))</f>
        <v>#N/A</v>
      </c>
      <c r="K24" s="515" t="e">
        <f>C24*0.00000110231131*(VLOOKUP(0,EmAuto1,2)*VLOOKUP(ProjLoc,EmCost,2)+VLOOKUP(0,EmAuto1,3)*VLOOKUP(ProjLoc,EmCost,3)*(1+CO2Uprater)^($B24+Construct-1)+VLOOKUP(0,EmAuto1,4)*VLOOKUP(ProjLoc,EmCost,4)+VLOOKUP(0,EmAuto1,5)*VLOOKUP(ProjLoc,EmCost,5)+VLOOKUP(0,EmAuto1,6)*VLOOKUP(ProjLoc,EmCost,6)+VLOOKUP(0,EmAuto1,7)*VLOOKUP(ProjLoc,EmCost,7))</f>
        <v>#N/A</v>
      </c>
      <c r="L24" s="498" t="e">
        <f>D24*0.00000110231131*(VLOOKUP(0,EmAuto1,2)*VLOOKUP(ProjLoc,EmCost,2)+VLOOKUP(0,EmAuto1,3)*VLOOKUP(ProjLoc,EmCost,3)*(1+CO2Uprater)^($B24+Construct-1)+VLOOKUP(0,EmAuto1,4)*VLOOKUP(ProjLoc,EmCost,4)+VLOOKUP(0,EmAuto1,5)*VLOOKUP(ProjLoc,EmCost,5)+VLOOKUP(0,EmAuto1,6)*VLOOKUP(ProjLoc,EmCost,6)+VLOOKUP(0,EmAuto1,7)*VLOOKUP(ProjLoc,EmCost,7))</f>
        <v>#N/A</v>
      </c>
      <c r="M24" s="285" t="e">
        <f>(I24+K24)-(J24+L24)</f>
        <v>#N/A</v>
      </c>
      <c r="N24" s="323" t="e">
        <f>$M24/(1+DiscRate)^($B24+Construct-1)</f>
        <v>#N/A</v>
      </c>
      <c r="O24" s="474"/>
      <c r="P24" s="1036">
        <f>0.00000110231131*(G24*VLOOKUP(E24,EmAuto1,2)-H24*VLOOKUP(F24,EmAuto1,2)+(C24-D24)*VLOOKUP(0,EmAuto1,2))</f>
        <v>0</v>
      </c>
      <c r="Q24" s="1321">
        <f>0.00000110231131*(G24*VLOOKUP(E24,EmAuto1,3)-H24*VLOOKUP(F24,EmAuto1,3)+(C24-D24)*VLOOKUP(0,EmAuto1,3))</f>
        <v>0</v>
      </c>
      <c r="R24" s="1321">
        <f>0.00000110231131*(G24*VLOOKUP(E24,EmAuto1,4)-H24*VLOOKUP(F24,EmAuto1,4)+(C24-D24)*VLOOKUP(0,EmAuto1,4))</f>
        <v>0</v>
      </c>
      <c r="S24" s="1321">
        <f>0.00000110231131*(G24*VLOOKUP(E24,EmAuto1,5)-H24*VLOOKUP(F24,EmAuto1,5)+(C24-D24)*VLOOKUP(0,EmAuto1,5))</f>
        <v>0</v>
      </c>
      <c r="T24" s="1321">
        <f>0.00000110231131*(G24*VLOOKUP(E24,EmAuto1,6)-H24*VLOOKUP(F24,EmAuto1,6)+(C24-D24)*VLOOKUP(0,EmAuto1,6))</f>
        <v>0</v>
      </c>
      <c r="U24" s="1321">
        <f>0.00000110231131*(G24*VLOOKUP(E24,EmAuto1,7)-H24*VLOOKUP(F24,EmAuto1,7)+(C24-D24)*VLOOKUP(0,EmAuto1,7))</f>
        <v>0</v>
      </c>
      <c r="V24" s="1329">
        <f>0.00000110231131*(G24*VLOOKUP(E24,EmAuto1,8)-H24*VLOOKUP(F24,EmAuto1,8)+(C24-D24)*VLOOKUP(0,EmAuto1,8))</f>
        <v>0</v>
      </c>
      <c r="W24" s="515" t="e">
        <f>P24*VLOOKUP(ProjLoc,EmCost,2)/(1+DiscRate)^($B24+Construct-1)</f>
        <v>#N/A</v>
      </c>
      <c r="X24" s="1331" t="e">
        <f>Q24*VLOOKUP(ProjLoc,EmCost,3)*(1+CO2Uprater)^($B24+Construct-1)/(1+DiscRate)^($B24+Construct-1)</f>
        <v>#N/A</v>
      </c>
      <c r="Y24" s="1331" t="e">
        <f>R24*VLOOKUP(ProjLoc,EmCost,4)/(1+DiscRate)^($B24+Construct-1)</f>
        <v>#N/A</v>
      </c>
      <c r="Z24" s="1331" t="e">
        <f>S24*VLOOKUP(ProjLoc,EmCost,5)/(1+DiscRate)^($B24+Construct-1)</f>
        <v>#N/A</v>
      </c>
      <c r="AA24" s="1331" t="e">
        <f>T24*VLOOKUP(ProjLoc,EmCost,6)/(1+DiscRate)^($B24+Construct-1)</f>
        <v>#N/A</v>
      </c>
      <c r="AB24" s="498" t="e">
        <f>U24*VLOOKUP(ProjLoc,EmCost,7)/(1+DiscRate)^($B24+Construct-1)</f>
        <v>#N/A</v>
      </c>
      <c r="AD24" s="327">
        <v>1</v>
      </c>
      <c r="AE24" s="348">
        <f>IF(Bus,TVehMi1NB*TPerPeak,0)</f>
        <v>0</v>
      </c>
      <c r="AF24" s="349">
        <f>IF(Bus,TVehMi1B*TPerPeak,0)</f>
        <v>0</v>
      </c>
      <c r="AG24" s="625">
        <f>IF(Exclusive="Y",IF(FFSpeedNB=0,FFSpeedB,FFSpeedNB),PNS1NB)</f>
        <v>55</v>
      </c>
      <c r="AH24" s="626">
        <f>IF(OR(Exclusive="Y",BRT),FFSpeedB,PNS1B)</f>
        <v>55</v>
      </c>
      <c r="AI24" s="515" t="e">
        <f>AE24*0.00000110231131*(VLOOKUP(AG24,EmBus1,2)*VLOOKUP(ProjLoc,EmCost,2)+VLOOKUP(AG24,EmBus1,3)*VLOOKUP(ProjLoc,EmCost,3)*(1+CO2Uprater)^($AD24+Construct-1)+VLOOKUP(AG24,EmBus1,4)*VLOOKUP(ProjLoc,EmCost,4)+VLOOKUP(AG24,EmBus1,5)*VLOOKUP(ProjLoc,EmCost,5)+VLOOKUP(AG24,EmBus1,6)*VLOOKUP(ProjLoc,EmCost,6)+VLOOKUP(AG24,EmBus1,7)*VLOOKUP(ProjLoc,EmCost,7))</f>
        <v>#N/A</v>
      </c>
      <c r="AJ24" s="498" t="e">
        <f>AF24*0.00000110231131*(VLOOKUP(AH24,EmBus1,2)*VLOOKUP(ProjLoc,EmCost,2)+VLOOKUP(AH24,EmBus1,3)*VLOOKUP(ProjLoc,EmCost,3)*(1+CO2Uprater)^($AD24+Construct-1)+VLOOKUP(AH24,EmBus1,4)*VLOOKUP(ProjLoc,EmCost,4)+VLOOKUP(AH24,EmBus1,5)*VLOOKUP(ProjLoc,EmCost,5)+VLOOKUP(AH24,EmBus1,6)*VLOOKUP(ProjLoc,EmCost,6)+VLOOKUP(AH24,EmBus1,7)*VLOOKUP(ProjLoc,EmCost,7))</f>
        <v>#N/A</v>
      </c>
      <c r="AK24" s="285" t="e">
        <f>AI24-AJ24</f>
        <v>#N/A</v>
      </c>
      <c r="AL24" s="323" t="e">
        <f>$AK24/(1+DiscRate)^($AD24+Construct-1)</f>
        <v>#N/A</v>
      </c>
      <c r="AM24" s="474"/>
      <c r="AN24" s="1036">
        <f>0.00000110231131*(AE24*VLOOKUP(AG24,EmBus1,2)-AF24*VLOOKUP(AH24,EmBus1,2))</f>
        <v>0</v>
      </c>
      <c r="AO24" s="1321">
        <f>0.00000110231131*(AE24*VLOOKUP(AG24,EmBus1,3)-AF24*VLOOKUP(AH24,EmBus1,3))</f>
        <v>0</v>
      </c>
      <c r="AP24" s="1321">
        <f>0.00000110231131*(AE24*VLOOKUP(AG24,EmBus1,4)-AF24*VLOOKUP(AH24,EmBus1,4))</f>
        <v>0</v>
      </c>
      <c r="AQ24" s="1321">
        <f>0.00000110231131*(AE24*VLOOKUP(AG24,EmBus1,5)-AF24*VLOOKUP(AH24,EmBus1,5))</f>
        <v>0</v>
      </c>
      <c r="AR24" s="1321">
        <f>0.00000110231131*(AE24*VLOOKUP(AG24,EmBus1,6)-AF24*VLOOKUP(AH24,EmBus1,6))</f>
        <v>0</v>
      </c>
      <c r="AS24" s="1321">
        <f>0.00000110231131*(AE24*VLOOKUP(AG24,EmBus1,7)-AF24*VLOOKUP(AH24,EmBus1,7))</f>
        <v>0</v>
      </c>
      <c r="AT24" s="1329">
        <f>0.00000110231131*(AE24*VLOOKUP(AG24,EmBus1,8)-AF24*VLOOKUP(AH24,EmBus1,8))</f>
        <v>0</v>
      </c>
      <c r="AU24" s="515" t="e">
        <f>AN24*VLOOKUP(ProjLoc,EmCost,2)/(1+DiscRate)^($AD24+Construct-1)</f>
        <v>#N/A</v>
      </c>
      <c r="AV24" s="1331" t="e">
        <f>AO24*VLOOKUP(ProjLoc,EmCost,3)*(1+CO2Uprater)^($AD24+Construct-1)/(1+DiscRate)^($AD24+Construct-1)</f>
        <v>#N/A</v>
      </c>
      <c r="AW24" s="1331" t="e">
        <f>AP24*VLOOKUP(ProjLoc,EmCost,4)/(1+DiscRate)^($AD24+Construct-1)</f>
        <v>#N/A</v>
      </c>
      <c r="AX24" s="1331" t="e">
        <f>AQ24*VLOOKUP(ProjLoc,EmCost,5)/(1+DiscRate)^($AD24+Construct-1)</f>
        <v>#N/A</v>
      </c>
      <c r="AY24" s="1331" t="e">
        <f>AR24*VLOOKUP(ProjLoc,EmCost,6)/(1+DiscRate)^($AD24+Construct-1)</f>
        <v>#N/A</v>
      </c>
      <c r="AZ24" s="498" t="e">
        <f>AS24*VLOOKUP(ProjLoc,EmCost,7)/(1+DiscRate)^($AD24+Construct-1)</f>
        <v>#N/A</v>
      </c>
      <c r="BB24" s="327">
        <v>1</v>
      </c>
      <c r="BC24" s="478" t="e">
        <f>N24</f>
        <v>#N/A</v>
      </c>
      <c r="BD24" s="478" t="e">
        <f>N55</f>
        <v>#N/A</v>
      </c>
      <c r="BE24" s="478" t="e">
        <f>N86</f>
        <v>#N/A</v>
      </c>
      <c r="BF24" s="478" t="e">
        <f>N117</f>
        <v>#N/A</v>
      </c>
      <c r="BG24" s="478">
        <f>N148</f>
        <v>0</v>
      </c>
      <c r="BH24" s="478" t="e">
        <f>N179</f>
        <v>#N/A</v>
      </c>
      <c r="BI24" s="478" t="e">
        <f>N210</f>
        <v>#N/A</v>
      </c>
      <c r="BJ24" s="478" t="e">
        <f>N241</f>
        <v>#N/A</v>
      </c>
      <c r="BK24" s="478" t="e">
        <f>N272</f>
        <v>#N/A</v>
      </c>
      <c r="BL24" s="478" t="e">
        <f>AL24</f>
        <v>#N/A</v>
      </c>
      <c r="BM24" s="478" t="e">
        <f>AL55</f>
        <v>#N/A</v>
      </c>
      <c r="BN24" s="478" t="e">
        <f>AL86</f>
        <v>#N/A</v>
      </c>
      <c r="BO24" s="478" t="e">
        <f>AL117</f>
        <v>#N/A</v>
      </c>
      <c r="BP24" s="323" t="e">
        <f>IF(Emissions&lt;&gt;"N",SUM(BC24:BO24),0)</f>
        <v>#N/A</v>
      </c>
      <c r="BQ24" s="588"/>
      <c r="BR24" s="323" t="e">
        <f>$BP24*(1+DiscRate)^($B24+Construct-1)</f>
        <v>#N/A</v>
      </c>
      <c r="BT24" s="1036">
        <f>P24+P55+P86+P117+P148+P179+P210+P241+P272+AN24+AN55+AN86+AN117</f>
        <v>0</v>
      </c>
      <c r="BU24" s="1321">
        <f>Q24+Q55+Q86+Q117+Q148+Q179+Q210+Q241+Q272+AO24+AO55+AO86+AO117</f>
        <v>0</v>
      </c>
      <c r="BV24" s="1321">
        <f t="shared" ref="BV24:BZ24" si="0">R24+R55+R86+R117+R148+R179+R210+R241+R272+AP24+AP55+AP86+AP117</f>
        <v>0</v>
      </c>
      <c r="BW24" s="1321">
        <f t="shared" si="0"/>
        <v>0</v>
      </c>
      <c r="BX24" s="1321">
        <f t="shared" si="0"/>
        <v>0</v>
      </c>
      <c r="BY24" s="1321">
        <f t="shared" si="0"/>
        <v>0</v>
      </c>
      <c r="BZ24" s="1323">
        <f t="shared" si="0"/>
        <v>0</v>
      </c>
      <c r="CA24" s="515" t="e">
        <f>W24+W55+W86+W117+W148+W179+W210+W241+W272+AU24+AU55+AU86+AU117</f>
        <v>#N/A</v>
      </c>
      <c r="CB24" s="1331" t="e">
        <f>X24+X55+X86+X117+X148+X179+X210+X241+X272+AV24+AV55+AV86+AV117</f>
        <v>#N/A</v>
      </c>
      <c r="CC24" s="1331" t="e">
        <f t="shared" ref="CC24:CF24" si="1">Y24+Y55+Y86+Y117+Y148+Y179+Y210+Y241+Y272+AW24+AW55+AW86+AW117</f>
        <v>#N/A</v>
      </c>
      <c r="CD24" s="1331" t="e">
        <f t="shared" si="1"/>
        <v>#N/A</v>
      </c>
      <c r="CE24" s="1331" t="e">
        <f t="shared" si="1"/>
        <v>#N/A</v>
      </c>
      <c r="CF24" s="498" t="e">
        <f t="shared" si="1"/>
        <v>#N/A</v>
      </c>
    </row>
    <row r="25" spans="1:84" x14ac:dyDescent="0.25">
      <c r="B25" s="328">
        <v>20</v>
      </c>
      <c r="C25" s="353">
        <f>PHV20NB*AnnualFactor</f>
        <v>0</v>
      </c>
      <c r="D25" s="354">
        <f>PHV20B*AnnualFactor</f>
        <v>0</v>
      </c>
      <c r="E25" s="365">
        <f>ROUND(PHS20NB,1)</f>
        <v>55</v>
      </c>
      <c r="F25" s="366">
        <f>ROUND(PHS20B,1)</f>
        <v>55</v>
      </c>
      <c r="G25" s="339">
        <f>ImpactedNB*C25</f>
        <v>0</v>
      </c>
      <c r="H25" s="435">
        <f>ImpactedB*D25</f>
        <v>0</v>
      </c>
      <c r="I25" s="521" t="e">
        <f>G25*0.00000110231131*(VLOOKUP(E25,EmAuto20,2)*VLOOKUP(ProjLoc,EmCost,2)+VLOOKUP(E25,EmAuto20,3)*VLOOKUP(ProjLoc,EmCost,3)*(1+CO2Uprater)^($B25+Construct-1)+VLOOKUP(E25,EmAuto20,4)*VLOOKUP(ProjLoc,EmCost,4)+VLOOKUP(E25,EmAuto20,5)*VLOOKUP(ProjLoc,EmCost,5)+VLOOKUP(E25,EmAuto20,6)*VLOOKUP(ProjLoc,EmCost,6)+VLOOKUP(E25,EmAuto20,7)*VLOOKUP(ProjLoc,EmCost,7))</f>
        <v>#N/A</v>
      </c>
      <c r="J25" s="499" t="e">
        <f>H25*0.00000110231131*(VLOOKUP(F25,EmAuto20,2)*VLOOKUP(ProjLoc,EmCost,2)+VLOOKUP(F25,EmAuto20,3)*VLOOKUP(ProjLoc,EmCost,3)*(1+CO2Uprater)^($B25+Construct-1)+VLOOKUP(F25,EmAuto20,4)*VLOOKUP(ProjLoc,EmCost,4)+VLOOKUP(F25,EmAuto20,5)*VLOOKUP(ProjLoc,EmCost,5)+VLOOKUP(F25,EmAuto20,6)*VLOOKUP(ProjLoc,EmCost,6)+VLOOKUP(F25,EmAuto20,7)*VLOOKUP(ProjLoc,EmCost,7))</f>
        <v>#N/A</v>
      </c>
      <c r="K25" s="520" t="e">
        <f>C25*0.00000110231131*(VLOOKUP(0,EmAuto20,2)*VLOOKUP(ProjLoc,EmCost,2)+VLOOKUP(0,EmAuto20,3)*VLOOKUP(ProjLoc,EmCost,3)*(1+CO2Uprater)^($B25+Construct-1)+VLOOKUP(0,EmAuto20,4)*VLOOKUP(ProjLoc,EmCost,4)+VLOOKUP(0,EmAuto20,5)*VLOOKUP(ProjLoc,EmCost,5)+VLOOKUP(0,EmAuto20,6)*VLOOKUP(ProjLoc,EmCost,6)+VLOOKUP(0,EmAuto20,7)*VLOOKUP(ProjLoc,EmCost,7))</f>
        <v>#N/A</v>
      </c>
      <c r="L25" s="499" t="e">
        <f>D25*0.00000110231131*(VLOOKUP(0,EmAuto20,2)*VLOOKUP(ProjLoc,EmCost,2)+VLOOKUP(0,EmAuto20,3)*VLOOKUP(ProjLoc,EmCost,3)*(1+CO2Uprater)^($B25+Construct-1)+VLOOKUP(0,EmAuto20,4)*VLOOKUP(ProjLoc,EmCost,4)+VLOOKUP(0,EmAuto20,5)*VLOOKUP(ProjLoc,EmCost,5)+VLOOKUP(0,EmAuto20,6)*VLOOKUP(ProjLoc,EmCost,6)+VLOOKUP(0,EmAuto20,7)*VLOOKUP(ProjLoc,EmCost,7))</f>
        <v>#N/A</v>
      </c>
      <c r="M25" s="285" t="e">
        <f>(I25+K25)-(J25+L25)</f>
        <v>#N/A</v>
      </c>
      <c r="N25" s="323" t="e">
        <f>$M25/(1+DiscRate)^($B25+Construct-1)</f>
        <v>#N/A</v>
      </c>
      <c r="O25" s="474"/>
      <c r="P25" s="1037">
        <f>0.00000110231131*(G25*VLOOKUP(E25,EmAuto20,2)-H25*VLOOKUP(F25,EmAuto20,2)+(C25-D25)*VLOOKUP(0,EmAuto20,2))</f>
        <v>0</v>
      </c>
      <c r="Q25" s="1322">
        <f>0.00000110231131*(G25*VLOOKUP(E25,EmAuto20,3)-H25*VLOOKUP(F25,EmAuto20,3)+(C25-D25)*VLOOKUP(0,EmAuto20,3))</f>
        <v>0</v>
      </c>
      <c r="R25" s="1322">
        <f>0.00000110231131*(G25*VLOOKUP(E25,EmAuto20,4)-H25*VLOOKUP(F25,EmAuto20,4)+(C25-D25)*VLOOKUP(0,EmAuto20,4))</f>
        <v>0</v>
      </c>
      <c r="S25" s="1322">
        <f>0.00000110231131*(G25*VLOOKUP(E25,EmAuto20,5)-H25*VLOOKUP(F25,EmAuto20,5)+(C25-D25)*VLOOKUP(0,EmAuto20,5))</f>
        <v>0</v>
      </c>
      <c r="T25" s="1322">
        <f>0.00000110231131*(G25*VLOOKUP(E25,EmAuto20,6)-H25*VLOOKUP(F25,EmAuto20,6)+(C25-D25)*VLOOKUP(0,EmAuto20,6))</f>
        <v>0</v>
      </c>
      <c r="U25" s="1322">
        <f>0.00000110231131*(G25*VLOOKUP(E25,EmAuto20,7)-H25*VLOOKUP(F25,EmAuto20,7)+(C25-D25)*VLOOKUP(0,EmAuto20,7))</f>
        <v>0</v>
      </c>
      <c r="V25" s="1330">
        <f>0.00000110231131*(G25*VLOOKUP(E25,EmAuto20,8)-H25*VLOOKUP(F25,EmAuto20,8)+(C25-D25)*VLOOKUP(0,EmAuto20,8))</f>
        <v>0</v>
      </c>
      <c r="W25" s="520" t="e">
        <f>P25*VLOOKUP(ProjLoc,EmCost,2)/(1+DiscRate)^($B25+Construct-1)</f>
        <v>#N/A</v>
      </c>
      <c r="X25" s="1332" t="e">
        <f>Q25*VLOOKUP(ProjLoc,EmCost,3)*(1+CO2Uprater)^($B25+Construct-1)/(1+DiscRate)^($B25+Construct-1)</f>
        <v>#N/A</v>
      </c>
      <c r="Y25" s="1332" t="e">
        <f>R25*VLOOKUP(ProjLoc,EmCost,4)/(1+DiscRate)^($B25+Construct-1)</f>
        <v>#N/A</v>
      </c>
      <c r="Z25" s="1332" t="e">
        <f>S25*VLOOKUP(ProjLoc,EmCost,5)/(1+DiscRate)^($B25+Construct-1)</f>
        <v>#N/A</v>
      </c>
      <c r="AA25" s="1332" t="e">
        <f>T25*VLOOKUP(ProjLoc,EmCost,6)/(1+DiscRate)^($B25+Construct-1)</f>
        <v>#N/A</v>
      </c>
      <c r="AB25" s="499" t="e">
        <f>U25*VLOOKUP(ProjLoc,EmCost,7)/(1+DiscRate)^($B25+Construct-1)</f>
        <v>#N/A</v>
      </c>
      <c r="AD25" s="328">
        <v>20</v>
      </c>
      <c r="AE25" s="353">
        <f>IF(Bus,TVehMi20NB*TPerPeak,0)</f>
        <v>0</v>
      </c>
      <c r="AF25" s="354">
        <f>IF(Bus,TVehMi20B*TPerPeak,0)</f>
        <v>0</v>
      </c>
      <c r="AG25" s="627">
        <f>IF(Exclusive="Y",IF(FFSpeedNB=0,FFSpeedB,FFSpeedNB),PNS20NB)</f>
        <v>55</v>
      </c>
      <c r="AH25" s="628">
        <f>IF(OR(Exclusive="Y",BRT),FFSpeedB,PNS20B)</f>
        <v>55</v>
      </c>
      <c r="AI25" s="520" t="e">
        <f>AE25*0.00000110231131*(VLOOKUP(AG25,EmBus20,2)*VLOOKUP(ProjLoc,EmCost,2)+VLOOKUP(AG25,EmBus20,3)*VLOOKUP(ProjLoc,EmCost,3)*(1+CO2Uprater)^($AD25+Construct-1)+VLOOKUP(AG25,EmBus20,4)*VLOOKUP(ProjLoc,EmCost,4)+VLOOKUP(AG25,EmBus20,5)*VLOOKUP(ProjLoc,EmCost,5)+VLOOKUP(AG25,EmBus20,6)*VLOOKUP(ProjLoc,EmCost,6)+VLOOKUP(AG25,EmBus20,7)*VLOOKUP(ProjLoc,EmCost,7))</f>
        <v>#N/A</v>
      </c>
      <c r="AJ25" s="499" t="e">
        <f>AF25*0.00000110231131*(VLOOKUP(AH25,EmBus20,2)*VLOOKUP(ProjLoc,EmCost,2)+VLOOKUP(AH25,EmBus20,3)*VLOOKUP(ProjLoc,EmCost,3)*(1+CO2Uprater)^($AD25+Construct-1)+VLOOKUP(AH25,EmBus20,4)*VLOOKUP(ProjLoc,EmCost,4)+VLOOKUP(AH25,EmBus20,5)*VLOOKUP(ProjLoc,EmCost,5)+VLOOKUP(AH25,EmBus20,6)*VLOOKUP(ProjLoc,EmCost,6)+VLOOKUP(AH25,EmBus20,7)*VLOOKUP(ProjLoc,EmCost,7))</f>
        <v>#N/A</v>
      </c>
      <c r="AK25" s="285" t="e">
        <f>AI25-AJ25</f>
        <v>#N/A</v>
      </c>
      <c r="AL25" s="323" t="e">
        <f>$AK25/(1+DiscRate)^($AD25+Construct-1)</f>
        <v>#N/A</v>
      </c>
      <c r="AM25" s="474"/>
      <c r="AN25" s="1037">
        <f>0.00000110231131*(AE25*VLOOKUP(AG25,EmBus20,2)-AF25*VLOOKUP(AH25,EmBus20,2))</f>
        <v>0</v>
      </c>
      <c r="AO25" s="1322">
        <f>0.00000110231131*(AE25*VLOOKUP(AG25,EmBus20,3)-AF25*VLOOKUP(AH25,EmBus20,3))</f>
        <v>0</v>
      </c>
      <c r="AP25" s="1322">
        <f>0.00000110231131*(AE25*VLOOKUP(AG25,EmBus20,4)-AF25*VLOOKUP(AH25,EmBus20,4))</f>
        <v>0</v>
      </c>
      <c r="AQ25" s="1322">
        <f>0.00000110231131*(AE25*VLOOKUP(AG25,EmBus20,5)-AF25*VLOOKUP(AH25,EmBus20,5))</f>
        <v>0</v>
      </c>
      <c r="AR25" s="1322">
        <f>0.00000110231131*(AE25*VLOOKUP(AG25,EmBus20,6)-AF25*VLOOKUP(AH25,EmBus20,6))</f>
        <v>0</v>
      </c>
      <c r="AS25" s="1322">
        <f>0.00000110231131*(AE25*VLOOKUP(AG25,EmBus20,7)-AF25*VLOOKUP(AH25,EmBus20,7))</f>
        <v>0</v>
      </c>
      <c r="AT25" s="1330">
        <f>0.00000110231131*(AE25*VLOOKUP(AG25,EmBus20,8)-AF25*VLOOKUP(AH25,EmBus20,8))</f>
        <v>0</v>
      </c>
      <c r="AU25" s="520" t="e">
        <f>AN25*VLOOKUP(ProjLoc,EmCost,2)/(1+DiscRate)^($AD25+Construct-1)</f>
        <v>#N/A</v>
      </c>
      <c r="AV25" s="1332" t="e">
        <f>AO25*VLOOKUP(ProjLoc,EmCost,3)*(1+CO2Uprater)^($AD25+Construct-1)/(1+DiscRate)^($AD25+Construct-1)</f>
        <v>#N/A</v>
      </c>
      <c r="AW25" s="1332" t="e">
        <f>AP25*VLOOKUP(ProjLoc,EmCost,4)/(1+DiscRate)^($AD25+Construct-1)</f>
        <v>#N/A</v>
      </c>
      <c r="AX25" s="1332" t="e">
        <f>AQ25*VLOOKUP(ProjLoc,EmCost,5)/(1+DiscRate)^($AD25+Construct-1)</f>
        <v>#N/A</v>
      </c>
      <c r="AY25" s="1332" t="e">
        <f>AR25*VLOOKUP(ProjLoc,EmCost,6)/(1+DiscRate)^($AD25+Construct-1)</f>
        <v>#N/A</v>
      </c>
      <c r="AZ25" s="499" t="e">
        <f>AS25*VLOOKUP(ProjLoc,EmCost,7)/(1+DiscRate)^($AD25+Construct-1)</f>
        <v>#N/A</v>
      </c>
      <c r="BB25" s="328">
        <v>20</v>
      </c>
      <c r="BC25" s="478" t="e">
        <f>N25</f>
        <v>#N/A</v>
      </c>
      <c r="BD25" s="478" t="e">
        <f>N56</f>
        <v>#N/A</v>
      </c>
      <c r="BE25" s="478" t="e">
        <f>N87</f>
        <v>#N/A</v>
      </c>
      <c r="BF25" s="478" t="e">
        <f>N118</f>
        <v>#N/A</v>
      </c>
      <c r="BG25" s="478">
        <f>N149</f>
        <v>0</v>
      </c>
      <c r="BH25" s="478" t="e">
        <f>N180</f>
        <v>#N/A</v>
      </c>
      <c r="BI25" s="478" t="e">
        <f>N211</f>
        <v>#N/A</v>
      </c>
      <c r="BJ25" s="478" t="e">
        <f>N242</f>
        <v>#N/A</v>
      </c>
      <c r="BK25" s="478" t="e">
        <f>N273</f>
        <v>#N/A</v>
      </c>
      <c r="BL25" s="478" t="e">
        <f>AL25</f>
        <v>#N/A</v>
      </c>
      <c r="BM25" s="478" t="e">
        <f>AL56</f>
        <v>#N/A</v>
      </c>
      <c r="BN25" s="478" t="e">
        <f>AL87</f>
        <v>#N/A</v>
      </c>
      <c r="BO25" s="478" t="e">
        <f>AL118</f>
        <v>#N/A</v>
      </c>
      <c r="BP25" s="323" t="e">
        <f>IF(Emissions&lt;&gt;"N",SUM(BC25:BO25),0)</f>
        <v>#N/A</v>
      </c>
      <c r="BQ25" s="588"/>
      <c r="BR25" s="323" t="e">
        <f>$BP25*(1+DiscRate)^($B25+Construct-1)</f>
        <v>#N/A</v>
      </c>
      <c r="BT25" s="1037">
        <f>P25+P56+P87+P118+P149+P180+P211+P242+P273+AN25+AN56+AN87+AN118</f>
        <v>0</v>
      </c>
      <c r="BU25" s="1322">
        <f>Q25+Q56+Q87+Q118+Q149+Q180+Q211+Q242+Q273+AO25+AO56+AO87+AO118</f>
        <v>0</v>
      </c>
      <c r="BV25" s="1322">
        <f t="shared" ref="BV25:BZ25" si="2">R25+R56+R87+R118+R149+R180+R211+R242+R273+AP25+AP56+AP87+AP118</f>
        <v>0</v>
      </c>
      <c r="BW25" s="1322">
        <f t="shared" si="2"/>
        <v>0</v>
      </c>
      <c r="BX25" s="1322">
        <f t="shared" si="2"/>
        <v>0</v>
      </c>
      <c r="BY25" s="1322">
        <f t="shared" si="2"/>
        <v>0</v>
      </c>
      <c r="BZ25" s="1326">
        <f t="shared" si="2"/>
        <v>0</v>
      </c>
      <c r="CA25" s="520" t="e">
        <f>W25+W56+W87+W118+W149+W180+W211+W242+W273+AU25+AU56+AU87+AU118</f>
        <v>#N/A</v>
      </c>
      <c r="CB25" s="1332" t="e">
        <f>X25+X56+X87+X118+X149+X180+X211+X242+X273+AV25+AV56+AV87+AV118</f>
        <v>#N/A</v>
      </c>
      <c r="CC25" s="1332" t="e">
        <f t="shared" ref="CC25:CF25" si="3">Y25+Y56+Y87+Y118+Y149+Y180+Y211+Y242+Y273+AW25+AW56+AW87+AW118</f>
        <v>#N/A</v>
      </c>
      <c r="CD25" s="1332" t="e">
        <f t="shared" si="3"/>
        <v>#N/A</v>
      </c>
      <c r="CE25" s="1332" t="e">
        <f t="shared" si="3"/>
        <v>#N/A</v>
      </c>
      <c r="CF25" s="499" t="e">
        <f t="shared" si="3"/>
        <v>#N/A</v>
      </c>
    </row>
    <row r="26" spans="1:84" x14ac:dyDescent="0.25">
      <c r="B26" s="357"/>
      <c r="C26" s="355"/>
      <c r="D26" s="355"/>
      <c r="E26" s="367"/>
      <c r="F26" s="367"/>
      <c r="G26" s="356"/>
      <c r="H26" s="356"/>
      <c r="I26" s="356"/>
      <c r="J26" s="356"/>
      <c r="K26" s="356"/>
      <c r="L26" s="356"/>
      <c r="M26" s="356"/>
      <c r="N26" s="358"/>
      <c r="O26" s="475"/>
      <c r="P26" s="358"/>
      <c r="Q26" s="358"/>
      <c r="R26" s="358"/>
      <c r="S26" s="358"/>
      <c r="T26" s="358"/>
      <c r="U26" s="358"/>
      <c r="V26" s="358"/>
      <c r="W26" s="358"/>
      <c r="X26" s="356"/>
      <c r="Y26" s="358"/>
      <c r="Z26" s="358"/>
      <c r="AA26" s="358"/>
      <c r="AB26" s="358"/>
      <c r="AD26" s="357"/>
      <c r="AE26" s="355"/>
      <c r="AF26" s="355"/>
      <c r="AG26" s="367"/>
      <c r="AH26" s="367"/>
      <c r="AI26" s="356"/>
      <c r="AJ26" s="356"/>
      <c r="AK26" s="356"/>
      <c r="AL26" s="358"/>
      <c r="AM26" s="475"/>
      <c r="AN26" s="358"/>
      <c r="AO26" s="358"/>
      <c r="AP26" s="358"/>
      <c r="AQ26" s="358"/>
      <c r="AR26" s="358"/>
      <c r="AS26" s="358"/>
      <c r="AT26" s="358"/>
      <c r="AU26" s="358"/>
      <c r="AV26" s="356"/>
      <c r="AW26" s="358"/>
      <c r="AX26" s="358"/>
      <c r="AY26" s="358"/>
      <c r="AZ26" s="358"/>
      <c r="BB26" s="357"/>
      <c r="BC26" s="358"/>
      <c r="BD26" s="358"/>
      <c r="BE26" s="358"/>
      <c r="BF26" s="358"/>
      <c r="BG26" s="358"/>
      <c r="BH26" s="358"/>
      <c r="BI26" s="358"/>
      <c r="BJ26" s="358"/>
      <c r="BK26" s="358"/>
      <c r="BL26" s="358"/>
      <c r="BM26" s="358"/>
      <c r="BN26" s="358"/>
      <c r="BO26" s="358"/>
      <c r="BP26" s="358"/>
      <c r="BQ26" s="475"/>
      <c r="BR26" s="358"/>
      <c r="BT26" s="358"/>
      <c r="BU26" s="358"/>
      <c r="BV26" s="358"/>
      <c r="BW26" s="358"/>
      <c r="BX26" s="358"/>
      <c r="BY26" s="358"/>
      <c r="BZ26" s="358"/>
      <c r="CA26" s="356"/>
      <c r="CB26" s="356"/>
      <c r="CC26" s="356"/>
      <c r="CD26" s="356"/>
      <c r="CE26" s="356"/>
      <c r="CF26" s="356"/>
    </row>
    <row r="27" spans="1:84" x14ac:dyDescent="0.25">
      <c r="B27" s="352">
        <v>2</v>
      </c>
      <c r="C27" s="368">
        <f>TREND(C24:C25,B24:B25,B27)</f>
        <v>0</v>
      </c>
      <c r="D27" s="369">
        <f>TREND(D24:D25,B24:B25,B27)</f>
        <v>0</v>
      </c>
      <c r="E27" s="370">
        <f>TREND(E24:E25,B24:B25,B27)</f>
        <v>55</v>
      </c>
      <c r="F27" s="371">
        <f>TREND(F24:F25,B24:B25,B27)</f>
        <v>55</v>
      </c>
      <c r="G27" s="339">
        <f t="shared" ref="G27:G44" si="4">ImpactedNB*C27</f>
        <v>0</v>
      </c>
      <c r="H27" s="434">
        <f t="shared" ref="H27:H44" si="5">ImpactedB*D27</f>
        <v>0</v>
      </c>
      <c r="I27" s="515" t="e">
        <f t="shared" ref="I27:J32" si="6">G27*0.00000110231131*(VLOOKUP(E27,EmAuto1,2)*VLOOKUP(ProjLoc,EmCost,2)+VLOOKUP(E27,EmAuto1,3)*VLOOKUP(ProjLoc,EmCost,3)*(1+CO2Uprater)^($B27+Construct-1)+VLOOKUP(E27,EmAuto1,4)*VLOOKUP(ProjLoc,EmCost,4)+VLOOKUP(E27,EmAuto1,5)*VLOOKUP(ProjLoc,EmCost,5)+VLOOKUP(E27,EmAuto1,6)*VLOOKUP(ProjLoc,EmCost,6)+VLOOKUP(E27,EmAuto1,7)*VLOOKUP(ProjLoc,EmCost,7))</f>
        <v>#N/A</v>
      </c>
      <c r="J27" s="498" t="e">
        <f t="shared" si="6"/>
        <v>#N/A</v>
      </c>
      <c r="K27" s="515" t="e">
        <f t="shared" ref="K27:L32" si="7">C27*0.00000110231131*(VLOOKUP(0,EmAuto1,2)*VLOOKUP(ProjLoc,EmCost,2)+VLOOKUP(0,EmAuto1,3)*VLOOKUP(ProjLoc,EmCost,3)*(1+CO2Uprater)^($B27+Construct-1)+VLOOKUP(0,EmAuto1,4)*VLOOKUP(ProjLoc,EmCost,4)+VLOOKUP(0,EmAuto1,5)*VLOOKUP(ProjLoc,EmCost,5)+VLOOKUP(0,EmAuto1,6)*VLOOKUP(ProjLoc,EmCost,6)+VLOOKUP(0,EmAuto1,7)*VLOOKUP(ProjLoc,EmCost,7))</f>
        <v>#N/A</v>
      </c>
      <c r="L27" s="498" t="e">
        <f t="shared" si="7"/>
        <v>#N/A</v>
      </c>
      <c r="M27" s="285" t="e">
        <f>(I27+K27)-(J27+L27)</f>
        <v>#N/A</v>
      </c>
      <c r="N27" s="323" t="e">
        <f t="shared" ref="N27:N44" si="8">$M27/(1+DiscRate)^($B27+Construct-1)</f>
        <v>#N/A</v>
      </c>
      <c r="O27" s="474"/>
      <c r="P27" s="1036">
        <f t="shared" ref="P27:P32" si="9">0.00000110231131*(G27*VLOOKUP(E27,EmAuto1,2)-H27*VLOOKUP(F27,EmAuto1,2)+(C27-D27)*VLOOKUP(0,EmAuto1,2))</f>
        <v>0</v>
      </c>
      <c r="Q27" s="1321">
        <f t="shared" ref="Q27:Q32" si="10">0.00000110231131*(G27*VLOOKUP(E27,EmAuto1,3)-H27*VLOOKUP(F27,EmAuto1,3)+(C27-D27)*VLOOKUP(0,EmAuto1,3))</f>
        <v>0</v>
      </c>
      <c r="R27" s="1321">
        <f t="shared" ref="R27:R32" si="11">0.00000110231131*(G27*VLOOKUP(E27,EmAuto1,4)-H27*VLOOKUP(F27,EmAuto1,4)+(C27-D27)*VLOOKUP(0,EmAuto1,4))</f>
        <v>0</v>
      </c>
      <c r="S27" s="1321">
        <f t="shared" ref="S27:S32" si="12">0.00000110231131*(G27*VLOOKUP(E27,EmAuto1,5)-H27*VLOOKUP(F27,EmAuto1,5)+(C27-D27)*VLOOKUP(0,EmAuto1,5))</f>
        <v>0</v>
      </c>
      <c r="T27" s="1321">
        <f t="shared" ref="T27:T32" si="13">0.00000110231131*(G27*VLOOKUP(E27,EmAuto1,6)-H27*VLOOKUP(F27,EmAuto1,6)+(C27-D27)*VLOOKUP(0,EmAuto1,6))</f>
        <v>0</v>
      </c>
      <c r="U27" s="1321">
        <f t="shared" ref="U27:U32" si="14">0.00000110231131*(G27*VLOOKUP(E27,EmAuto1,7)-H27*VLOOKUP(F27,EmAuto1,7)+(C27-D27)*VLOOKUP(0,EmAuto1,7))</f>
        <v>0</v>
      </c>
      <c r="V27" s="1323">
        <f t="shared" ref="V27:V32" si="15">0.00000110231131*(G27*VLOOKUP(E27,EmAuto1,8)-H27*VLOOKUP(F27,EmAuto1,8)+(C27-D27)*VLOOKUP(0,EmAuto1,8))</f>
        <v>0</v>
      </c>
      <c r="W27" s="515" t="e">
        <f t="shared" ref="W27:W44" si="16">P27*VLOOKUP(ProjLoc,EmCost,2)/(1+DiscRate)^($B27+Construct-1)</f>
        <v>#N/A</v>
      </c>
      <c r="X27" s="1331" t="e">
        <f t="shared" ref="X27:X44" si="17">Q27*VLOOKUP(ProjLoc,EmCost,3)*(1+CO2Uprater)^($B27+Construct-1)/(1+DiscRate)^($B27+Construct-1)</f>
        <v>#N/A</v>
      </c>
      <c r="Y27" s="1331" t="e">
        <f t="shared" ref="Y27:Y44" si="18">R27*VLOOKUP(ProjLoc,EmCost,4)/(1+DiscRate)^($B27+Construct-1)</f>
        <v>#N/A</v>
      </c>
      <c r="Z27" s="1331" t="e">
        <f t="shared" ref="Z27:Z44" si="19">S27*VLOOKUP(ProjLoc,EmCost,5)/(1+DiscRate)^($B27+Construct-1)</f>
        <v>#N/A</v>
      </c>
      <c r="AA27" s="1331" t="e">
        <f t="shared" ref="AA27:AA44" si="20">T27*VLOOKUP(ProjLoc,EmCost,6)/(1+DiscRate)^($B27+Construct-1)</f>
        <v>#N/A</v>
      </c>
      <c r="AB27" s="498" t="e">
        <f t="shared" ref="AB27:AB44" si="21">U27*VLOOKUP(ProjLoc,EmCost,7)/(1+DiscRate)^($B27+Construct-1)</f>
        <v>#N/A</v>
      </c>
      <c r="AD27" s="352">
        <v>2</v>
      </c>
      <c r="AE27" s="368">
        <f>TREND(AE24:AE25,AD24:AD25,AD27)</f>
        <v>0</v>
      </c>
      <c r="AF27" s="629">
        <f>TREND(AF24:AF25,AD24:AD25,AD27)</f>
        <v>0</v>
      </c>
      <c r="AG27" s="632">
        <f>TREND(AG24:AG25,AD24:AD25,AD27)</f>
        <v>55</v>
      </c>
      <c r="AH27" s="371">
        <f>TREND(AH24:AH25,AD24:AD25,AD27)</f>
        <v>55</v>
      </c>
      <c r="AI27" s="515" t="e">
        <f t="shared" ref="AI27:AJ32" si="22">AE27*0.00000110231131*(VLOOKUP(AG27,EmBus1,2)*VLOOKUP(ProjLoc,EmCost,2)+VLOOKUP(AG27,EmBus1,3)*VLOOKUP(ProjLoc,EmCost,3)*(1+CO2Uprater)^($AD27+Construct-1)+VLOOKUP(AG27,EmBus1,4)*VLOOKUP(ProjLoc,EmCost,4)+VLOOKUP(AG27,EmBus1,5)*VLOOKUP(ProjLoc,EmCost,5)+VLOOKUP(AG27,EmBus1,6)*VLOOKUP(ProjLoc,EmCost,6)+VLOOKUP(AG27,EmBus1,7)*VLOOKUP(ProjLoc,EmCost,7))</f>
        <v>#N/A</v>
      </c>
      <c r="AJ27" s="498" t="e">
        <f t="shared" si="22"/>
        <v>#N/A</v>
      </c>
      <c r="AK27" s="285" t="e">
        <f t="shared" ref="AK27:AK44" si="23">AI27-AJ27</f>
        <v>#N/A</v>
      </c>
      <c r="AL27" s="323" t="e">
        <f t="shared" ref="AL27:AL44" si="24">$AK27/(1+DiscRate)^($AD27+Construct-1)</f>
        <v>#N/A</v>
      </c>
      <c r="AM27" s="474"/>
      <c r="AN27" s="1036">
        <f t="shared" ref="AN27:AN32" si="25">0.00000110231131*(AE27*VLOOKUP(AG27,EmBus1,2)-AF27*VLOOKUP(AH27,EmBus1,2))</f>
        <v>0</v>
      </c>
      <c r="AO27" s="1321">
        <f t="shared" ref="AO27:AO32" si="26">0.00000110231131*(AE27*VLOOKUP(AG27,EmBus1,3)-AF27*VLOOKUP(AH27,EmBus1,3))</f>
        <v>0</v>
      </c>
      <c r="AP27" s="1321">
        <f t="shared" ref="AP27:AP32" si="27">0.00000110231131*(AE27*VLOOKUP(AG27,EmBus1,4)-AF27*VLOOKUP(AH27,EmBus1,4))</f>
        <v>0</v>
      </c>
      <c r="AQ27" s="1321">
        <f t="shared" ref="AQ27:AQ32" si="28">0.00000110231131*(AE27*VLOOKUP(AG27,EmBus1,5)-AF27*VLOOKUP(AH27,EmBus1,5))</f>
        <v>0</v>
      </c>
      <c r="AR27" s="1321">
        <f t="shared" ref="AR27:AR32" si="29">0.00000110231131*(AE27*VLOOKUP(AG27,EmBus1,6)-AF27*VLOOKUP(AH27,EmBus1,6))</f>
        <v>0</v>
      </c>
      <c r="AS27" s="1321">
        <f t="shared" ref="AS27:AS32" si="30">0.00000110231131*(AE27*VLOOKUP(AG27,EmBus1,7)-AF27*VLOOKUP(AH27,EmBus1,7))</f>
        <v>0</v>
      </c>
      <c r="AT27" s="1323">
        <f t="shared" ref="AT27:AT32" si="31">0.00000110231131*(AE27*VLOOKUP(AG27,EmBus1,8)-AF27*VLOOKUP(AH27,EmBus1,8))</f>
        <v>0</v>
      </c>
      <c r="AU27" s="515" t="e">
        <f t="shared" ref="AU27:AU44" si="32">AN27*VLOOKUP(ProjLoc,EmCost,2)/(1+DiscRate)^($AD27+Construct-1)</f>
        <v>#N/A</v>
      </c>
      <c r="AV27" s="1331" t="e">
        <f t="shared" ref="AV27:AV44" si="33">AO27*VLOOKUP(ProjLoc,EmCost,3)*(1+CO2Uprater)^($AD27+Construct-1)/(1+DiscRate)^($AD27+Construct-1)</f>
        <v>#N/A</v>
      </c>
      <c r="AW27" s="1331" t="e">
        <f t="shared" ref="AW27:AW44" si="34">AP27*VLOOKUP(ProjLoc,EmCost,4)/(1+DiscRate)^($AD27+Construct-1)</f>
        <v>#N/A</v>
      </c>
      <c r="AX27" s="1331" t="e">
        <f t="shared" ref="AX27:AX44" si="35">AQ27*VLOOKUP(ProjLoc,EmCost,5)/(1+DiscRate)^($AD27+Construct-1)</f>
        <v>#N/A</v>
      </c>
      <c r="AY27" s="1331" t="e">
        <f t="shared" ref="AY27:AY44" si="36">AR27*VLOOKUP(ProjLoc,EmCost,6)/(1+DiscRate)^($AD27+Construct-1)</f>
        <v>#N/A</v>
      </c>
      <c r="AZ27" s="498" t="e">
        <f t="shared" ref="AZ27:AZ44" si="37">AS27*VLOOKUP(ProjLoc,EmCost,7)/(1+DiscRate)^($AD27+Construct-1)</f>
        <v>#N/A</v>
      </c>
      <c r="BB27" s="352">
        <v>2</v>
      </c>
      <c r="BC27" s="478" t="e">
        <f t="shared" ref="BC27:BC44" si="38">N27</f>
        <v>#N/A</v>
      </c>
      <c r="BD27" s="478" t="e">
        <f t="shared" ref="BD27:BD44" si="39">N58</f>
        <v>#N/A</v>
      </c>
      <c r="BE27" s="478" t="e">
        <f t="shared" ref="BE27:BE44" si="40">N89</f>
        <v>#N/A</v>
      </c>
      <c r="BF27" s="478" t="e">
        <f t="shared" ref="BF27:BF44" si="41">N120</f>
        <v>#N/A</v>
      </c>
      <c r="BG27" s="478">
        <f t="shared" ref="BG27:BG44" si="42">N151</f>
        <v>0</v>
      </c>
      <c r="BH27" s="478" t="e">
        <f t="shared" ref="BH27:BH44" si="43">N182</f>
        <v>#N/A</v>
      </c>
      <c r="BI27" s="478" t="e">
        <f t="shared" ref="BI27:BI44" si="44">N213</f>
        <v>#N/A</v>
      </c>
      <c r="BJ27" s="478" t="e">
        <f t="shared" ref="BJ27:BJ44" si="45">N244</f>
        <v>#N/A</v>
      </c>
      <c r="BK27" s="478" t="e">
        <f t="shared" ref="BK27:BK44" si="46">N275</f>
        <v>#N/A</v>
      </c>
      <c r="BL27" s="478" t="e">
        <f t="shared" ref="BL27:BL44" si="47">AL27</f>
        <v>#N/A</v>
      </c>
      <c r="BM27" s="478" t="e">
        <f t="shared" ref="BM27:BM44" si="48">AL58</f>
        <v>#N/A</v>
      </c>
      <c r="BN27" s="478" t="e">
        <f t="shared" ref="BN27:BN44" si="49">AL89</f>
        <v>#N/A</v>
      </c>
      <c r="BO27" s="478" t="e">
        <f t="shared" ref="BO27:BO44" si="50">AL120</f>
        <v>#N/A</v>
      </c>
      <c r="BP27" s="323" t="e">
        <f t="shared" ref="BP27:BP44" si="51">IF(Emissions&lt;&gt;"N",SUM(BC27:BO27),0)</f>
        <v>#N/A</v>
      </c>
      <c r="BQ27" s="588"/>
      <c r="BR27" s="323" t="e">
        <f t="shared" ref="BR27:BR44" si="52">$BP27*(1+DiscRate)^($B27+Construct-1)</f>
        <v>#N/A</v>
      </c>
      <c r="BT27" s="1036">
        <f t="shared" ref="BT27:BU44" si="53">P27+P58+P89+P120+P151+P182+P213+P244+P275+AN27+AN58+AN89+AN120</f>
        <v>0</v>
      </c>
      <c r="BU27" s="1321">
        <f t="shared" si="53"/>
        <v>0</v>
      </c>
      <c r="BV27" s="1321">
        <f t="shared" ref="BV27:BV44" si="54">R27+R58+R89+R120+R151+R182+R213+R244+R275+AP27+AP58+AP89+AP120</f>
        <v>0</v>
      </c>
      <c r="BW27" s="1321">
        <f t="shared" ref="BW27:BW44" si="55">S27+S58+S89+S120+S151+S182+S213+S244+S275+AQ27+AQ58+AQ89+AQ120</f>
        <v>0</v>
      </c>
      <c r="BX27" s="1321">
        <f t="shared" ref="BX27:BX44" si="56">T27+T58+T89+T120+T151+T182+T213+T244+T275+AR27+AR58+AR89+AR120</f>
        <v>0</v>
      </c>
      <c r="BY27" s="1321">
        <f t="shared" ref="BY27:BY44" si="57">U27+U58+U89+U120+U151+U182+U213+U244+U275+AS27+AS58+AS89+AS120</f>
        <v>0</v>
      </c>
      <c r="BZ27" s="1323">
        <f t="shared" ref="BZ27:BZ44" si="58">V27+V58+V89+V120+V151+V182+V213+V244+V275+AT27+AT58+AT89+AT120</f>
        <v>0</v>
      </c>
      <c r="CA27" s="515" t="e">
        <f t="shared" ref="CA27:CB44" si="59">W27+W58+W89+W120+W151+W182+W213+W244+W275+AU27+AU58+AU89+AU120</f>
        <v>#N/A</v>
      </c>
      <c r="CB27" s="1331" t="e">
        <f t="shared" si="59"/>
        <v>#N/A</v>
      </c>
      <c r="CC27" s="1331" t="e">
        <f t="shared" ref="CC27:CC44" si="60">Y27+Y58+Y89+Y120+Y151+Y182+Y213+Y244+Y275+AW27+AW58+AW89+AW120</f>
        <v>#N/A</v>
      </c>
      <c r="CD27" s="1331" t="e">
        <f t="shared" ref="CD27:CD44" si="61">Z27+Z58+Z89+Z120+Z151+Z182+Z213+Z244+Z275+AX27+AX58+AX89+AX120</f>
        <v>#N/A</v>
      </c>
      <c r="CE27" s="1331" t="e">
        <f t="shared" ref="CE27:CE44" si="62">AA27+AA58+AA89+AA120+AA151+AA182+AA213+AA244+AA275+AY27+AY58+AY89+AY120</f>
        <v>#N/A</v>
      </c>
      <c r="CF27" s="498" t="e">
        <f t="shared" ref="CF27:CF44" si="63">AB27+AB58+AB89+AB120+AB151+AB182+AB213+AB244+AB275+AZ27+AZ58+AZ89+AZ120</f>
        <v>#N/A</v>
      </c>
    </row>
    <row r="28" spans="1:84" x14ac:dyDescent="0.25">
      <c r="B28" s="327">
        <v>3</v>
      </c>
      <c r="C28" s="347">
        <f>TREND(C24:C25,B24:B25,B28)</f>
        <v>0</v>
      </c>
      <c r="D28" s="372">
        <f>TREND(D24:D25,B24:B25,B28)</f>
        <v>0</v>
      </c>
      <c r="E28" s="373">
        <f>TREND(E24:E25,B24:B25,B28)</f>
        <v>55</v>
      </c>
      <c r="F28" s="374">
        <f>TREND(F24:F25,B24:B25,B28)</f>
        <v>55</v>
      </c>
      <c r="G28" s="339">
        <f t="shared" si="4"/>
        <v>0</v>
      </c>
      <c r="H28" s="436">
        <f t="shared" si="5"/>
        <v>0</v>
      </c>
      <c r="I28" s="521" t="e">
        <f t="shared" si="6"/>
        <v>#N/A</v>
      </c>
      <c r="J28" s="500" t="e">
        <f t="shared" si="6"/>
        <v>#N/A</v>
      </c>
      <c r="K28" s="521" t="e">
        <f t="shared" si="7"/>
        <v>#N/A</v>
      </c>
      <c r="L28" s="500" t="e">
        <f t="shared" si="7"/>
        <v>#N/A</v>
      </c>
      <c r="M28" s="285" t="e">
        <f t="shared" ref="M28:M44" si="64">(I28+K28)-(J28+L28)</f>
        <v>#N/A</v>
      </c>
      <c r="N28" s="323" t="e">
        <f t="shared" si="8"/>
        <v>#N/A</v>
      </c>
      <c r="O28" s="474"/>
      <c r="P28" s="1038">
        <f t="shared" si="9"/>
        <v>0</v>
      </c>
      <c r="Q28" s="1324">
        <f t="shared" si="10"/>
        <v>0</v>
      </c>
      <c r="R28" s="1324">
        <f t="shared" si="11"/>
        <v>0</v>
      </c>
      <c r="S28" s="1324">
        <f t="shared" si="12"/>
        <v>0</v>
      </c>
      <c r="T28" s="1324">
        <f t="shared" si="13"/>
        <v>0</v>
      </c>
      <c r="U28" s="1324">
        <f t="shared" si="14"/>
        <v>0</v>
      </c>
      <c r="V28" s="1325">
        <f t="shared" si="15"/>
        <v>0</v>
      </c>
      <c r="W28" s="521" t="e">
        <f t="shared" si="16"/>
        <v>#N/A</v>
      </c>
      <c r="X28" s="1333" t="e">
        <f t="shared" si="17"/>
        <v>#N/A</v>
      </c>
      <c r="Y28" s="1333" t="e">
        <f t="shared" si="18"/>
        <v>#N/A</v>
      </c>
      <c r="Z28" s="1333" t="e">
        <f t="shared" si="19"/>
        <v>#N/A</v>
      </c>
      <c r="AA28" s="1333" t="e">
        <f t="shared" si="20"/>
        <v>#N/A</v>
      </c>
      <c r="AB28" s="500" t="e">
        <f t="shared" si="21"/>
        <v>#N/A</v>
      </c>
      <c r="AD28" s="327">
        <v>3</v>
      </c>
      <c r="AE28" s="347">
        <f>TREND(AE24:AE25,AD24:AD25,AD28)</f>
        <v>0</v>
      </c>
      <c r="AF28" s="630">
        <f>TREND(AF24:AF25,AD24:AD25,AD28)</f>
        <v>0</v>
      </c>
      <c r="AG28" s="633">
        <f>TREND(AG24:AG25,AD24:AD25,AD28)</f>
        <v>55</v>
      </c>
      <c r="AH28" s="374">
        <f>TREND(AH24:AH25,AD24:AD25,AD28)</f>
        <v>55</v>
      </c>
      <c r="AI28" s="521" t="e">
        <f t="shared" si="22"/>
        <v>#N/A</v>
      </c>
      <c r="AJ28" s="500" t="e">
        <f t="shared" si="22"/>
        <v>#N/A</v>
      </c>
      <c r="AK28" s="285" t="e">
        <f t="shared" si="23"/>
        <v>#N/A</v>
      </c>
      <c r="AL28" s="323" t="e">
        <f t="shared" si="24"/>
        <v>#N/A</v>
      </c>
      <c r="AM28" s="474"/>
      <c r="AN28" s="1038">
        <f t="shared" si="25"/>
        <v>0</v>
      </c>
      <c r="AO28" s="1324">
        <f t="shared" si="26"/>
        <v>0</v>
      </c>
      <c r="AP28" s="1324">
        <f t="shared" si="27"/>
        <v>0</v>
      </c>
      <c r="AQ28" s="1324">
        <f t="shared" si="28"/>
        <v>0</v>
      </c>
      <c r="AR28" s="1324">
        <f t="shared" si="29"/>
        <v>0</v>
      </c>
      <c r="AS28" s="1324">
        <f t="shared" si="30"/>
        <v>0</v>
      </c>
      <c r="AT28" s="1325">
        <f t="shared" si="31"/>
        <v>0</v>
      </c>
      <c r="AU28" s="521" t="e">
        <f t="shared" si="32"/>
        <v>#N/A</v>
      </c>
      <c r="AV28" s="1333" t="e">
        <f t="shared" si="33"/>
        <v>#N/A</v>
      </c>
      <c r="AW28" s="1333" t="e">
        <f t="shared" si="34"/>
        <v>#N/A</v>
      </c>
      <c r="AX28" s="1333" t="e">
        <f t="shared" si="35"/>
        <v>#N/A</v>
      </c>
      <c r="AY28" s="1333" t="e">
        <f t="shared" si="36"/>
        <v>#N/A</v>
      </c>
      <c r="AZ28" s="500" t="e">
        <f t="shared" si="37"/>
        <v>#N/A</v>
      </c>
      <c r="BB28" s="327">
        <v>3</v>
      </c>
      <c r="BC28" s="478" t="e">
        <f t="shared" si="38"/>
        <v>#N/A</v>
      </c>
      <c r="BD28" s="478" t="e">
        <f t="shared" si="39"/>
        <v>#N/A</v>
      </c>
      <c r="BE28" s="478" t="e">
        <f t="shared" si="40"/>
        <v>#N/A</v>
      </c>
      <c r="BF28" s="478" t="e">
        <f t="shared" si="41"/>
        <v>#N/A</v>
      </c>
      <c r="BG28" s="478">
        <f t="shared" si="42"/>
        <v>0</v>
      </c>
      <c r="BH28" s="478" t="e">
        <f t="shared" si="43"/>
        <v>#N/A</v>
      </c>
      <c r="BI28" s="478" t="e">
        <f t="shared" si="44"/>
        <v>#N/A</v>
      </c>
      <c r="BJ28" s="478" t="e">
        <f t="shared" si="45"/>
        <v>#N/A</v>
      </c>
      <c r="BK28" s="478" t="e">
        <f t="shared" si="46"/>
        <v>#N/A</v>
      </c>
      <c r="BL28" s="478" t="e">
        <f t="shared" si="47"/>
        <v>#N/A</v>
      </c>
      <c r="BM28" s="478" t="e">
        <f t="shared" si="48"/>
        <v>#N/A</v>
      </c>
      <c r="BN28" s="478" t="e">
        <f t="shared" si="49"/>
        <v>#N/A</v>
      </c>
      <c r="BO28" s="478" t="e">
        <f t="shared" si="50"/>
        <v>#N/A</v>
      </c>
      <c r="BP28" s="323" t="e">
        <f t="shared" si="51"/>
        <v>#N/A</v>
      </c>
      <c r="BQ28" s="588"/>
      <c r="BR28" s="323" t="e">
        <f t="shared" si="52"/>
        <v>#N/A</v>
      </c>
      <c r="BT28" s="1038">
        <f t="shared" si="53"/>
        <v>0</v>
      </c>
      <c r="BU28" s="1324">
        <f t="shared" si="53"/>
        <v>0</v>
      </c>
      <c r="BV28" s="1324">
        <f t="shared" si="54"/>
        <v>0</v>
      </c>
      <c r="BW28" s="1324">
        <f t="shared" si="55"/>
        <v>0</v>
      </c>
      <c r="BX28" s="1324">
        <f t="shared" si="56"/>
        <v>0</v>
      </c>
      <c r="BY28" s="1324">
        <f t="shared" si="57"/>
        <v>0</v>
      </c>
      <c r="BZ28" s="1325">
        <f t="shared" si="58"/>
        <v>0</v>
      </c>
      <c r="CA28" s="521" t="e">
        <f t="shared" si="59"/>
        <v>#N/A</v>
      </c>
      <c r="CB28" s="1333" t="e">
        <f t="shared" si="59"/>
        <v>#N/A</v>
      </c>
      <c r="CC28" s="1333" t="e">
        <f t="shared" si="60"/>
        <v>#N/A</v>
      </c>
      <c r="CD28" s="1333" t="e">
        <f t="shared" si="61"/>
        <v>#N/A</v>
      </c>
      <c r="CE28" s="1333" t="e">
        <f t="shared" si="62"/>
        <v>#N/A</v>
      </c>
      <c r="CF28" s="500" t="e">
        <f t="shared" si="63"/>
        <v>#N/A</v>
      </c>
    </row>
    <row r="29" spans="1:84" x14ac:dyDescent="0.25">
      <c r="B29" s="327">
        <v>4</v>
      </c>
      <c r="C29" s="347">
        <f>TREND(C24:C25,B24:B25,B29)</f>
        <v>0</v>
      </c>
      <c r="D29" s="372">
        <f>TREND(D24:D25,B24:B25,B29)</f>
        <v>0</v>
      </c>
      <c r="E29" s="373">
        <f>TREND(E24:E25,B24:B25,B29)</f>
        <v>55</v>
      </c>
      <c r="F29" s="374">
        <f>TREND(F24:F25,B24:B25,B29)</f>
        <v>55</v>
      </c>
      <c r="G29" s="339">
        <f t="shared" si="4"/>
        <v>0</v>
      </c>
      <c r="H29" s="436">
        <f t="shared" si="5"/>
        <v>0</v>
      </c>
      <c r="I29" s="521" t="e">
        <f t="shared" si="6"/>
        <v>#N/A</v>
      </c>
      <c r="J29" s="500" t="e">
        <f t="shared" si="6"/>
        <v>#N/A</v>
      </c>
      <c r="K29" s="521" t="e">
        <f t="shared" si="7"/>
        <v>#N/A</v>
      </c>
      <c r="L29" s="500" t="e">
        <f t="shared" si="7"/>
        <v>#N/A</v>
      </c>
      <c r="M29" s="285" t="e">
        <f t="shared" si="64"/>
        <v>#N/A</v>
      </c>
      <c r="N29" s="323" t="e">
        <f t="shared" si="8"/>
        <v>#N/A</v>
      </c>
      <c r="O29" s="474"/>
      <c r="P29" s="1038">
        <f t="shared" si="9"/>
        <v>0</v>
      </c>
      <c r="Q29" s="1324">
        <f t="shared" si="10"/>
        <v>0</v>
      </c>
      <c r="R29" s="1324">
        <f t="shared" si="11"/>
        <v>0</v>
      </c>
      <c r="S29" s="1324">
        <f t="shared" si="12"/>
        <v>0</v>
      </c>
      <c r="T29" s="1324">
        <f t="shared" si="13"/>
        <v>0</v>
      </c>
      <c r="U29" s="1324">
        <f t="shared" si="14"/>
        <v>0</v>
      </c>
      <c r="V29" s="1325">
        <f t="shared" si="15"/>
        <v>0</v>
      </c>
      <c r="W29" s="521" t="e">
        <f t="shared" si="16"/>
        <v>#N/A</v>
      </c>
      <c r="X29" s="1333" t="e">
        <f t="shared" si="17"/>
        <v>#N/A</v>
      </c>
      <c r="Y29" s="1333" t="e">
        <f t="shared" si="18"/>
        <v>#N/A</v>
      </c>
      <c r="Z29" s="1333" t="e">
        <f t="shared" si="19"/>
        <v>#N/A</v>
      </c>
      <c r="AA29" s="1333" t="e">
        <f t="shared" si="20"/>
        <v>#N/A</v>
      </c>
      <c r="AB29" s="500" t="e">
        <f t="shared" si="21"/>
        <v>#N/A</v>
      </c>
      <c r="AD29" s="327">
        <v>4</v>
      </c>
      <c r="AE29" s="347">
        <f>TREND(AE24:AE25,AD24:AD25,AD29)</f>
        <v>0</v>
      </c>
      <c r="AF29" s="630">
        <f>TREND(AF24:AF25,AD24:AD25,AD29)</f>
        <v>0</v>
      </c>
      <c r="AG29" s="633">
        <f>TREND(AG24:AG25,AD24:AD25,AD29)</f>
        <v>55</v>
      </c>
      <c r="AH29" s="374">
        <f>TREND(AH24:AH25,AD24:AD25,AD29)</f>
        <v>55</v>
      </c>
      <c r="AI29" s="521" t="e">
        <f t="shared" si="22"/>
        <v>#N/A</v>
      </c>
      <c r="AJ29" s="500" t="e">
        <f t="shared" si="22"/>
        <v>#N/A</v>
      </c>
      <c r="AK29" s="285" t="e">
        <f t="shared" si="23"/>
        <v>#N/A</v>
      </c>
      <c r="AL29" s="323" t="e">
        <f t="shared" si="24"/>
        <v>#N/A</v>
      </c>
      <c r="AM29" s="474"/>
      <c r="AN29" s="1038">
        <f t="shared" si="25"/>
        <v>0</v>
      </c>
      <c r="AO29" s="1324">
        <f t="shared" si="26"/>
        <v>0</v>
      </c>
      <c r="AP29" s="1324">
        <f t="shared" si="27"/>
        <v>0</v>
      </c>
      <c r="AQ29" s="1324">
        <f t="shared" si="28"/>
        <v>0</v>
      </c>
      <c r="AR29" s="1324">
        <f t="shared" si="29"/>
        <v>0</v>
      </c>
      <c r="AS29" s="1324">
        <f t="shared" si="30"/>
        <v>0</v>
      </c>
      <c r="AT29" s="1325">
        <f t="shared" si="31"/>
        <v>0</v>
      </c>
      <c r="AU29" s="521" t="e">
        <f t="shared" si="32"/>
        <v>#N/A</v>
      </c>
      <c r="AV29" s="1333" t="e">
        <f t="shared" si="33"/>
        <v>#N/A</v>
      </c>
      <c r="AW29" s="1333" t="e">
        <f t="shared" si="34"/>
        <v>#N/A</v>
      </c>
      <c r="AX29" s="1333" t="e">
        <f t="shared" si="35"/>
        <v>#N/A</v>
      </c>
      <c r="AY29" s="1333" t="e">
        <f t="shared" si="36"/>
        <v>#N/A</v>
      </c>
      <c r="AZ29" s="500" t="e">
        <f t="shared" si="37"/>
        <v>#N/A</v>
      </c>
      <c r="BB29" s="327">
        <v>4</v>
      </c>
      <c r="BC29" s="478" t="e">
        <f t="shared" si="38"/>
        <v>#N/A</v>
      </c>
      <c r="BD29" s="478" t="e">
        <f t="shared" si="39"/>
        <v>#N/A</v>
      </c>
      <c r="BE29" s="478" t="e">
        <f t="shared" si="40"/>
        <v>#N/A</v>
      </c>
      <c r="BF29" s="478" t="e">
        <f t="shared" si="41"/>
        <v>#N/A</v>
      </c>
      <c r="BG29" s="478">
        <f t="shared" si="42"/>
        <v>0</v>
      </c>
      <c r="BH29" s="478" t="e">
        <f t="shared" si="43"/>
        <v>#N/A</v>
      </c>
      <c r="BI29" s="478" t="e">
        <f t="shared" si="44"/>
        <v>#N/A</v>
      </c>
      <c r="BJ29" s="478" t="e">
        <f t="shared" si="45"/>
        <v>#N/A</v>
      </c>
      <c r="BK29" s="478" t="e">
        <f t="shared" si="46"/>
        <v>#N/A</v>
      </c>
      <c r="BL29" s="478" t="e">
        <f t="shared" si="47"/>
        <v>#N/A</v>
      </c>
      <c r="BM29" s="478" t="e">
        <f t="shared" si="48"/>
        <v>#N/A</v>
      </c>
      <c r="BN29" s="478" t="e">
        <f t="shared" si="49"/>
        <v>#N/A</v>
      </c>
      <c r="BO29" s="478" t="e">
        <f t="shared" si="50"/>
        <v>#N/A</v>
      </c>
      <c r="BP29" s="323" t="e">
        <f t="shared" si="51"/>
        <v>#N/A</v>
      </c>
      <c r="BQ29" s="588"/>
      <c r="BR29" s="323" t="e">
        <f t="shared" si="52"/>
        <v>#N/A</v>
      </c>
      <c r="BT29" s="1038">
        <f t="shared" si="53"/>
        <v>0</v>
      </c>
      <c r="BU29" s="1324">
        <f t="shared" si="53"/>
        <v>0</v>
      </c>
      <c r="BV29" s="1324">
        <f t="shared" si="54"/>
        <v>0</v>
      </c>
      <c r="BW29" s="1324">
        <f t="shared" si="55"/>
        <v>0</v>
      </c>
      <c r="BX29" s="1324">
        <f t="shared" si="56"/>
        <v>0</v>
      </c>
      <c r="BY29" s="1324">
        <f t="shared" si="57"/>
        <v>0</v>
      </c>
      <c r="BZ29" s="1325">
        <f t="shared" si="58"/>
        <v>0</v>
      </c>
      <c r="CA29" s="521" t="e">
        <f t="shared" si="59"/>
        <v>#N/A</v>
      </c>
      <c r="CB29" s="1333" t="e">
        <f t="shared" si="59"/>
        <v>#N/A</v>
      </c>
      <c r="CC29" s="1333" t="e">
        <f t="shared" si="60"/>
        <v>#N/A</v>
      </c>
      <c r="CD29" s="1333" t="e">
        <f t="shared" si="61"/>
        <v>#N/A</v>
      </c>
      <c r="CE29" s="1333" t="e">
        <f t="shared" si="62"/>
        <v>#N/A</v>
      </c>
      <c r="CF29" s="500" t="e">
        <f t="shared" si="63"/>
        <v>#N/A</v>
      </c>
    </row>
    <row r="30" spans="1:84" x14ac:dyDescent="0.25">
      <c r="B30" s="327">
        <v>5</v>
      </c>
      <c r="C30" s="347">
        <f>TREND(C24:C25,B24:B25,B30)</f>
        <v>0</v>
      </c>
      <c r="D30" s="372">
        <f>TREND(D24:D25,B24:B25,B30)</f>
        <v>0</v>
      </c>
      <c r="E30" s="373">
        <f>TREND(E24:E25,B24:B25,B30)</f>
        <v>55</v>
      </c>
      <c r="F30" s="374">
        <f>TREND(F24:F25,B24:B25,B30)</f>
        <v>55</v>
      </c>
      <c r="G30" s="339">
        <f t="shared" si="4"/>
        <v>0</v>
      </c>
      <c r="H30" s="436">
        <f t="shared" si="5"/>
        <v>0</v>
      </c>
      <c r="I30" s="521" t="e">
        <f t="shared" si="6"/>
        <v>#N/A</v>
      </c>
      <c r="J30" s="500" t="e">
        <f t="shared" si="6"/>
        <v>#N/A</v>
      </c>
      <c r="K30" s="521" t="e">
        <f t="shared" si="7"/>
        <v>#N/A</v>
      </c>
      <c r="L30" s="500" t="e">
        <f t="shared" si="7"/>
        <v>#N/A</v>
      </c>
      <c r="M30" s="285" t="e">
        <f t="shared" si="64"/>
        <v>#N/A</v>
      </c>
      <c r="N30" s="323" t="e">
        <f t="shared" si="8"/>
        <v>#N/A</v>
      </c>
      <c r="O30" s="474"/>
      <c r="P30" s="1038">
        <f t="shared" si="9"/>
        <v>0</v>
      </c>
      <c r="Q30" s="1324">
        <f t="shared" si="10"/>
        <v>0</v>
      </c>
      <c r="R30" s="1324">
        <f t="shared" si="11"/>
        <v>0</v>
      </c>
      <c r="S30" s="1324">
        <f t="shared" si="12"/>
        <v>0</v>
      </c>
      <c r="T30" s="1324">
        <f t="shared" si="13"/>
        <v>0</v>
      </c>
      <c r="U30" s="1324">
        <f t="shared" si="14"/>
        <v>0</v>
      </c>
      <c r="V30" s="1325">
        <f t="shared" si="15"/>
        <v>0</v>
      </c>
      <c r="W30" s="521" t="e">
        <f t="shared" si="16"/>
        <v>#N/A</v>
      </c>
      <c r="X30" s="1333" t="e">
        <f t="shared" si="17"/>
        <v>#N/A</v>
      </c>
      <c r="Y30" s="1333" t="e">
        <f t="shared" si="18"/>
        <v>#N/A</v>
      </c>
      <c r="Z30" s="1333" t="e">
        <f t="shared" si="19"/>
        <v>#N/A</v>
      </c>
      <c r="AA30" s="1333" t="e">
        <f t="shared" si="20"/>
        <v>#N/A</v>
      </c>
      <c r="AB30" s="500" t="e">
        <f t="shared" si="21"/>
        <v>#N/A</v>
      </c>
      <c r="AD30" s="327">
        <v>5</v>
      </c>
      <c r="AE30" s="347">
        <f>TREND(AE24:AE25,AD24:AD25,AD30)</f>
        <v>0</v>
      </c>
      <c r="AF30" s="630">
        <f>TREND(AF24:AF25,AD24:AD25,AD30)</f>
        <v>0</v>
      </c>
      <c r="AG30" s="633">
        <f>TREND(AG24:AG25,AD24:AD25,AD30)</f>
        <v>55</v>
      </c>
      <c r="AH30" s="374">
        <f>TREND(AH24:AH25,AD24:AD25,AD30)</f>
        <v>55</v>
      </c>
      <c r="AI30" s="521" t="e">
        <f t="shared" si="22"/>
        <v>#N/A</v>
      </c>
      <c r="AJ30" s="500" t="e">
        <f t="shared" si="22"/>
        <v>#N/A</v>
      </c>
      <c r="AK30" s="285" t="e">
        <f t="shared" si="23"/>
        <v>#N/A</v>
      </c>
      <c r="AL30" s="323" t="e">
        <f t="shared" si="24"/>
        <v>#N/A</v>
      </c>
      <c r="AM30" s="474"/>
      <c r="AN30" s="1038">
        <f t="shared" si="25"/>
        <v>0</v>
      </c>
      <c r="AO30" s="1324">
        <f t="shared" si="26"/>
        <v>0</v>
      </c>
      <c r="AP30" s="1324">
        <f t="shared" si="27"/>
        <v>0</v>
      </c>
      <c r="AQ30" s="1324">
        <f t="shared" si="28"/>
        <v>0</v>
      </c>
      <c r="AR30" s="1324">
        <f t="shared" si="29"/>
        <v>0</v>
      </c>
      <c r="AS30" s="1324">
        <f t="shared" si="30"/>
        <v>0</v>
      </c>
      <c r="AT30" s="1325">
        <f t="shared" si="31"/>
        <v>0</v>
      </c>
      <c r="AU30" s="521" t="e">
        <f t="shared" si="32"/>
        <v>#N/A</v>
      </c>
      <c r="AV30" s="1333" t="e">
        <f t="shared" si="33"/>
        <v>#N/A</v>
      </c>
      <c r="AW30" s="1333" t="e">
        <f t="shared" si="34"/>
        <v>#N/A</v>
      </c>
      <c r="AX30" s="1333" t="e">
        <f t="shared" si="35"/>
        <v>#N/A</v>
      </c>
      <c r="AY30" s="1333" t="e">
        <f t="shared" si="36"/>
        <v>#N/A</v>
      </c>
      <c r="AZ30" s="500" t="e">
        <f t="shared" si="37"/>
        <v>#N/A</v>
      </c>
      <c r="BB30" s="327">
        <v>5</v>
      </c>
      <c r="BC30" s="478" t="e">
        <f t="shared" si="38"/>
        <v>#N/A</v>
      </c>
      <c r="BD30" s="478" t="e">
        <f t="shared" si="39"/>
        <v>#N/A</v>
      </c>
      <c r="BE30" s="478" t="e">
        <f t="shared" si="40"/>
        <v>#N/A</v>
      </c>
      <c r="BF30" s="478" t="e">
        <f t="shared" si="41"/>
        <v>#N/A</v>
      </c>
      <c r="BG30" s="478">
        <f t="shared" si="42"/>
        <v>0</v>
      </c>
      <c r="BH30" s="478" t="e">
        <f t="shared" si="43"/>
        <v>#N/A</v>
      </c>
      <c r="BI30" s="478" t="e">
        <f t="shared" si="44"/>
        <v>#N/A</v>
      </c>
      <c r="BJ30" s="478" t="e">
        <f t="shared" si="45"/>
        <v>#N/A</v>
      </c>
      <c r="BK30" s="478" t="e">
        <f t="shared" si="46"/>
        <v>#N/A</v>
      </c>
      <c r="BL30" s="478" t="e">
        <f t="shared" si="47"/>
        <v>#N/A</v>
      </c>
      <c r="BM30" s="478" t="e">
        <f t="shared" si="48"/>
        <v>#N/A</v>
      </c>
      <c r="BN30" s="478" t="e">
        <f t="shared" si="49"/>
        <v>#N/A</v>
      </c>
      <c r="BO30" s="478" t="e">
        <f t="shared" si="50"/>
        <v>#N/A</v>
      </c>
      <c r="BP30" s="323" t="e">
        <f t="shared" si="51"/>
        <v>#N/A</v>
      </c>
      <c r="BQ30" s="588"/>
      <c r="BR30" s="323" t="e">
        <f t="shared" si="52"/>
        <v>#N/A</v>
      </c>
      <c r="BT30" s="1038">
        <f t="shared" si="53"/>
        <v>0</v>
      </c>
      <c r="BU30" s="1324">
        <f t="shared" si="53"/>
        <v>0</v>
      </c>
      <c r="BV30" s="1324">
        <f t="shared" si="54"/>
        <v>0</v>
      </c>
      <c r="BW30" s="1324">
        <f t="shared" si="55"/>
        <v>0</v>
      </c>
      <c r="BX30" s="1324">
        <f t="shared" si="56"/>
        <v>0</v>
      </c>
      <c r="BY30" s="1324">
        <f t="shared" si="57"/>
        <v>0</v>
      </c>
      <c r="BZ30" s="1325">
        <f t="shared" si="58"/>
        <v>0</v>
      </c>
      <c r="CA30" s="521" t="e">
        <f t="shared" si="59"/>
        <v>#N/A</v>
      </c>
      <c r="CB30" s="1333" t="e">
        <f t="shared" si="59"/>
        <v>#N/A</v>
      </c>
      <c r="CC30" s="1333" t="e">
        <f t="shared" si="60"/>
        <v>#N/A</v>
      </c>
      <c r="CD30" s="1333" t="e">
        <f t="shared" si="61"/>
        <v>#N/A</v>
      </c>
      <c r="CE30" s="1333" t="e">
        <f t="shared" si="62"/>
        <v>#N/A</v>
      </c>
      <c r="CF30" s="500" t="e">
        <f t="shared" si="63"/>
        <v>#N/A</v>
      </c>
    </row>
    <row r="31" spans="1:84" x14ac:dyDescent="0.25">
      <c r="B31" s="327">
        <v>6</v>
      </c>
      <c r="C31" s="347">
        <f>TREND(C24:C25,B24:B25,B31)</f>
        <v>0</v>
      </c>
      <c r="D31" s="372">
        <f>TREND(D24:D25,B24:B25,B31)</f>
        <v>0</v>
      </c>
      <c r="E31" s="373">
        <f>TREND(E24:E25,B24:B25,B31)</f>
        <v>55</v>
      </c>
      <c r="F31" s="374">
        <f>TREND(F24:F25,B24:B25,B31)</f>
        <v>55</v>
      </c>
      <c r="G31" s="339">
        <f t="shared" si="4"/>
        <v>0</v>
      </c>
      <c r="H31" s="436">
        <f t="shared" si="5"/>
        <v>0</v>
      </c>
      <c r="I31" s="521" t="e">
        <f t="shared" si="6"/>
        <v>#N/A</v>
      </c>
      <c r="J31" s="500" t="e">
        <f t="shared" si="6"/>
        <v>#N/A</v>
      </c>
      <c r="K31" s="521" t="e">
        <f t="shared" si="7"/>
        <v>#N/A</v>
      </c>
      <c r="L31" s="500" t="e">
        <f t="shared" si="7"/>
        <v>#N/A</v>
      </c>
      <c r="M31" s="285" t="e">
        <f t="shared" si="64"/>
        <v>#N/A</v>
      </c>
      <c r="N31" s="323" t="e">
        <f t="shared" si="8"/>
        <v>#N/A</v>
      </c>
      <c r="O31" s="474"/>
      <c r="P31" s="1038">
        <f t="shared" si="9"/>
        <v>0</v>
      </c>
      <c r="Q31" s="1324">
        <f t="shared" si="10"/>
        <v>0</v>
      </c>
      <c r="R31" s="1324">
        <f t="shared" si="11"/>
        <v>0</v>
      </c>
      <c r="S31" s="1324">
        <f t="shared" si="12"/>
        <v>0</v>
      </c>
      <c r="T31" s="1324">
        <f t="shared" si="13"/>
        <v>0</v>
      </c>
      <c r="U31" s="1324">
        <f t="shared" si="14"/>
        <v>0</v>
      </c>
      <c r="V31" s="1325">
        <f t="shared" si="15"/>
        <v>0</v>
      </c>
      <c r="W31" s="521" t="e">
        <f t="shared" si="16"/>
        <v>#N/A</v>
      </c>
      <c r="X31" s="1333" t="e">
        <f t="shared" si="17"/>
        <v>#N/A</v>
      </c>
      <c r="Y31" s="1333" t="e">
        <f t="shared" si="18"/>
        <v>#N/A</v>
      </c>
      <c r="Z31" s="1333" t="e">
        <f t="shared" si="19"/>
        <v>#N/A</v>
      </c>
      <c r="AA31" s="1333" t="e">
        <f t="shared" si="20"/>
        <v>#N/A</v>
      </c>
      <c r="AB31" s="500" t="e">
        <f t="shared" si="21"/>
        <v>#N/A</v>
      </c>
      <c r="AD31" s="327">
        <v>6</v>
      </c>
      <c r="AE31" s="347">
        <f>TREND(AE24:AE25,AD24:AD25,AD31)</f>
        <v>0</v>
      </c>
      <c r="AF31" s="630">
        <f>TREND(AF24:AF25,AD24:AD25,AD31)</f>
        <v>0</v>
      </c>
      <c r="AG31" s="633">
        <f>TREND(AG24:AG25,AD24:AD25,AD31)</f>
        <v>55</v>
      </c>
      <c r="AH31" s="374">
        <f>TREND(AH24:AH25,AD24:AD25,AD31)</f>
        <v>55</v>
      </c>
      <c r="AI31" s="521" t="e">
        <f t="shared" si="22"/>
        <v>#N/A</v>
      </c>
      <c r="AJ31" s="500" t="e">
        <f t="shared" si="22"/>
        <v>#N/A</v>
      </c>
      <c r="AK31" s="285" t="e">
        <f t="shared" si="23"/>
        <v>#N/A</v>
      </c>
      <c r="AL31" s="323" t="e">
        <f t="shared" si="24"/>
        <v>#N/A</v>
      </c>
      <c r="AM31" s="474"/>
      <c r="AN31" s="1038">
        <f t="shared" si="25"/>
        <v>0</v>
      </c>
      <c r="AO31" s="1324">
        <f t="shared" si="26"/>
        <v>0</v>
      </c>
      <c r="AP31" s="1324">
        <f t="shared" si="27"/>
        <v>0</v>
      </c>
      <c r="AQ31" s="1324">
        <f t="shared" si="28"/>
        <v>0</v>
      </c>
      <c r="AR31" s="1324">
        <f t="shared" si="29"/>
        <v>0</v>
      </c>
      <c r="AS31" s="1324">
        <f t="shared" si="30"/>
        <v>0</v>
      </c>
      <c r="AT31" s="1325">
        <f t="shared" si="31"/>
        <v>0</v>
      </c>
      <c r="AU31" s="521" t="e">
        <f t="shared" si="32"/>
        <v>#N/A</v>
      </c>
      <c r="AV31" s="1333" t="e">
        <f t="shared" si="33"/>
        <v>#N/A</v>
      </c>
      <c r="AW31" s="1333" t="e">
        <f t="shared" si="34"/>
        <v>#N/A</v>
      </c>
      <c r="AX31" s="1333" t="e">
        <f t="shared" si="35"/>
        <v>#N/A</v>
      </c>
      <c r="AY31" s="1333" t="e">
        <f t="shared" si="36"/>
        <v>#N/A</v>
      </c>
      <c r="AZ31" s="500" t="e">
        <f t="shared" si="37"/>
        <v>#N/A</v>
      </c>
      <c r="BB31" s="327">
        <v>6</v>
      </c>
      <c r="BC31" s="478" t="e">
        <f t="shared" si="38"/>
        <v>#N/A</v>
      </c>
      <c r="BD31" s="478" t="e">
        <f t="shared" si="39"/>
        <v>#N/A</v>
      </c>
      <c r="BE31" s="478" t="e">
        <f t="shared" si="40"/>
        <v>#N/A</v>
      </c>
      <c r="BF31" s="478" t="e">
        <f t="shared" si="41"/>
        <v>#N/A</v>
      </c>
      <c r="BG31" s="478">
        <f t="shared" si="42"/>
        <v>0</v>
      </c>
      <c r="BH31" s="478" t="e">
        <f t="shared" si="43"/>
        <v>#N/A</v>
      </c>
      <c r="BI31" s="478" t="e">
        <f t="shared" si="44"/>
        <v>#N/A</v>
      </c>
      <c r="BJ31" s="478" t="e">
        <f t="shared" si="45"/>
        <v>#N/A</v>
      </c>
      <c r="BK31" s="478" t="e">
        <f t="shared" si="46"/>
        <v>#N/A</v>
      </c>
      <c r="BL31" s="478" t="e">
        <f t="shared" si="47"/>
        <v>#N/A</v>
      </c>
      <c r="BM31" s="478" t="e">
        <f t="shared" si="48"/>
        <v>#N/A</v>
      </c>
      <c r="BN31" s="478" t="e">
        <f t="shared" si="49"/>
        <v>#N/A</v>
      </c>
      <c r="BO31" s="478" t="e">
        <f t="shared" si="50"/>
        <v>#N/A</v>
      </c>
      <c r="BP31" s="323" t="e">
        <f t="shared" si="51"/>
        <v>#N/A</v>
      </c>
      <c r="BQ31" s="588"/>
      <c r="BR31" s="323" t="e">
        <f t="shared" si="52"/>
        <v>#N/A</v>
      </c>
      <c r="BT31" s="1038">
        <f t="shared" si="53"/>
        <v>0</v>
      </c>
      <c r="BU31" s="1324">
        <f t="shared" si="53"/>
        <v>0</v>
      </c>
      <c r="BV31" s="1324">
        <f t="shared" si="54"/>
        <v>0</v>
      </c>
      <c r="BW31" s="1324">
        <f t="shared" si="55"/>
        <v>0</v>
      </c>
      <c r="BX31" s="1324">
        <f t="shared" si="56"/>
        <v>0</v>
      </c>
      <c r="BY31" s="1324">
        <f t="shared" si="57"/>
        <v>0</v>
      </c>
      <c r="BZ31" s="1325">
        <f t="shared" si="58"/>
        <v>0</v>
      </c>
      <c r="CA31" s="521" t="e">
        <f t="shared" si="59"/>
        <v>#N/A</v>
      </c>
      <c r="CB31" s="1333" t="e">
        <f t="shared" si="59"/>
        <v>#N/A</v>
      </c>
      <c r="CC31" s="1333" t="e">
        <f t="shared" si="60"/>
        <v>#N/A</v>
      </c>
      <c r="CD31" s="1333" t="e">
        <f t="shared" si="61"/>
        <v>#N/A</v>
      </c>
      <c r="CE31" s="1333" t="e">
        <f t="shared" si="62"/>
        <v>#N/A</v>
      </c>
      <c r="CF31" s="500" t="e">
        <f t="shared" si="63"/>
        <v>#N/A</v>
      </c>
    </row>
    <row r="32" spans="1:84" x14ac:dyDescent="0.25">
      <c r="B32" s="327">
        <v>7</v>
      </c>
      <c r="C32" s="347">
        <f>TREND(C24:C25,B24:B25,B32)</f>
        <v>0</v>
      </c>
      <c r="D32" s="372">
        <f>TREND(D24:D25,B24:B25,B32)</f>
        <v>0</v>
      </c>
      <c r="E32" s="373">
        <f>TREND(E24:E25,B24:B25,B32)</f>
        <v>55</v>
      </c>
      <c r="F32" s="374">
        <f>TREND(F24:F25,B24:B25,B32)</f>
        <v>55</v>
      </c>
      <c r="G32" s="339">
        <f t="shared" si="4"/>
        <v>0</v>
      </c>
      <c r="H32" s="436">
        <f t="shared" si="5"/>
        <v>0</v>
      </c>
      <c r="I32" s="521" t="e">
        <f t="shared" si="6"/>
        <v>#N/A</v>
      </c>
      <c r="J32" s="500" t="e">
        <f t="shared" si="6"/>
        <v>#N/A</v>
      </c>
      <c r="K32" s="521" t="e">
        <f t="shared" si="7"/>
        <v>#N/A</v>
      </c>
      <c r="L32" s="500" t="e">
        <f t="shared" si="7"/>
        <v>#N/A</v>
      </c>
      <c r="M32" s="285" t="e">
        <f t="shared" si="64"/>
        <v>#N/A</v>
      </c>
      <c r="N32" s="323" t="e">
        <f t="shared" si="8"/>
        <v>#N/A</v>
      </c>
      <c r="O32" s="474"/>
      <c r="P32" s="1038">
        <f t="shared" si="9"/>
        <v>0</v>
      </c>
      <c r="Q32" s="1324">
        <f t="shared" si="10"/>
        <v>0</v>
      </c>
      <c r="R32" s="1324">
        <f t="shared" si="11"/>
        <v>0</v>
      </c>
      <c r="S32" s="1324">
        <f t="shared" si="12"/>
        <v>0</v>
      </c>
      <c r="T32" s="1324">
        <f t="shared" si="13"/>
        <v>0</v>
      </c>
      <c r="U32" s="1324">
        <f t="shared" si="14"/>
        <v>0</v>
      </c>
      <c r="V32" s="1325">
        <f t="shared" si="15"/>
        <v>0</v>
      </c>
      <c r="W32" s="521" t="e">
        <f t="shared" si="16"/>
        <v>#N/A</v>
      </c>
      <c r="X32" s="1333" t="e">
        <f t="shared" si="17"/>
        <v>#N/A</v>
      </c>
      <c r="Y32" s="1333" t="e">
        <f t="shared" si="18"/>
        <v>#N/A</v>
      </c>
      <c r="Z32" s="1333" t="e">
        <f t="shared" si="19"/>
        <v>#N/A</v>
      </c>
      <c r="AA32" s="1333" t="e">
        <f t="shared" si="20"/>
        <v>#N/A</v>
      </c>
      <c r="AB32" s="500" t="e">
        <f t="shared" si="21"/>
        <v>#N/A</v>
      </c>
      <c r="AD32" s="327">
        <v>7</v>
      </c>
      <c r="AE32" s="347">
        <f>TREND(AE24:AE25,AD24:AD25,AD32)</f>
        <v>0</v>
      </c>
      <c r="AF32" s="630">
        <f>TREND(AF24:AF25,AD24:AD25,AD32)</f>
        <v>0</v>
      </c>
      <c r="AG32" s="633">
        <f>TREND(AG24:AG25,AD24:AD25,AD32)</f>
        <v>55</v>
      </c>
      <c r="AH32" s="374">
        <f>TREND(AH24:AH25,AD24:AD25,AD32)</f>
        <v>55</v>
      </c>
      <c r="AI32" s="521" t="e">
        <f t="shared" si="22"/>
        <v>#N/A</v>
      </c>
      <c r="AJ32" s="500" t="e">
        <f t="shared" si="22"/>
        <v>#N/A</v>
      </c>
      <c r="AK32" s="285" t="e">
        <f t="shared" si="23"/>
        <v>#N/A</v>
      </c>
      <c r="AL32" s="323" t="e">
        <f t="shared" si="24"/>
        <v>#N/A</v>
      </c>
      <c r="AM32" s="474"/>
      <c r="AN32" s="1038">
        <f t="shared" si="25"/>
        <v>0</v>
      </c>
      <c r="AO32" s="1324">
        <f t="shared" si="26"/>
        <v>0</v>
      </c>
      <c r="AP32" s="1324">
        <f t="shared" si="27"/>
        <v>0</v>
      </c>
      <c r="AQ32" s="1324">
        <f t="shared" si="28"/>
        <v>0</v>
      </c>
      <c r="AR32" s="1324">
        <f t="shared" si="29"/>
        <v>0</v>
      </c>
      <c r="AS32" s="1324">
        <f t="shared" si="30"/>
        <v>0</v>
      </c>
      <c r="AT32" s="1325">
        <f t="shared" si="31"/>
        <v>0</v>
      </c>
      <c r="AU32" s="521" t="e">
        <f t="shared" si="32"/>
        <v>#N/A</v>
      </c>
      <c r="AV32" s="1333" t="e">
        <f t="shared" si="33"/>
        <v>#N/A</v>
      </c>
      <c r="AW32" s="1333" t="e">
        <f t="shared" si="34"/>
        <v>#N/A</v>
      </c>
      <c r="AX32" s="1333" t="e">
        <f t="shared" si="35"/>
        <v>#N/A</v>
      </c>
      <c r="AY32" s="1333" t="e">
        <f t="shared" si="36"/>
        <v>#N/A</v>
      </c>
      <c r="AZ32" s="500" t="e">
        <f t="shared" si="37"/>
        <v>#N/A</v>
      </c>
      <c r="BB32" s="327">
        <v>7</v>
      </c>
      <c r="BC32" s="478" t="e">
        <f t="shared" si="38"/>
        <v>#N/A</v>
      </c>
      <c r="BD32" s="478" t="e">
        <f t="shared" si="39"/>
        <v>#N/A</v>
      </c>
      <c r="BE32" s="478" t="e">
        <f t="shared" si="40"/>
        <v>#N/A</v>
      </c>
      <c r="BF32" s="478" t="e">
        <f t="shared" si="41"/>
        <v>#N/A</v>
      </c>
      <c r="BG32" s="478">
        <f t="shared" si="42"/>
        <v>0</v>
      </c>
      <c r="BH32" s="478" t="e">
        <f t="shared" si="43"/>
        <v>#N/A</v>
      </c>
      <c r="BI32" s="478" t="e">
        <f t="shared" si="44"/>
        <v>#N/A</v>
      </c>
      <c r="BJ32" s="478" t="e">
        <f t="shared" si="45"/>
        <v>#N/A</v>
      </c>
      <c r="BK32" s="478" t="e">
        <f t="shared" si="46"/>
        <v>#N/A</v>
      </c>
      <c r="BL32" s="478" t="e">
        <f t="shared" si="47"/>
        <v>#N/A</v>
      </c>
      <c r="BM32" s="478" t="e">
        <f t="shared" si="48"/>
        <v>#N/A</v>
      </c>
      <c r="BN32" s="478" t="e">
        <f t="shared" si="49"/>
        <v>#N/A</v>
      </c>
      <c r="BO32" s="478" t="e">
        <f t="shared" si="50"/>
        <v>#N/A</v>
      </c>
      <c r="BP32" s="323" t="e">
        <f t="shared" si="51"/>
        <v>#N/A</v>
      </c>
      <c r="BQ32" s="588"/>
      <c r="BR32" s="323" t="e">
        <f t="shared" si="52"/>
        <v>#N/A</v>
      </c>
      <c r="BT32" s="1038">
        <f t="shared" si="53"/>
        <v>0</v>
      </c>
      <c r="BU32" s="1324">
        <f t="shared" si="53"/>
        <v>0</v>
      </c>
      <c r="BV32" s="1324">
        <f t="shared" si="54"/>
        <v>0</v>
      </c>
      <c r="BW32" s="1324">
        <f t="shared" si="55"/>
        <v>0</v>
      </c>
      <c r="BX32" s="1324">
        <f t="shared" si="56"/>
        <v>0</v>
      </c>
      <c r="BY32" s="1324">
        <f t="shared" si="57"/>
        <v>0</v>
      </c>
      <c r="BZ32" s="1325">
        <f t="shared" si="58"/>
        <v>0</v>
      </c>
      <c r="CA32" s="521" t="e">
        <f t="shared" si="59"/>
        <v>#N/A</v>
      </c>
      <c r="CB32" s="1333" t="e">
        <f t="shared" si="59"/>
        <v>#N/A</v>
      </c>
      <c r="CC32" s="1333" t="e">
        <f t="shared" si="60"/>
        <v>#N/A</v>
      </c>
      <c r="CD32" s="1333" t="e">
        <f t="shared" si="61"/>
        <v>#N/A</v>
      </c>
      <c r="CE32" s="1333" t="e">
        <f t="shared" si="62"/>
        <v>#N/A</v>
      </c>
      <c r="CF32" s="500" t="e">
        <f t="shared" si="63"/>
        <v>#N/A</v>
      </c>
    </row>
    <row r="33" spans="2:84" x14ac:dyDescent="0.25">
      <c r="B33" s="327">
        <v>8</v>
      </c>
      <c r="C33" s="347">
        <f>TREND(C24:C25,B24:B25,B33)</f>
        <v>0</v>
      </c>
      <c r="D33" s="372">
        <f>TREND(D24:D25,B24:B25,B33)</f>
        <v>0</v>
      </c>
      <c r="E33" s="373">
        <f>TREND(E24:E25,B24:B25,B33)</f>
        <v>55</v>
      </c>
      <c r="F33" s="374">
        <f>TREND(F24:F25,B24:B25,B33)</f>
        <v>55</v>
      </c>
      <c r="G33" s="339">
        <f t="shared" si="4"/>
        <v>0</v>
      </c>
      <c r="H33" s="436">
        <f t="shared" si="5"/>
        <v>0</v>
      </c>
      <c r="I33" s="521" t="e">
        <f t="shared" ref="I33:I44" si="65">G33*0.00000110231131*(VLOOKUP(E33,EmAuto20,2)*VLOOKUP(ProjLoc,EmCost,2)+VLOOKUP(E33,EmAuto20,3)*VLOOKUP(ProjLoc,EmCost,3)*(1+CO2Uprater)^($B33+Construct-1)+VLOOKUP(E33,EmAuto20,4)*VLOOKUP(ProjLoc,EmCost,4)+VLOOKUP(E33,EmAuto20,5)*VLOOKUP(ProjLoc,EmCost,5)+VLOOKUP(E33,EmAuto20,6)*VLOOKUP(ProjLoc,EmCost,6)+VLOOKUP(E33,EmAuto20,7)*VLOOKUP(ProjLoc,EmCost,7))</f>
        <v>#N/A</v>
      </c>
      <c r="J33" s="500" t="e">
        <f t="shared" ref="J33:J44" si="66">H33*0.00000110231131*(VLOOKUP(F33,EmAuto20,2)*VLOOKUP(ProjLoc,EmCost,2)+VLOOKUP(F33,EmAuto20,3)*VLOOKUP(ProjLoc,EmCost,3)*(1+CO2Uprater)^($B33+Construct-1)+VLOOKUP(F33,EmAuto20,4)*VLOOKUP(ProjLoc,EmCost,4)+VLOOKUP(F33,EmAuto20,5)*VLOOKUP(ProjLoc,EmCost,5)+VLOOKUP(F33,EmAuto20,6)*VLOOKUP(ProjLoc,EmCost,6)+VLOOKUP(F33,EmAuto20,7)*VLOOKUP(ProjLoc,EmCost,7))</f>
        <v>#N/A</v>
      </c>
      <c r="K33" s="521" t="e">
        <f t="shared" ref="K33:K44" si="67">C33*0.00000110231131*(VLOOKUP(0,EmAuto20,2)*VLOOKUP(ProjLoc,EmCost,2)+VLOOKUP(0,EmAuto20,3)*VLOOKUP(ProjLoc,EmCost,3)*(1+CO2Uprater)^($B33+Construct-1)+VLOOKUP(0,EmAuto20,4)*VLOOKUP(ProjLoc,EmCost,4)+VLOOKUP(0,EmAuto20,5)*VLOOKUP(ProjLoc,EmCost,5)+VLOOKUP(0,EmAuto20,6)*VLOOKUP(ProjLoc,EmCost,6)+VLOOKUP(0,EmAuto20,7)*VLOOKUP(ProjLoc,EmCost,7))</f>
        <v>#N/A</v>
      </c>
      <c r="L33" s="500" t="e">
        <f t="shared" ref="L33:L44" si="68">D33*0.00000110231131*(VLOOKUP(0,EmAuto20,2)*VLOOKUP(ProjLoc,EmCost,2)+VLOOKUP(0,EmAuto20,3)*VLOOKUP(ProjLoc,EmCost,3)*(1+CO2Uprater)^($B33+Construct-1)+VLOOKUP(0,EmAuto20,4)*VLOOKUP(ProjLoc,EmCost,4)+VLOOKUP(0,EmAuto20,5)*VLOOKUP(ProjLoc,EmCost,5)+VLOOKUP(0,EmAuto20,6)*VLOOKUP(ProjLoc,EmCost,6)+VLOOKUP(0,EmAuto20,7)*VLOOKUP(ProjLoc,EmCost,7))</f>
        <v>#N/A</v>
      </c>
      <c r="M33" s="285" t="e">
        <f t="shared" si="64"/>
        <v>#N/A</v>
      </c>
      <c r="N33" s="323" t="e">
        <f t="shared" si="8"/>
        <v>#N/A</v>
      </c>
      <c r="O33" s="474"/>
      <c r="P33" s="1038">
        <f t="shared" ref="P33:P44" si="69">0.00000110231131*(G33*VLOOKUP(E33,EmAuto20,2)-H33*VLOOKUP(F33,EmAuto20,2)+(C33-D33)*VLOOKUP(0,EmAuto20,2))</f>
        <v>0</v>
      </c>
      <c r="Q33" s="1324">
        <f t="shared" ref="Q33:Q44" si="70">0.00000110231131*(G33*VLOOKUP(E33,EmAuto20,3)-H33*VLOOKUP(F33,EmAuto20,3)+(C33-D33)*VLOOKUP(0,EmAuto20,3))</f>
        <v>0</v>
      </c>
      <c r="R33" s="1324">
        <f t="shared" ref="R33:R44" si="71">0.00000110231131*(G33*VLOOKUP(E33,EmAuto20,4)-H33*VLOOKUP(F33,EmAuto20,4)+(C33-D33)*VLOOKUP(0,EmAuto20,4))</f>
        <v>0</v>
      </c>
      <c r="S33" s="1324">
        <f t="shared" ref="S33:S44" si="72">0.00000110231131*(G33*VLOOKUP(E33,EmAuto20,5)-H33*VLOOKUP(F33,EmAuto20,5)+(C33-D33)*VLOOKUP(0,EmAuto20,5))</f>
        <v>0</v>
      </c>
      <c r="T33" s="1324">
        <f t="shared" ref="T33:T44" si="73">0.00000110231131*(G33*VLOOKUP(E33,EmAuto20,6)-H33*VLOOKUP(F33,EmAuto20,6)+(C33-D33)*VLOOKUP(0,EmAuto20,6))</f>
        <v>0</v>
      </c>
      <c r="U33" s="1324">
        <f t="shared" ref="U33:U44" si="74">0.00000110231131*(G33*VLOOKUP(E33,EmAuto20,7)-H33*VLOOKUP(F33,EmAuto20,7)+(C33-D33)*VLOOKUP(0,EmAuto20,7))</f>
        <v>0</v>
      </c>
      <c r="V33" s="1325">
        <f t="shared" ref="V33:V44" si="75">0.00000110231131*(G33*VLOOKUP(E33,EmAuto20,8)-H33*VLOOKUP(F33,EmAuto20,8)+(C33-D33)*VLOOKUP(0,EmAuto20,8))</f>
        <v>0</v>
      </c>
      <c r="W33" s="521" t="e">
        <f t="shared" si="16"/>
        <v>#N/A</v>
      </c>
      <c r="X33" s="1333" t="e">
        <f t="shared" si="17"/>
        <v>#N/A</v>
      </c>
      <c r="Y33" s="1333" t="e">
        <f t="shared" si="18"/>
        <v>#N/A</v>
      </c>
      <c r="Z33" s="1333" t="e">
        <f t="shared" si="19"/>
        <v>#N/A</v>
      </c>
      <c r="AA33" s="1333" t="e">
        <f t="shared" si="20"/>
        <v>#N/A</v>
      </c>
      <c r="AB33" s="500" t="e">
        <f t="shared" si="21"/>
        <v>#N/A</v>
      </c>
      <c r="AD33" s="327">
        <v>8</v>
      </c>
      <c r="AE33" s="347">
        <f>TREND(AE24:AE25,AD24:AD25,AD33)</f>
        <v>0</v>
      </c>
      <c r="AF33" s="630">
        <f>TREND(AF24:AF25,AD24:AD25,AD33)</f>
        <v>0</v>
      </c>
      <c r="AG33" s="633">
        <f>TREND(AG24:AG25,AD24:AD25,AD33)</f>
        <v>55</v>
      </c>
      <c r="AH33" s="374">
        <f>TREND(AH24:AH25,AD24:AD25,AD33)</f>
        <v>55</v>
      </c>
      <c r="AI33" s="521" t="e">
        <f t="shared" ref="AI33:AI44" si="76">AE33*0.00000110231131*(VLOOKUP(AG33,EmBus20,2)*VLOOKUP(ProjLoc,EmCost,2)+VLOOKUP(AG33,EmBus20,3)*VLOOKUP(ProjLoc,EmCost,3)*(1+CO2Uprater)^($AD33+Construct-1)+VLOOKUP(AG33,EmBus20,4)*VLOOKUP(ProjLoc,EmCost,4)+VLOOKUP(AG33,EmBus20,5)*VLOOKUP(ProjLoc,EmCost,5)+VLOOKUP(AG33,EmBus20,6)*VLOOKUP(ProjLoc,EmCost,6)+VLOOKUP(AG33,EmBus20,7)*VLOOKUP(ProjLoc,EmCost,7))</f>
        <v>#N/A</v>
      </c>
      <c r="AJ33" s="500" t="e">
        <f t="shared" ref="AJ33:AJ44" si="77">AF33*0.00000110231131*(VLOOKUP(AH33,EmBus20,2)*VLOOKUP(ProjLoc,EmCost,2)+VLOOKUP(AH33,EmBus20,3)*VLOOKUP(ProjLoc,EmCost,3)*(1+CO2Uprater)^($AD33+Construct-1)+VLOOKUP(AH33,EmBus20,4)*VLOOKUP(ProjLoc,EmCost,4)+VLOOKUP(AH33,EmBus20,5)*VLOOKUP(ProjLoc,EmCost,5)+VLOOKUP(AH33,EmBus20,6)*VLOOKUP(ProjLoc,EmCost,6)+VLOOKUP(AH33,EmBus20,7)*VLOOKUP(ProjLoc,EmCost,7))</f>
        <v>#N/A</v>
      </c>
      <c r="AK33" s="285" t="e">
        <f t="shared" si="23"/>
        <v>#N/A</v>
      </c>
      <c r="AL33" s="323" t="e">
        <f t="shared" si="24"/>
        <v>#N/A</v>
      </c>
      <c r="AM33" s="474"/>
      <c r="AN33" s="1038">
        <f t="shared" ref="AN33:AN44" si="78">0.00000110231131*(AE33*VLOOKUP(AG33,EmBus20,2)-AF33*VLOOKUP(AH33,EmBus20,2))</f>
        <v>0</v>
      </c>
      <c r="AO33" s="1324">
        <f t="shared" ref="AO33:AO44" si="79">0.00000110231131*(AE33*VLOOKUP(AG33,EmBus20,3)-AF33*VLOOKUP(AH33,EmBus20,3))</f>
        <v>0</v>
      </c>
      <c r="AP33" s="1324">
        <f t="shared" ref="AP33:AP44" si="80">0.00000110231131*(AE33*VLOOKUP(AG33,EmBus20,4)-AF33*VLOOKUP(AH33,EmBus20,4))</f>
        <v>0</v>
      </c>
      <c r="AQ33" s="1324">
        <f t="shared" ref="AQ33:AQ44" si="81">0.00000110231131*(AE33*VLOOKUP(AG33,EmBus20,5)-AF33*VLOOKUP(AH33,EmBus20,5))</f>
        <v>0</v>
      </c>
      <c r="AR33" s="1324">
        <f t="shared" ref="AR33:AR44" si="82">0.00000110231131*(AE33*VLOOKUP(AG33,EmBus20,6)-AF33*VLOOKUP(AH33,EmBus20,6))</f>
        <v>0</v>
      </c>
      <c r="AS33" s="1324">
        <f t="shared" ref="AS33:AS44" si="83">0.00000110231131*(AE33*VLOOKUP(AG33,EmBus20,7)-AF33*VLOOKUP(AH33,EmBus20,7))</f>
        <v>0</v>
      </c>
      <c r="AT33" s="1325">
        <f t="shared" ref="AT33:AT44" si="84">0.00000110231131*(AE33*VLOOKUP(AG33,EmBus20,8)-AF33*VLOOKUP(AH33,EmBus20,8))</f>
        <v>0</v>
      </c>
      <c r="AU33" s="521" t="e">
        <f t="shared" si="32"/>
        <v>#N/A</v>
      </c>
      <c r="AV33" s="1333" t="e">
        <f t="shared" si="33"/>
        <v>#N/A</v>
      </c>
      <c r="AW33" s="1333" t="e">
        <f t="shared" si="34"/>
        <v>#N/A</v>
      </c>
      <c r="AX33" s="1333" t="e">
        <f t="shared" si="35"/>
        <v>#N/A</v>
      </c>
      <c r="AY33" s="1333" t="e">
        <f t="shared" si="36"/>
        <v>#N/A</v>
      </c>
      <c r="AZ33" s="500" t="e">
        <f t="shared" si="37"/>
        <v>#N/A</v>
      </c>
      <c r="BB33" s="327">
        <v>8</v>
      </c>
      <c r="BC33" s="478" t="e">
        <f t="shared" si="38"/>
        <v>#N/A</v>
      </c>
      <c r="BD33" s="478" t="e">
        <f t="shared" si="39"/>
        <v>#N/A</v>
      </c>
      <c r="BE33" s="478" t="e">
        <f t="shared" si="40"/>
        <v>#N/A</v>
      </c>
      <c r="BF33" s="478" t="e">
        <f t="shared" si="41"/>
        <v>#N/A</v>
      </c>
      <c r="BG33" s="478">
        <f t="shared" si="42"/>
        <v>0</v>
      </c>
      <c r="BH33" s="478" t="e">
        <f t="shared" si="43"/>
        <v>#N/A</v>
      </c>
      <c r="BI33" s="478" t="e">
        <f t="shared" si="44"/>
        <v>#N/A</v>
      </c>
      <c r="BJ33" s="478" t="e">
        <f t="shared" si="45"/>
        <v>#N/A</v>
      </c>
      <c r="BK33" s="478" t="e">
        <f t="shared" si="46"/>
        <v>#N/A</v>
      </c>
      <c r="BL33" s="478" t="e">
        <f t="shared" si="47"/>
        <v>#N/A</v>
      </c>
      <c r="BM33" s="478" t="e">
        <f t="shared" si="48"/>
        <v>#N/A</v>
      </c>
      <c r="BN33" s="478" t="e">
        <f t="shared" si="49"/>
        <v>#N/A</v>
      </c>
      <c r="BO33" s="478" t="e">
        <f t="shared" si="50"/>
        <v>#N/A</v>
      </c>
      <c r="BP33" s="323" t="e">
        <f t="shared" si="51"/>
        <v>#N/A</v>
      </c>
      <c r="BQ33" s="588"/>
      <c r="BR33" s="323" t="e">
        <f t="shared" si="52"/>
        <v>#N/A</v>
      </c>
      <c r="BT33" s="1038">
        <f t="shared" si="53"/>
        <v>0</v>
      </c>
      <c r="BU33" s="1324">
        <f t="shared" si="53"/>
        <v>0</v>
      </c>
      <c r="BV33" s="1324">
        <f t="shared" si="54"/>
        <v>0</v>
      </c>
      <c r="BW33" s="1324">
        <f t="shared" si="55"/>
        <v>0</v>
      </c>
      <c r="BX33" s="1324">
        <f t="shared" si="56"/>
        <v>0</v>
      </c>
      <c r="BY33" s="1324">
        <f t="shared" si="57"/>
        <v>0</v>
      </c>
      <c r="BZ33" s="1325">
        <f t="shared" si="58"/>
        <v>0</v>
      </c>
      <c r="CA33" s="521" t="e">
        <f t="shared" si="59"/>
        <v>#N/A</v>
      </c>
      <c r="CB33" s="1333" t="e">
        <f t="shared" si="59"/>
        <v>#N/A</v>
      </c>
      <c r="CC33" s="1333" t="e">
        <f t="shared" si="60"/>
        <v>#N/A</v>
      </c>
      <c r="CD33" s="1333" t="e">
        <f t="shared" si="61"/>
        <v>#N/A</v>
      </c>
      <c r="CE33" s="1333" t="e">
        <f t="shared" si="62"/>
        <v>#N/A</v>
      </c>
      <c r="CF33" s="500" t="e">
        <f t="shared" si="63"/>
        <v>#N/A</v>
      </c>
    </row>
    <row r="34" spans="2:84" x14ac:dyDescent="0.25">
      <c r="B34" s="327">
        <v>9</v>
      </c>
      <c r="C34" s="347">
        <f>TREND(C24:C25,B24:B25,B34)</f>
        <v>0</v>
      </c>
      <c r="D34" s="372">
        <f>TREND(D24:D25,B24:B25,B34)</f>
        <v>0</v>
      </c>
      <c r="E34" s="373">
        <f>TREND(E24:E25,B24:B25,B34)</f>
        <v>55</v>
      </c>
      <c r="F34" s="374">
        <f>TREND(F24:F25,B24:B25,B34)</f>
        <v>55</v>
      </c>
      <c r="G34" s="339">
        <f t="shared" si="4"/>
        <v>0</v>
      </c>
      <c r="H34" s="436">
        <f t="shared" si="5"/>
        <v>0</v>
      </c>
      <c r="I34" s="521" t="e">
        <f t="shared" si="65"/>
        <v>#N/A</v>
      </c>
      <c r="J34" s="500" t="e">
        <f t="shared" si="66"/>
        <v>#N/A</v>
      </c>
      <c r="K34" s="521" t="e">
        <f t="shared" si="67"/>
        <v>#N/A</v>
      </c>
      <c r="L34" s="500" t="e">
        <f t="shared" si="68"/>
        <v>#N/A</v>
      </c>
      <c r="M34" s="285" t="e">
        <f t="shared" si="64"/>
        <v>#N/A</v>
      </c>
      <c r="N34" s="323" t="e">
        <f t="shared" si="8"/>
        <v>#N/A</v>
      </c>
      <c r="O34" s="474"/>
      <c r="P34" s="1038">
        <f t="shared" si="69"/>
        <v>0</v>
      </c>
      <c r="Q34" s="1324">
        <f t="shared" si="70"/>
        <v>0</v>
      </c>
      <c r="R34" s="1324">
        <f t="shared" si="71"/>
        <v>0</v>
      </c>
      <c r="S34" s="1324">
        <f t="shared" si="72"/>
        <v>0</v>
      </c>
      <c r="T34" s="1324">
        <f t="shared" si="73"/>
        <v>0</v>
      </c>
      <c r="U34" s="1324">
        <f t="shared" si="74"/>
        <v>0</v>
      </c>
      <c r="V34" s="1325">
        <f t="shared" si="75"/>
        <v>0</v>
      </c>
      <c r="W34" s="521" t="e">
        <f t="shared" si="16"/>
        <v>#N/A</v>
      </c>
      <c r="X34" s="1333" t="e">
        <f t="shared" si="17"/>
        <v>#N/A</v>
      </c>
      <c r="Y34" s="1333" t="e">
        <f t="shared" si="18"/>
        <v>#N/A</v>
      </c>
      <c r="Z34" s="1333" t="e">
        <f t="shared" si="19"/>
        <v>#N/A</v>
      </c>
      <c r="AA34" s="1333" t="e">
        <f t="shared" si="20"/>
        <v>#N/A</v>
      </c>
      <c r="AB34" s="500" t="e">
        <f t="shared" si="21"/>
        <v>#N/A</v>
      </c>
      <c r="AD34" s="327">
        <v>9</v>
      </c>
      <c r="AE34" s="347">
        <f>TREND(AE24:AE25,AD24:AD25,AD34)</f>
        <v>0</v>
      </c>
      <c r="AF34" s="630">
        <f>TREND(AF24:AF25,AD24:AD25,AD34)</f>
        <v>0</v>
      </c>
      <c r="AG34" s="633">
        <f>TREND(AG24:AG25,AD24:AD25,AD34)</f>
        <v>55</v>
      </c>
      <c r="AH34" s="374">
        <f>TREND(AH24:AH25,AD24:AD25,AD34)</f>
        <v>55</v>
      </c>
      <c r="AI34" s="521" t="e">
        <f t="shared" si="76"/>
        <v>#N/A</v>
      </c>
      <c r="AJ34" s="500" t="e">
        <f t="shared" si="77"/>
        <v>#N/A</v>
      </c>
      <c r="AK34" s="285" t="e">
        <f t="shared" si="23"/>
        <v>#N/A</v>
      </c>
      <c r="AL34" s="323" t="e">
        <f t="shared" si="24"/>
        <v>#N/A</v>
      </c>
      <c r="AM34" s="474"/>
      <c r="AN34" s="1038">
        <f t="shared" si="78"/>
        <v>0</v>
      </c>
      <c r="AO34" s="1324">
        <f t="shared" si="79"/>
        <v>0</v>
      </c>
      <c r="AP34" s="1324">
        <f t="shared" si="80"/>
        <v>0</v>
      </c>
      <c r="AQ34" s="1324">
        <f t="shared" si="81"/>
        <v>0</v>
      </c>
      <c r="AR34" s="1324">
        <f t="shared" si="82"/>
        <v>0</v>
      </c>
      <c r="AS34" s="1324">
        <f t="shared" si="83"/>
        <v>0</v>
      </c>
      <c r="AT34" s="1325">
        <f t="shared" si="84"/>
        <v>0</v>
      </c>
      <c r="AU34" s="521" t="e">
        <f t="shared" si="32"/>
        <v>#N/A</v>
      </c>
      <c r="AV34" s="1333" t="e">
        <f t="shared" si="33"/>
        <v>#N/A</v>
      </c>
      <c r="AW34" s="1333" t="e">
        <f t="shared" si="34"/>
        <v>#N/A</v>
      </c>
      <c r="AX34" s="1333" t="e">
        <f t="shared" si="35"/>
        <v>#N/A</v>
      </c>
      <c r="AY34" s="1333" t="e">
        <f t="shared" si="36"/>
        <v>#N/A</v>
      </c>
      <c r="AZ34" s="500" t="e">
        <f t="shared" si="37"/>
        <v>#N/A</v>
      </c>
      <c r="BB34" s="327">
        <v>9</v>
      </c>
      <c r="BC34" s="478" t="e">
        <f t="shared" si="38"/>
        <v>#N/A</v>
      </c>
      <c r="BD34" s="478" t="e">
        <f t="shared" si="39"/>
        <v>#N/A</v>
      </c>
      <c r="BE34" s="478" t="e">
        <f t="shared" si="40"/>
        <v>#N/A</v>
      </c>
      <c r="BF34" s="478" t="e">
        <f t="shared" si="41"/>
        <v>#N/A</v>
      </c>
      <c r="BG34" s="478">
        <f t="shared" si="42"/>
        <v>0</v>
      </c>
      <c r="BH34" s="478" t="e">
        <f t="shared" si="43"/>
        <v>#N/A</v>
      </c>
      <c r="BI34" s="478" t="e">
        <f t="shared" si="44"/>
        <v>#N/A</v>
      </c>
      <c r="BJ34" s="478" t="e">
        <f t="shared" si="45"/>
        <v>#N/A</v>
      </c>
      <c r="BK34" s="478" t="e">
        <f t="shared" si="46"/>
        <v>#N/A</v>
      </c>
      <c r="BL34" s="478" t="e">
        <f t="shared" si="47"/>
        <v>#N/A</v>
      </c>
      <c r="BM34" s="478" t="e">
        <f t="shared" si="48"/>
        <v>#N/A</v>
      </c>
      <c r="BN34" s="478" t="e">
        <f t="shared" si="49"/>
        <v>#N/A</v>
      </c>
      <c r="BO34" s="478" t="e">
        <f t="shared" si="50"/>
        <v>#N/A</v>
      </c>
      <c r="BP34" s="323" t="e">
        <f t="shared" si="51"/>
        <v>#N/A</v>
      </c>
      <c r="BQ34" s="588"/>
      <c r="BR34" s="323" t="e">
        <f t="shared" si="52"/>
        <v>#N/A</v>
      </c>
      <c r="BT34" s="1038">
        <f t="shared" si="53"/>
        <v>0</v>
      </c>
      <c r="BU34" s="1324">
        <f t="shared" si="53"/>
        <v>0</v>
      </c>
      <c r="BV34" s="1324">
        <f t="shared" si="54"/>
        <v>0</v>
      </c>
      <c r="BW34" s="1324">
        <f t="shared" si="55"/>
        <v>0</v>
      </c>
      <c r="BX34" s="1324">
        <f t="shared" si="56"/>
        <v>0</v>
      </c>
      <c r="BY34" s="1324">
        <f t="shared" si="57"/>
        <v>0</v>
      </c>
      <c r="BZ34" s="1325">
        <f t="shared" si="58"/>
        <v>0</v>
      </c>
      <c r="CA34" s="521" t="e">
        <f t="shared" si="59"/>
        <v>#N/A</v>
      </c>
      <c r="CB34" s="1333" t="e">
        <f t="shared" si="59"/>
        <v>#N/A</v>
      </c>
      <c r="CC34" s="1333" t="e">
        <f t="shared" si="60"/>
        <v>#N/A</v>
      </c>
      <c r="CD34" s="1333" t="e">
        <f t="shared" si="61"/>
        <v>#N/A</v>
      </c>
      <c r="CE34" s="1333" t="e">
        <f t="shared" si="62"/>
        <v>#N/A</v>
      </c>
      <c r="CF34" s="500" t="e">
        <f t="shared" si="63"/>
        <v>#N/A</v>
      </c>
    </row>
    <row r="35" spans="2:84" x14ac:dyDescent="0.25">
      <c r="B35" s="327">
        <v>10</v>
      </c>
      <c r="C35" s="347">
        <f>TREND(C24:C25,B24:B25,B35)</f>
        <v>0</v>
      </c>
      <c r="D35" s="372">
        <f>TREND(D24:D25,B24:B25,B35)</f>
        <v>0</v>
      </c>
      <c r="E35" s="373">
        <f>TREND(E24:E25,B24:B25,B35)</f>
        <v>55</v>
      </c>
      <c r="F35" s="374">
        <f>TREND(F24:F25,B24:B25,B35)</f>
        <v>55</v>
      </c>
      <c r="G35" s="339">
        <f t="shared" si="4"/>
        <v>0</v>
      </c>
      <c r="H35" s="436">
        <f t="shared" si="5"/>
        <v>0</v>
      </c>
      <c r="I35" s="521" t="e">
        <f t="shared" si="65"/>
        <v>#N/A</v>
      </c>
      <c r="J35" s="500" t="e">
        <f t="shared" si="66"/>
        <v>#N/A</v>
      </c>
      <c r="K35" s="521" t="e">
        <f t="shared" si="67"/>
        <v>#N/A</v>
      </c>
      <c r="L35" s="500" t="e">
        <f t="shared" si="68"/>
        <v>#N/A</v>
      </c>
      <c r="M35" s="285" t="e">
        <f t="shared" si="64"/>
        <v>#N/A</v>
      </c>
      <c r="N35" s="323" t="e">
        <f t="shared" si="8"/>
        <v>#N/A</v>
      </c>
      <c r="O35" s="474"/>
      <c r="P35" s="1038">
        <f t="shared" si="69"/>
        <v>0</v>
      </c>
      <c r="Q35" s="1324">
        <f t="shared" si="70"/>
        <v>0</v>
      </c>
      <c r="R35" s="1324">
        <f t="shared" si="71"/>
        <v>0</v>
      </c>
      <c r="S35" s="1324">
        <f t="shared" si="72"/>
        <v>0</v>
      </c>
      <c r="T35" s="1324">
        <f t="shared" si="73"/>
        <v>0</v>
      </c>
      <c r="U35" s="1324">
        <f t="shared" si="74"/>
        <v>0</v>
      </c>
      <c r="V35" s="1325">
        <f t="shared" si="75"/>
        <v>0</v>
      </c>
      <c r="W35" s="521" t="e">
        <f t="shared" si="16"/>
        <v>#N/A</v>
      </c>
      <c r="X35" s="1333" t="e">
        <f t="shared" si="17"/>
        <v>#N/A</v>
      </c>
      <c r="Y35" s="1333" t="e">
        <f t="shared" si="18"/>
        <v>#N/A</v>
      </c>
      <c r="Z35" s="1333" t="e">
        <f t="shared" si="19"/>
        <v>#N/A</v>
      </c>
      <c r="AA35" s="1333" t="e">
        <f t="shared" si="20"/>
        <v>#N/A</v>
      </c>
      <c r="AB35" s="500" t="e">
        <f t="shared" si="21"/>
        <v>#N/A</v>
      </c>
      <c r="AD35" s="327">
        <v>10</v>
      </c>
      <c r="AE35" s="347">
        <f>TREND(AE24:AE25,AD24:AD25,AD35)</f>
        <v>0</v>
      </c>
      <c r="AF35" s="630">
        <f>TREND(AF24:AF25,AD24:AD25,AD35)</f>
        <v>0</v>
      </c>
      <c r="AG35" s="633">
        <f>TREND(AG24:AG25,AD24:AD25,AD35)</f>
        <v>55</v>
      </c>
      <c r="AH35" s="374">
        <f>TREND(AH24:AH25,AD24:AD25,AD35)</f>
        <v>55</v>
      </c>
      <c r="AI35" s="521" t="e">
        <f t="shared" si="76"/>
        <v>#N/A</v>
      </c>
      <c r="AJ35" s="500" t="e">
        <f t="shared" si="77"/>
        <v>#N/A</v>
      </c>
      <c r="AK35" s="285" t="e">
        <f t="shared" si="23"/>
        <v>#N/A</v>
      </c>
      <c r="AL35" s="323" t="e">
        <f t="shared" si="24"/>
        <v>#N/A</v>
      </c>
      <c r="AM35" s="474"/>
      <c r="AN35" s="1038">
        <f t="shared" si="78"/>
        <v>0</v>
      </c>
      <c r="AO35" s="1324">
        <f t="shared" si="79"/>
        <v>0</v>
      </c>
      <c r="AP35" s="1324">
        <f t="shared" si="80"/>
        <v>0</v>
      </c>
      <c r="AQ35" s="1324">
        <f t="shared" si="81"/>
        <v>0</v>
      </c>
      <c r="AR35" s="1324">
        <f t="shared" si="82"/>
        <v>0</v>
      </c>
      <c r="AS35" s="1324">
        <f t="shared" si="83"/>
        <v>0</v>
      </c>
      <c r="AT35" s="1325">
        <f t="shared" si="84"/>
        <v>0</v>
      </c>
      <c r="AU35" s="521" t="e">
        <f t="shared" si="32"/>
        <v>#N/A</v>
      </c>
      <c r="AV35" s="1333" t="e">
        <f t="shared" si="33"/>
        <v>#N/A</v>
      </c>
      <c r="AW35" s="1333" t="e">
        <f t="shared" si="34"/>
        <v>#N/A</v>
      </c>
      <c r="AX35" s="1333" t="e">
        <f t="shared" si="35"/>
        <v>#N/A</v>
      </c>
      <c r="AY35" s="1333" t="e">
        <f t="shared" si="36"/>
        <v>#N/A</v>
      </c>
      <c r="AZ35" s="500" t="e">
        <f t="shared" si="37"/>
        <v>#N/A</v>
      </c>
      <c r="BB35" s="327">
        <v>10</v>
      </c>
      <c r="BC35" s="478" t="e">
        <f t="shared" si="38"/>
        <v>#N/A</v>
      </c>
      <c r="BD35" s="478" t="e">
        <f t="shared" si="39"/>
        <v>#N/A</v>
      </c>
      <c r="BE35" s="478" t="e">
        <f t="shared" si="40"/>
        <v>#N/A</v>
      </c>
      <c r="BF35" s="478" t="e">
        <f t="shared" si="41"/>
        <v>#N/A</v>
      </c>
      <c r="BG35" s="478">
        <f t="shared" si="42"/>
        <v>0</v>
      </c>
      <c r="BH35" s="478" t="e">
        <f t="shared" si="43"/>
        <v>#N/A</v>
      </c>
      <c r="BI35" s="478" t="e">
        <f t="shared" si="44"/>
        <v>#N/A</v>
      </c>
      <c r="BJ35" s="478" t="e">
        <f t="shared" si="45"/>
        <v>#N/A</v>
      </c>
      <c r="BK35" s="478" t="e">
        <f t="shared" si="46"/>
        <v>#N/A</v>
      </c>
      <c r="BL35" s="478" t="e">
        <f t="shared" si="47"/>
        <v>#N/A</v>
      </c>
      <c r="BM35" s="478" t="e">
        <f t="shared" si="48"/>
        <v>#N/A</v>
      </c>
      <c r="BN35" s="478" t="e">
        <f t="shared" si="49"/>
        <v>#N/A</v>
      </c>
      <c r="BO35" s="478" t="e">
        <f t="shared" si="50"/>
        <v>#N/A</v>
      </c>
      <c r="BP35" s="323" t="e">
        <f t="shared" si="51"/>
        <v>#N/A</v>
      </c>
      <c r="BQ35" s="588"/>
      <c r="BR35" s="323" t="e">
        <f t="shared" si="52"/>
        <v>#N/A</v>
      </c>
      <c r="BT35" s="1038">
        <f t="shared" si="53"/>
        <v>0</v>
      </c>
      <c r="BU35" s="1324">
        <f t="shared" si="53"/>
        <v>0</v>
      </c>
      <c r="BV35" s="1324">
        <f t="shared" si="54"/>
        <v>0</v>
      </c>
      <c r="BW35" s="1324">
        <f t="shared" si="55"/>
        <v>0</v>
      </c>
      <c r="BX35" s="1324">
        <f t="shared" si="56"/>
        <v>0</v>
      </c>
      <c r="BY35" s="1324">
        <f t="shared" si="57"/>
        <v>0</v>
      </c>
      <c r="BZ35" s="1325">
        <f t="shared" si="58"/>
        <v>0</v>
      </c>
      <c r="CA35" s="521" t="e">
        <f t="shared" si="59"/>
        <v>#N/A</v>
      </c>
      <c r="CB35" s="1333" t="e">
        <f t="shared" si="59"/>
        <v>#N/A</v>
      </c>
      <c r="CC35" s="1333" t="e">
        <f t="shared" si="60"/>
        <v>#N/A</v>
      </c>
      <c r="CD35" s="1333" t="e">
        <f t="shared" si="61"/>
        <v>#N/A</v>
      </c>
      <c r="CE35" s="1333" t="e">
        <f t="shared" si="62"/>
        <v>#N/A</v>
      </c>
      <c r="CF35" s="500" t="e">
        <f t="shared" si="63"/>
        <v>#N/A</v>
      </c>
    </row>
    <row r="36" spans="2:84" x14ac:dyDescent="0.25">
      <c r="B36" s="327">
        <v>11</v>
      </c>
      <c r="C36" s="347">
        <f>TREND(C24:C25,B24:B25,B36)</f>
        <v>0</v>
      </c>
      <c r="D36" s="372">
        <f>TREND(D24:D25,B24:B25,B36)</f>
        <v>0</v>
      </c>
      <c r="E36" s="373">
        <f>TREND(E24:E25,B24:B25,B36)</f>
        <v>55</v>
      </c>
      <c r="F36" s="374">
        <f>TREND(F24:F25,B24:B25,B36)</f>
        <v>55</v>
      </c>
      <c r="G36" s="339">
        <f t="shared" si="4"/>
        <v>0</v>
      </c>
      <c r="H36" s="436">
        <f t="shared" si="5"/>
        <v>0</v>
      </c>
      <c r="I36" s="521" t="e">
        <f t="shared" si="65"/>
        <v>#N/A</v>
      </c>
      <c r="J36" s="500" t="e">
        <f t="shared" si="66"/>
        <v>#N/A</v>
      </c>
      <c r="K36" s="521" t="e">
        <f t="shared" si="67"/>
        <v>#N/A</v>
      </c>
      <c r="L36" s="500" t="e">
        <f t="shared" si="68"/>
        <v>#N/A</v>
      </c>
      <c r="M36" s="285" t="e">
        <f t="shared" si="64"/>
        <v>#N/A</v>
      </c>
      <c r="N36" s="323" t="e">
        <f t="shared" si="8"/>
        <v>#N/A</v>
      </c>
      <c r="O36" s="474"/>
      <c r="P36" s="1038">
        <f t="shared" si="69"/>
        <v>0</v>
      </c>
      <c r="Q36" s="1324">
        <f t="shared" si="70"/>
        <v>0</v>
      </c>
      <c r="R36" s="1324">
        <f t="shared" si="71"/>
        <v>0</v>
      </c>
      <c r="S36" s="1324">
        <f t="shared" si="72"/>
        <v>0</v>
      </c>
      <c r="T36" s="1324">
        <f t="shared" si="73"/>
        <v>0</v>
      </c>
      <c r="U36" s="1324">
        <f t="shared" si="74"/>
        <v>0</v>
      </c>
      <c r="V36" s="1325">
        <f t="shared" si="75"/>
        <v>0</v>
      </c>
      <c r="W36" s="521" t="e">
        <f t="shared" si="16"/>
        <v>#N/A</v>
      </c>
      <c r="X36" s="1333" t="e">
        <f t="shared" si="17"/>
        <v>#N/A</v>
      </c>
      <c r="Y36" s="1333" t="e">
        <f t="shared" si="18"/>
        <v>#N/A</v>
      </c>
      <c r="Z36" s="1333" t="e">
        <f t="shared" si="19"/>
        <v>#N/A</v>
      </c>
      <c r="AA36" s="1333" t="e">
        <f t="shared" si="20"/>
        <v>#N/A</v>
      </c>
      <c r="AB36" s="500" t="e">
        <f t="shared" si="21"/>
        <v>#N/A</v>
      </c>
      <c r="AD36" s="327">
        <v>11</v>
      </c>
      <c r="AE36" s="347">
        <f>TREND(AE24:AE25,AD24:AD25,AD36)</f>
        <v>0</v>
      </c>
      <c r="AF36" s="630">
        <f>TREND(AF24:AF25,AD24:AD25,AD36)</f>
        <v>0</v>
      </c>
      <c r="AG36" s="633">
        <f>TREND(AG24:AG25,AD24:AD25,AD36)</f>
        <v>55</v>
      </c>
      <c r="AH36" s="374">
        <f>TREND(AH24:AH25,AD24:AD25,AD36)</f>
        <v>55</v>
      </c>
      <c r="AI36" s="521" t="e">
        <f t="shared" si="76"/>
        <v>#N/A</v>
      </c>
      <c r="AJ36" s="500" t="e">
        <f t="shared" si="77"/>
        <v>#N/A</v>
      </c>
      <c r="AK36" s="285" t="e">
        <f t="shared" si="23"/>
        <v>#N/A</v>
      </c>
      <c r="AL36" s="323" t="e">
        <f t="shared" si="24"/>
        <v>#N/A</v>
      </c>
      <c r="AM36" s="474"/>
      <c r="AN36" s="1038">
        <f t="shared" si="78"/>
        <v>0</v>
      </c>
      <c r="AO36" s="1324">
        <f t="shared" si="79"/>
        <v>0</v>
      </c>
      <c r="AP36" s="1324">
        <f t="shared" si="80"/>
        <v>0</v>
      </c>
      <c r="AQ36" s="1324">
        <f t="shared" si="81"/>
        <v>0</v>
      </c>
      <c r="AR36" s="1324">
        <f t="shared" si="82"/>
        <v>0</v>
      </c>
      <c r="AS36" s="1324">
        <f t="shared" si="83"/>
        <v>0</v>
      </c>
      <c r="AT36" s="1325">
        <f t="shared" si="84"/>
        <v>0</v>
      </c>
      <c r="AU36" s="521" t="e">
        <f t="shared" si="32"/>
        <v>#N/A</v>
      </c>
      <c r="AV36" s="1333" t="e">
        <f t="shared" si="33"/>
        <v>#N/A</v>
      </c>
      <c r="AW36" s="1333" t="e">
        <f t="shared" si="34"/>
        <v>#N/A</v>
      </c>
      <c r="AX36" s="1333" t="e">
        <f t="shared" si="35"/>
        <v>#N/A</v>
      </c>
      <c r="AY36" s="1333" t="e">
        <f t="shared" si="36"/>
        <v>#N/A</v>
      </c>
      <c r="AZ36" s="500" t="e">
        <f t="shared" si="37"/>
        <v>#N/A</v>
      </c>
      <c r="BB36" s="327">
        <v>11</v>
      </c>
      <c r="BC36" s="478" t="e">
        <f t="shared" si="38"/>
        <v>#N/A</v>
      </c>
      <c r="BD36" s="478" t="e">
        <f t="shared" si="39"/>
        <v>#N/A</v>
      </c>
      <c r="BE36" s="478" t="e">
        <f t="shared" si="40"/>
        <v>#N/A</v>
      </c>
      <c r="BF36" s="478" t="e">
        <f t="shared" si="41"/>
        <v>#N/A</v>
      </c>
      <c r="BG36" s="478">
        <f t="shared" si="42"/>
        <v>0</v>
      </c>
      <c r="BH36" s="478" t="e">
        <f t="shared" si="43"/>
        <v>#N/A</v>
      </c>
      <c r="BI36" s="478" t="e">
        <f t="shared" si="44"/>
        <v>#N/A</v>
      </c>
      <c r="BJ36" s="478" t="e">
        <f t="shared" si="45"/>
        <v>#N/A</v>
      </c>
      <c r="BK36" s="478" t="e">
        <f t="shared" si="46"/>
        <v>#N/A</v>
      </c>
      <c r="BL36" s="478" t="e">
        <f t="shared" si="47"/>
        <v>#N/A</v>
      </c>
      <c r="BM36" s="478" t="e">
        <f t="shared" si="48"/>
        <v>#N/A</v>
      </c>
      <c r="BN36" s="478" t="e">
        <f t="shared" si="49"/>
        <v>#N/A</v>
      </c>
      <c r="BO36" s="478" t="e">
        <f t="shared" si="50"/>
        <v>#N/A</v>
      </c>
      <c r="BP36" s="323" t="e">
        <f t="shared" si="51"/>
        <v>#N/A</v>
      </c>
      <c r="BQ36" s="588"/>
      <c r="BR36" s="323" t="e">
        <f t="shared" si="52"/>
        <v>#N/A</v>
      </c>
      <c r="BT36" s="1038">
        <f t="shared" si="53"/>
        <v>0</v>
      </c>
      <c r="BU36" s="1324">
        <f t="shared" si="53"/>
        <v>0</v>
      </c>
      <c r="BV36" s="1324">
        <f t="shared" si="54"/>
        <v>0</v>
      </c>
      <c r="BW36" s="1324">
        <f t="shared" si="55"/>
        <v>0</v>
      </c>
      <c r="BX36" s="1324">
        <f t="shared" si="56"/>
        <v>0</v>
      </c>
      <c r="BY36" s="1324">
        <f t="shared" si="57"/>
        <v>0</v>
      </c>
      <c r="BZ36" s="1325">
        <f t="shared" si="58"/>
        <v>0</v>
      </c>
      <c r="CA36" s="521" t="e">
        <f t="shared" si="59"/>
        <v>#N/A</v>
      </c>
      <c r="CB36" s="1333" t="e">
        <f t="shared" si="59"/>
        <v>#N/A</v>
      </c>
      <c r="CC36" s="1333" t="e">
        <f t="shared" si="60"/>
        <v>#N/A</v>
      </c>
      <c r="CD36" s="1333" t="e">
        <f t="shared" si="61"/>
        <v>#N/A</v>
      </c>
      <c r="CE36" s="1333" t="e">
        <f t="shared" si="62"/>
        <v>#N/A</v>
      </c>
      <c r="CF36" s="500" t="e">
        <f t="shared" si="63"/>
        <v>#N/A</v>
      </c>
    </row>
    <row r="37" spans="2:84" x14ac:dyDescent="0.25">
      <c r="B37" s="327">
        <v>12</v>
      </c>
      <c r="C37" s="347">
        <f>TREND(C24:C25,B24:B25,B37)</f>
        <v>0</v>
      </c>
      <c r="D37" s="372">
        <f>TREND(D24:D25,B24:B25,B37)</f>
        <v>0</v>
      </c>
      <c r="E37" s="373">
        <f>TREND(E24:E25,B24:B25,B37)</f>
        <v>55</v>
      </c>
      <c r="F37" s="374">
        <f>TREND(F24:F25,B24:B25,B37)</f>
        <v>55</v>
      </c>
      <c r="G37" s="339">
        <f t="shared" si="4"/>
        <v>0</v>
      </c>
      <c r="H37" s="436">
        <f t="shared" si="5"/>
        <v>0</v>
      </c>
      <c r="I37" s="521" t="e">
        <f t="shared" si="65"/>
        <v>#N/A</v>
      </c>
      <c r="J37" s="500" t="e">
        <f t="shared" si="66"/>
        <v>#N/A</v>
      </c>
      <c r="K37" s="521" t="e">
        <f t="shared" si="67"/>
        <v>#N/A</v>
      </c>
      <c r="L37" s="500" t="e">
        <f t="shared" si="68"/>
        <v>#N/A</v>
      </c>
      <c r="M37" s="285" t="e">
        <f t="shared" si="64"/>
        <v>#N/A</v>
      </c>
      <c r="N37" s="323" t="e">
        <f t="shared" si="8"/>
        <v>#N/A</v>
      </c>
      <c r="O37" s="474"/>
      <c r="P37" s="1038">
        <f t="shared" si="69"/>
        <v>0</v>
      </c>
      <c r="Q37" s="1324">
        <f t="shared" si="70"/>
        <v>0</v>
      </c>
      <c r="R37" s="1324">
        <f t="shared" si="71"/>
        <v>0</v>
      </c>
      <c r="S37" s="1324">
        <f t="shared" si="72"/>
        <v>0</v>
      </c>
      <c r="T37" s="1324">
        <f t="shared" si="73"/>
        <v>0</v>
      </c>
      <c r="U37" s="1324">
        <f t="shared" si="74"/>
        <v>0</v>
      </c>
      <c r="V37" s="1325">
        <f t="shared" si="75"/>
        <v>0</v>
      </c>
      <c r="W37" s="521" t="e">
        <f t="shared" si="16"/>
        <v>#N/A</v>
      </c>
      <c r="X37" s="1333" t="e">
        <f t="shared" si="17"/>
        <v>#N/A</v>
      </c>
      <c r="Y37" s="1333" t="e">
        <f t="shared" si="18"/>
        <v>#N/A</v>
      </c>
      <c r="Z37" s="1333" t="e">
        <f t="shared" si="19"/>
        <v>#N/A</v>
      </c>
      <c r="AA37" s="1333" t="e">
        <f t="shared" si="20"/>
        <v>#N/A</v>
      </c>
      <c r="AB37" s="500" t="e">
        <f t="shared" si="21"/>
        <v>#N/A</v>
      </c>
      <c r="AD37" s="327">
        <v>12</v>
      </c>
      <c r="AE37" s="347">
        <f>TREND(AE24:AE25,AD24:AD25,AD37)</f>
        <v>0</v>
      </c>
      <c r="AF37" s="630">
        <f>TREND(AF24:AF25,AD24:AD25,AD37)</f>
        <v>0</v>
      </c>
      <c r="AG37" s="633">
        <f>TREND(AG24:AG25,AD24:AD25,AD37)</f>
        <v>55</v>
      </c>
      <c r="AH37" s="374">
        <f>TREND(AH24:AH25,AD24:AD25,AD37)</f>
        <v>55</v>
      </c>
      <c r="AI37" s="521" t="e">
        <f t="shared" si="76"/>
        <v>#N/A</v>
      </c>
      <c r="AJ37" s="500" t="e">
        <f t="shared" si="77"/>
        <v>#N/A</v>
      </c>
      <c r="AK37" s="285" t="e">
        <f t="shared" si="23"/>
        <v>#N/A</v>
      </c>
      <c r="AL37" s="323" t="e">
        <f t="shared" si="24"/>
        <v>#N/A</v>
      </c>
      <c r="AM37" s="474"/>
      <c r="AN37" s="1038">
        <f t="shared" si="78"/>
        <v>0</v>
      </c>
      <c r="AO37" s="1324">
        <f t="shared" si="79"/>
        <v>0</v>
      </c>
      <c r="AP37" s="1324">
        <f t="shared" si="80"/>
        <v>0</v>
      </c>
      <c r="AQ37" s="1324">
        <f t="shared" si="81"/>
        <v>0</v>
      </c>
      <c r="AR37" s="1324">
        <f t="shared" si="82"/>
        <v>0</v>
      </c>
      <c r="AS37" s="1324">
        <f t="shared" si="83"/>
        <v>0</v>
      </c>
      <c r="AT37" s="1325">
        <f t="shared" si="84"/>
        <v>0</v>
      </c>
      <c r="AU37" s="521" t="e">
        <f t="shared" si="32"/>
        <v>#N/A</v>
      </c>
      <c r="AV37" s="1333" t="e">
        <f t="shared" si="33"/>
        <v>#N/A</v>
      </c>
      <c r="AW37" s="1333" t="e">
        <f t="shared" si="34"/>
        <v>#N/A</v>
      </c>
      <c r="AX37" s="1333" t="e">
        <f t="shared" si="35"/>
        <v>#N/A</v>
      </c>
      <c r="AY37" s="1333" t="e">
        <f t="shared" si="36"/>
        <v>#N/A</v>
      </c>
      <c r="AZ37" s="500" t="e">
        <f t="shared" si="37"/>
        <v>#N/A</v>
      </c>
      <c r="BB37" s="327">
        <v>12</v>
      </c>
      <c r="BC37" s="478" t="e">
        <f t="shared" si="38"/>
        <v>#N/A</v>
      </c>
      <c r="BD37" s="478" t="e">
        <f t="shared" si="39"/>
        <v>#N/A</v>
      </c>
      <c r="BE37" s="478" t="e">
        <f t="shared" si="40"/>
        <v>#N/A</v>
      </c>
      <c r="BF37" s="478" t="e">
        <f t="shared" si="41"/>
        <v>#N/A</v>
      </c>
      <c r="BG37" s="478">
        <f t="shared" si="42"/>
        <v>0</v>
      </c>
      <c r="BH37" s="478" t="e">
        <f t="shared" si="43"/>
        <v>#N/A</v>
      </c>
      <c r="BI37" s="478" t="e">
        <f t="shared" si="44"/>
        <v>#N/A</v>
      </c>
      <c r="BJ37" s="478" t="e">
        <f t="shared" si="45"/>
        <v>#N/A</v>
      </c>
      <c r="BK37" s="478" t="e">
        <f t="shared" si="46"/>
        <v>#N/A</v>
      </c>
      <c r="BL37" s="478" t="e">
        <f t="shared" si="47"/>
        <v>#N/A</v>
      </c>
      <c r="BM37" s="478" t="e">
        <f t="shared" si="48"/>
        <v>#N/A</v>
      </c>
      <c r="BN37" s="478" t="e">
        <f t="shared" si="49"/>
        <v>#N/A</v>
      </c>
      <c r="BO37" s="478" t="e">
        <f t="shared" si="50"/>
        <v>#N/A</v>
      </c>
      <c r="BP37" s="323" t="e">
        <f t="shared" si="51"/>
        <v>#N/A</v>
      </c>
      <c r="BQ37" s="588"/>
      <c r="BR37" s="323" t="e">
        <f t="shared" si="52"/>
        <v>#N/A</v>
      </c>
      <c r="BT37" s="1038">
        <f t="shared" si="53"/>
        <v>0</v>
      </c>
      <c r="BU37" s="1324">
        <f t="shared" si="53"/>
        <v>0</v>
      </c>
      <c r="BV37" s="1324">
        <f t="shared" si="54"/>
        <v>0</v>
      </c>
      <c r="BW37" s="1324">
        <f t="shared" si="55"/>
        <v>0</v>
      </c>
      <c r="BX37" s="1324">
        <f t="shared" si="56"/>
        <v>0</v>
      </c>
      <c r="BY37" s="1324">
        <f t="shared" si="57"/>
        <v>0</v>
      </c>
      <c r="BZ37" s="1325">
        <f>V37+V68+V99+V130+V161+V192+V223+V254+V285+AT37+AT68+AT99+AT130</f>
        <v>0</v>
      </c>
      <c r="CA37" s="521" t="e">
        <f t="shared" si="59"/>
        <v>#N/A</v>
      </c>
      <c r="CB37" s="1333" t="e">
        <f t="shared" si="59"/>
        <v>#N/A</v>
      </c>
      <c r="CC37" s="1333" t="e">
        <f t="shared" si="60"/>
        <v>#N/A</v>
      </c>
      <c r="CD37" s="1333" t="e">
        <f t="shared" si="61"/>
        <v>#N/A</v>
      </c>
      <c r="CE37" s="1333" t="e">
        <f t="shared" si="62"/>
        <v>#N/A</v>
      </c>
      <c r="CF37" s="500" t="e">
        <f t="shared" si="63"/>
        <v>#N/A</v>
      </c>
    </row>
    <row r="38" spans="2:84" x14ac:dyDescent="0.25">
      <c r="B38" s="327">
        <v>13</v>
      </c>
      <c r="C38" s="347">
        <f>TREND(C24:C25,B24:B25,B38)</f>
        <v>0</v>
      </c>
      <c r="D38" s="372">
        <f>TREND(D24:D25,B24:B25,B38)</f>
        <v>0</v>
      </c>
      <c r="E38" s="373">
        <f>TREND(E24:E25,B24:B25,B38)</f>
        <v>55</v>
      </c>
      <c r="F38" s="374">
        <f>TREND(F24:F25,B24:B25,B38)</f>
        <v>55</v>
      </c>
      <c r="G38" s="339">
        <f t="shared" si="4"/>
        <v>0</v>
      </c>
      <c r="H38" s="436">
        <f t="shared" si="5"/>
        <v>0</v>
      </c>
      <c r="I38" s="521" t="e">
        <f t="shared" si="65"/>
        <v>#N/A</v>
      </c>
      <c r="J38" s="500" t="e">
        <f t="shared" si="66"/>
        <v>#N/A</v>
      </c>
      <c r="K38" s="521" t="e">
        <f t="shared" si="67"/>
        <v>#N/A</v>
      </c>
      <c r="L38" s="500" t="e">
        <f t="shared" si="68"/>
        <v>#N/A</v>
      </c>
      <c r="M38" s="285" t="e">
        <f t="shared" si="64"/>
        <v>#N/A</v>
      </c>
      <c r="N38" s="323" t="e">
        <f t="shared" si="8"/>
        <v>#N/A</v>
      </c>
      <c r="O38" s="474"/>
      <c r="P38" s="1038">
        <f t="shared" si="69"/>
        <v>0</v>
      </c>
      <c r="Q38" s="1324">
        <f t="shared" si="70"/>
        <v>0</v>
      </c>
      <c r="R38" s="1324">
        <f t="shared" si="71"/>
        <v>0</v>
      </c>
      <c r="S38" s="1324">
        <f t="shared" si="72"/>
        <v>0</v>
      </c>
      <c r="T38" s="1324">
        <f t="shared" si="73"/>
        <v>0</v>
      </c>
      <c r="U38" s="1324">
        <f t="shared" si="74"/>
        <v>0</v>
      </c>
      <c r="V38" s="1325">
        <f t="shared" si="75"/>
        <v>0</v>
      </c>
      <c r="W38" s="521" t="e">
        <f t="shared" si="16"/>
        <v>#N/A</v>
      </c>
      <c r="X38" s="1333" t="e">
        <f t="shared" si="17"/>
        <v>#N/A</v>
      </c>
      <c r="Y38" s="1333" t="e">
        <f t="shared" si="18"/>
        <v>#N/A</v>
      </c>
      <c r="Z38" s="1333" t="e">
        <f t="shared" si="19"/>
        <v>#N/A</v>
      </c>
      <c r="AA38" s="1333" t="e">
        <f t="shared" si="20"/>
        <v>#N/A</v>
      </c>
      <c r="AB38" s="500" t="e">
        <f t="shared" si="21"/>
        <v>#N/A</v>
      </c>
      <c r="AD38" s="327">
        <v>13</v>
      </c>
      <c r="AE38" s="347">
        <f>TREND(AE24:AE25,AD24:AD25,AD38)</f>
        <v>0</v>
      </c>
      <c r="AF38" s="630">
        <f>TREND(AF24:AF25,AD24:AD25,AD38)</f>
        <v>0</v>
      </c>
      <c r="AG38" s="633">
        <f>TREND(AG24:AG25,AD24:AD25,AD38)</f>
        <v>55</v>
      </c>
      <c r="AH38" s="374">
        <f>TREND(AH24:AH25,AD24:AD25,AD38)</f>
        <v>55</v>
      </c>
      <c r="AI38" s="521" t="e">
        <f t="shared" si="76"/>
        <v>#N/A</v>
      </c>
      <c r="AJ38" s="500" t="e">
        <f t="shared" si="77"/>
        <v>#N/A</v>
      </c>
      <c r="AK38" s="285" t="e">
        <f t="shared" si="23"/>
        <v>#N/A</v>
      </c>
      <c r="AL38" s="323" t="e">
        <f t="shared" si="24"/>
        <v>#N/A</v>
      </c>
      <c r="AM38" s="474"/>
      <c r="AN38" s="1038">
        <f t="shared" si="78"/>
        <v>0</v>
      </c>
      <c r="AO38" s="1324">
        <f t="shared" si="79"/>
        <v>0</v>
      </c>
      <c r="AP38" s="1324">
        <f t="shared" si="80"/>
        <v>0</v>
      </c>
      <c r="AQ38" s="1324">
        <f t="shared" si="81"/>
        <v>0</v>
      </c>
      <c r="AR38" s="1324">
        <f t="shared" si="82"/>
        <v>0</v>
      </c>
      <c r="AS38" s="1324">
        <f t="shared" si="83"/>
        <v>0</v>
      </c>
      <c r="AT38" s="1325">
        <f t="shared" si="84"/>
        <v>0</v>
      </c>
      <c r="AU38" s="521" t="e">
        <f t="shared" si="32"/>
        <v>#N/A</v>
      </c>
      <c r="AV38" s="1333" t="e">
        <f t="shared" si="33"/>
        <v>#N/A</v>
      </c>
      <c r="AW38" s="1333" t="e">
        <f t="shared" si="34"/>
        <v>#N/A</v>
      </c>
      <c r="AX38" s="1333" t="e">
        <f t="shared" si="35"/>
        <v>#N/A</v>
      </c>
      <c r="AY38" s="1333" t="e">
        <f t="shared" si="36"/>
        <v>#N/A</v>
      </c>
      <c r="AZ38" s="500" t="e">
        <f t="shared" si="37"/>
        <v>#N/A</v>
      </c>
      <c r="BB38" s="327">
        <v>13</v>
      </c>
      <c r="BC38" s="478" t="e">
        <f t="shared" si="38"/>
        <v>#N/A</v>
      </c>
      <c r="BD38" s="478" t="e">
        <f t="shared" si="39"/>
        <v>#N/A</v>
      </c>
      <c r="BE38" s="478" t="e">
        <f t="shared" si="40"/>
        <v>#N/A</v>
      </c>
      <c r="BF38" s="478" t="e">
        <f t="shared" si="41"/>
        <v>#N/A</v>
      </c>
      <c r="BG38" s="478">
        <f t="shared" si="42"/>
        <v>0</v>
      </c>
      <c r="BH38" s="478" t="e">
        <f t="shared" si="43"/>
        <v>#N/A</v>
      </c>
      <c r="BI38" s="478" t="e">
        <f t="shared" si="44"/>
        <v>#N/A</v>
      </c>
      <c r="BJ38" s="478" t="e">
        <f t="shared" si="45"/>
        <v>#N/A</v>
      </c>
      <c r="BK38" s="478" t="e">
        <f t="shared" si="46"/>
        <v>#N/A</v>
      </c>
      <c r="BL38" s="478" t="e">
        <f t="shared" si="47"/>
        <v>#N/A</v>
      </c>
      <c r="BM38" s="478" t="e">
        <f t="shared" si="48"/>
        <v>#N/A</v>
      </c>
      <c r="BN38" s="478" t="e">
        <f t="shared" si="49"/>
        <v>#N/A</v>
      </c>
      <c r="BO38" s="478" t="e">
        <f t="shared" si="50"/>
        <v>#N/A</v>
      </c>
      <c r="BP38" s="323" t="e">
        <f t="shared" si="51"/>
        <v>#N/A</v>
      </c>
      <c r="BQ38" s="588"/>
      <c r="BR38" s="323" t="e">
        <f t="shared" si="52"/>
        <v>#N/A</v>
      </c>
      <c r="BT38" s="1038">
        <f t="shared" si="53"/>
        <v>0</v>
      </c>
      <c r="BU38" s="1324">
        <f t="shared" si="53"/>
        <v>0</v>
      </c>
      <c r="BV38" s="1324">
        <f t="shared" si="54"/>
        <v>0</v>
      </c>
      <c r="BW38" s="1324">
        <f t="shared" si="55"/>
        <v>0</v>
      </c>
      <c r="BX38" s="1324">
        <f t="shared" si="56"/>
        <v>0</v>
      </c>
      <c r="BY38" s="1324">
        <f t="shared" si="57"/>
        <v>0</v>
      </c>
      <c r="BZ38" s="1325">
        <f t="shared" si="58"/>
        <v>0</v>
      </c>
      <c r="CA38" s="521" t="e">
        <f t="shared" si="59"/>
        <v>#N/A</v>
      </c>
      <c r="CB38" s="1333" t="e">
        <f t="shared" si="59"/>
        <v>#N/A</v>
      </c>
      <c r="CC38" s="1333" t="e">
        <f t="shared" si="60"/>
        <v>#N/A</v>
      </c>
      <c r="CD38" s="1333" t="e">
        <f t="shared" si="61"/>
        <v>#N/A</v>
      </c>
      <c r="CE38" s="1333" t="e">
        <f t="shared" si="62"/>
        <v>#N/A</v>
      </c>
      <c r="CF38" s="500" t="e">
        <f t="shared" si="63"/>
        <v>#N/A</v>
      </c>
    </row>
    <row r="39" spans="2:84" x14ac:dyDescent="0.25">
      <c r="B39" s="327">
        <v>14</v>
      </c>
      <c r="C39" s="347">
        <f>TREND(C24:C25,B24:B25,B39)</f>
        <v>0</v>
      </c>
      <c r="D39" s="372">
        <f>TREND(D24:D25,B24:B25,B39)</f>
        <v>0</v>
      </c>
      <c r="E39" s="373">
        <f>TREND(E24:E25,B24:B25,B39)</f>
        <v>55</v>
      </c>
      <c r="F39" s="374">
        <f>TREND(F24:F25,B24:B25,B39)</f>
        <v>55</v>
      </c>
      <c r="G39" s="339">
        <f t="shared" si="4"/>
        <v>0</v>
      </c>
      <c r="H39" s="436">
        <f t="shared" si="5"/>
        <v>0</v>
      </c>
      <c r="I39" s="521" t="e">
        <f t="shared" si="65"/>
        <v>#N/A</v>
      </c>
      <c r="J39" s="500" t="e">
        <f t="shared" si="66"/>
        <v>#N/A</v>
      </c>
      <c r="K39" s="521" t="e">
        <f t="shared" si="67"/>
        <v>#N/A</v>
      </c>
      <c r="L39" s="500" t="e">
        <f t="shared" si="68"/>
        <v>#N/A</v>
      </c>
      <c r="M39" s="285" t="e">
        <f t="shared" si="64"/>
        <v>#N/A</v>
      </c>
      <c r="N39" s="323" t="e">
        <f t="shared" si="8"/>
        <v>#N/A</v>
      </c>
      <c r="O39" s="474"/>
      <c r="P39" s="1038">
        <f t="shared" si="69"/>
        <v>0</v>
      </c>
      <c r="Q39" s="1324">
        <f t="shared" si="70"/>
        <v>0</v>
      </c>
      <c r="R39" s="1324">
        <f t="shared" si="71"/>
        <v>0</v>
      </c>
      <c r="S39" s="1324">
        <f t="shared" si="72"/>
        <v>0</v>
      </c>
      <c r="T39" s="1324">
        <f t="shared" si="73"/>
        <v>0</v>
      </c>
      <c r="U39" s="1324">
        <f t="shared" si="74"/>
        <v>0</v>
      </c>
      <c r="V39" s="1325">
        <f t="shared" si="75"/>
        <v>0</v>
      </c>
      <c r="W39" s="521" t="e">
        <f t="shared" si="16"/>
        <v>#N/A</v>
      </c>
      <c r="X39" s="1333" t="e">
        <f t="shared" si="17"/>
        <v>#N/A</v>
      </c>
      <c r="Y39" s="1333" t="e">
        <f t="shared" si="18"/>
        <v>#N/A</v>
      </c>
      <c r="Z39" s="1333" t="e">
        <f t="shared" si="19"/>
        <v>#N/A</v>
      </c>
      <c r="AA39" s="1333" t="e">
        <f t="shared" si="20"/>
        <v>#N/A</v>
      </c>
      <c r="AB39" s="500" t="e">
        <f t="shared" si="21"/>
        <v>#N/A</v>
      </c>
      <c r="AD39" s="327">
        <v>14</v>
      </c>
      <c r="AE39" s="347">
        <f>TREND(AE24:AE25,AD24:AD25,AD39)</f>
        <v>0</v>
      </c>
      <c r="AF39" s="630">
        <f>TREND(AF24:AF25,AD24:AD25,AD39)</f>
        <v>0</v>
      </c>
      <c r="AG39" s="633">
        <f>TREND(AG24:AG25,AD24:AD25,AD39)</f>
        <v>55</v>
      </c>
      <c r="AH39" s="374">
        <f>TREND(AH24:AH25,AD24:AD25,AD39)</f>
        <v>55</v>
      </c>
      <c r="AI39" s="521" t="e">
        <f t="shared" si="76"/>
        <v>#N/A</v>
      </c>
      <c r="AJ39" s="500" t="e">
        <f t="shared" si="77"/>
        <v>#N/A</v>
      </c>
      <c r="AK39" s="285" t="e">
        <f t="shared" si="23"/>
        <v>#N/A</v>
      </c>
      <c r="AL39" s="323" t="e">
        <f t="shared" si="24"/>
        <v>#N/A</v>
      </c>
      <c r="AM39" s="474"/>
      <c r="AN39" s="1038">
        <f t="shared" si="78"/>
        <v>0</v>
      </c>
      <c r="AO39" s="1324">
        <f t="shared" si="79"/>
        <v>0</v>
      </c>
      <c r="AP39" s="1324">
        <f t="shared" si="80"/>
        <v>0</v>
      </c>
      <c r="AQ39" s="1324">
        <f t="shared" si="81"/>
        <v>0</v>
      </c>
      <c r="AR39" s="1324">
        <f t="shared" si="82"/>
        <v>0</v>
      </c>
      <c r="AS39" s="1324">
        <f t="shared" si="83"/>
        <v>0</v>
      </c>
      <c r="AT39" s="1325">
        <f t="shared" si="84"/>
        <v>0</v>
      </c>
      <c r="AU39" s="521" t="e">
        <f t="shared" si="32"/>
        <v>#N/A</v>
      </c>
      <c r="AV39" s="1333" t="e">
        <f t="shared" si="33"/>
        <v>#N/A</v>
      </c>
      <c r="AW39" s="1333" t="e">
        <f t="shared" si="34"/>
        <v>#N/A</v>
      </c>
      <c r="AX39" s="1333" t="e">
        <f t="shared" si="35"/>
        <v>#N/A</v>
      </c>
      <c r="AY39" s="1333" t="e">
        <f t="shared" si="36"/>
        <v>#N/A</v>
      </c>
      <c r="AZ39" s="500" t="e">
        <f t="shared" si="37"/>
        <v>#N/A</v>
      </c>
      <c r="BB39" s="327">
        <v>14</v>
      </c>
      <c r="BC39" s="478" t="e">
        <f t="shared" si="38"/>
        <v>#N/A</v>
      </c>
      <c r="BD39" s="478" t="e">
        <f t="shared" si="39"/>
        <v>#N/A</v>
      </c>
      <c r="BE39" s="478" t="e">
        <f t="shared" si="40"/>
        <v>#N/A</v>
      </c>
      <c r="BF39" s="478" t="e">
        <f t="shared" si="41"/>
        <v>#N/A</v>
      </c>
      <c r="BG39" s="478">
        <f t="shared" si="42"/>
        <v>0</v>
      </c>
      <c r="BH39" s="478" t="e">
        <f t="shared" si="43"/>
        <v>#N/A</v>
      </c>
      <c r="BI39" s="478" t="e">
        <f t="shared" si="44"/>
        <v>#N/A</v>
      </c>
      <c r="BJ39" s="478" t="e">
        <f t="shared" si="45"/>
        <v>#N/A</v>
      </c>
      <c r="BK39" s="478" t="e">
        <f t="shared" si="46"/>
        <v>#N/A</v>
      </c>
      <c r="BL39" s="478" t="e">
        <f t="shared" si="47"/>
        <v>#N/A</v>
      </c>
      <c r="BM39" s="478" t="e">
        <f t="shared" si="48"/>
        <v>#N/A</v>
      </c>
      <c r="BN39" s="478" t="e">
        <f t="shared" si="49"/>
        <v>#N/A</v>
      </c>
      <c r="BO39" s="478" t="e">
        <f t="shared" si="50"/>
        <v>#N/A</v>
      </c>
      <c r="BP39" s="323" t="e">
        <f t="shared" si="51"/>
        <v>#N/A</v>
      </c>
      <c r="BQ39" s="588"/>
      <c r="BR39" s="323" t="e">
        <f t="shared" si="52"/>
        <v>#N/A</v>
      </c>
      <c r="BT39" s="1038">
        <f t="shared" si="53"/>
        <v>0</v>
      </c>
      <c r="BU39" s="1324">
        <f t="shared" si="53"/>
        <v>0</v>
      </c>
      <c r="BV39" s="1324">
        <f t="shared" si="54"/>
        <v>0</v>
      </c>
      <c r="BW39" s="1324">
        <f t="shared" si="55"/>
        <v>0</v>
      </c>
      <c r="BX39" s="1324">
        <f t="shared" si="56"/>
        <v>0</v>
      </c>
      <c r="BY39" s="1324">
        <f t="shared" si="57"/>
        <v>0</v>
      </c>
      <c r="BZ39" s="1325">
        <f t="shared" si="58"/>
        <v>0</v>
      </c>
      <c r="CA39" s="521" t="e">
        <f t="shared" si="59"/>
        <v>#N/A</v>
      </c>
      <c r="CB39" s="1333" t="e">
        <f t="shared" si="59"/>
        <v>#N/A</v>
      </c>
      <c r="CC39" s="1333" t="e">
        <f t="shared" si="60"/>
        <v>#N/A</v>
      </c>
      <c r="CD39" s="1333" t="e">
        <f t="shared" si="61"/>
        <v>#N/A</v>
      </c>
      <c r="CE39" s="1333" t="e">
        <f t="shared" si="62"/>
        <v>#N/A</v>
      </c>
      <c r="CF39" s="500" t="e">
        <f t="shared" si="63"/>
        <v>#N/A</v>
      </c>
    </row>
    <row r="40" spans="2:84" x14ac:dyDescent="0.25">
      <c r="B40" s="327">
        <v>15</v>
      </c>
      <c r="C40" s="347">
        <f>TREND(C24:C25,B24:B25,B40)</f>
        <v>0</v>
      </c>
      <c r="D40" s="372">
        <f>TREND(D24:D25,B24:B25,B40)</f>
        <v>0</v>
      </c>
      <c r="E40" s="373">
        <f>TREND(E24:E25,B24:B25,B40)</f>
        <v>55</v>
      </c>
      <c r="F40" s="374">
        <f>TREND(F24:F25,B24:B25,B40)</f>
        <v>55</v>
      </c>
      <c r="G40" s="339">
        <f t="shared" si="4"/>
        <v>0</v>
      </c>
      <c r="H40" s="436">
        <f t="shared" si="5"/>
        <v>0</v>
      </c>
      <c r="I40" s="521" t="e">
        <f t="shared" si="65"/>
        <v>#N/A</v>
      </c>
      <c r="J40" s="500" t="e">
        <f t="shared" si="66"/>
        <v>#N/A</v>
      </c>
      <c r="K40" s="521" t="e">
        <f t="shared" si="67"/>
        <v>#N/A</v>
      </c>
      <c r="L40" s="500" t="e">
        <f t="shared" si="68"/>
        <v>#N/A</v>
      </c>
      <c r="M40" s="285" t="e">
        <f t="shared" si="64"/>
        <v>#N/A</v>
      </c>
      <c r="N40" s="323" t="e">
        <f t="shared" si="8"/>
        <v>#N/A</v>
      </c>
      <c r="O40" s="474"/>
      <c r="P40" s="1038">
        <f t="shared" si="69"/>
        <v>0</v>
      </c>
      <c r="Q40" s="1324">
        <f t="shared" si="70"/>
        <v>0</v>
      </c>
      <c r="R40" s="1324">
        <f t="shared" si="71"/>
        <v>0</v>
      </c>
      <c r="S40" s="1324">
        <f t="shared" si="72"/>
        <v>0</v>
      </c>
      <c r="T40" s="1324">
        <f t="shared" si="73"/>
        <v>0</v>
      </c>
      <c r="U40" s="1324">
        <f t="shared" si="74"/>
        <v>0</v>
      </c>
      <c r="V40" s="1325">
        <f t="shared" si="75"/>
        <v>0</v>
      </c>
      <c r="W40" s="521" t="e">
        <f t="shared" si="16"/>
        <v>#N/A</v>
      </c>
      <c r="X40" s="1333" t="e">
        <f t="shared" si="17"/>
        <v>#N/A</v>
      </c>
      <c r="Y40" s="1333" t="e">
        <f t="shared" si="18"/>
        <v>#N/A</v>
      </c>
      <c r="Z40" s="1333" t="e">
        <f t="shared" si="19"/>
        <v>#N/A</v>
      </c>
      <c r="AA40" s="1333" t="e">
        <f t="shared" si="20"/>
        <v>#N/A</v>
      </c>
      <c r="AB40" s="500" t="e">
        <f t="shared" si="21"/>
        <v>#N/A</v>
      </c>
      <c r="AD40" s="327">
        <v>15</v>
      </c>
      <c r="AE40" s="347">
        <f>TREND(AE24:AE25,AD24:AD25,AD40)</f>
        <v>0</v>
      </c>
      <c r="AF40" s="630">
        <f>TREND(AF24:AF25,AD24:AD25,AD40)</f>
        <v>0</v>
      </c>
      <c r="AG40" s="633">
        <f>TREND(AG24:AG25,AD24:AD25,AD40)</f>
        <v>55</v>
      </c>
      <c r="AH40" s="374">
        <f>TREND(AH24:AH25,AD24:AD25,AD40)</f>
        <v>55</v>
      </c>
      <c r="AI40" s="521" t="e">
        <f t="shared" si="76"/>
        <v>#N/A</v>
      </c>
      <c r="AJ40" s="500" t="e">
        <f t="shared" si="77"/>
        <v>#N/A</v>
      </c>
      <c r="AK40" s="285" t="e">
        <f t="shared" si="23"/>
        <v>#N/A</v>
      </c>
      <c r="AL40" s="323" t="e">
        <f t="shared" si="24"/>
        <v>#N/A</v>
      </c>
      <c r="AM40" s="474"/>
      <c r="AN40" s="1038">
        <f t="shared" si="78"/>
        <v>0</v>
      </c>
      <c r="AO40" s="1324">
        <f t="shared" si="79"/>
        <v>0</v>
      </c>
      <c r="AP40" s="1324">
        <f t="shared" si="80"/>
        <v>0</v>
      </c>
      <c r="AQ40" s="1324">
        <f t="shared" si="81"/>
        <v>0</v>
      </c>
      <c r="AR40" s="1324">
        <f t="shared" si="82"/>
        <v>0</v>
      </c>
      <c r="AS40" s="1324">
        <f t="shared" si="83"/>
        <v>0</v>
      </c>
      <c r="AT40" s="1325">
        <f t="shared" si="84"/>
        <v>0</v>
      </c>
      <c r="AU40" s="521" t="e">
        <f t="shared" si="32"/>
        <v>#N/A</v>
      </c>
      <c r="AV40" s="1333" t="e">
        <f t="shared" si="33"/>
        <v>#N/A</v>
      </c>
      <c r="AW40" s="1333" t="e">
        <f t="shared" si="34"/>
        <v>#N/A</v>
      </c>
      <c r="AX40" s="1333" t="e">
        <f t="shared" si="35"/>
        <v>#N/A</v>
      </c>
      <c r="AY40" s="1333" t="e">
        <f t="shared" si="36"/>
        <v>#N/A</v>
      </c>
      <c r="AZ40" s="500" t="e">
        <f t="shared" si="37"/>
        <v>#N/A</v>
      </c>
      <c r="BB40" s="327">
        <v>15</v>
      </c>
      <c r="BC40" s="478" t="e">
        <f t="shared" si="38"/>
        <v>#N/A</v>
      </c>
      <c r="BD40" s="478" t="e">
        <f t="shared" si="39"/>
        <v>#N/A</v>
      </c>
      <c r="BE40" s="478" t="e">
        <f t="shared" si="40"/>
        <v>#N/A</v>
      </c>
      <c r="BF40" s="478" t="e">
        <f t="shared" si="41"/>
        <v>#N/A</v>
      </c>
      <c r="BG40" s="478">
        <f t="shared" si="42"/>
        <v>0</v>
      </c>
      <c r="BH40" s="478" t="e">
        <f t="shared" si="43"/>
        <v>#N/A</v>
      </c>
      <c r="BI40" s="478" t="e">
        <f t="shared" si="44"/>
        <v>#N/A</v>
      </c>
      <c r="BJ40" s="478" t="e">
        <f t="shared" si="45"/>
        <v>#N/A</v>
      </c>
      <c r="BK40" s="478" t="e">
        <f t="shared" si="46"/>
        <v>#N/A</v>
      </c>
      <c r="BL40" s="478" t="e">
        <f t="shared" si="47"/>
        <v>#N/A</v>
      </c>
      <c r="BM40" s="478" t="e">
        <f t="shared" si="48"/>
        <v>#N/A</v>
      </c>
      <c r="BN40" s="478" t="e">
        <f t="shared" si="49"/>
        <v>#N/A</v>
      </c>
      <c r="BO40" s="478" t="e">
        <f t="shared" si="50"/>
        <v>#N/A</v>
      </c>
      <c r="BP40" s="323" t="e">
        <f t="shared" si="51"/>
        <v>#N/A</v>
      </c>
      <c r="BQ40" s="588"/>
      <c r="BR40" s="323" t="e">
        <f t="shared" si="52"/>
        <v>#N/A</v>
      </c>
      <c r="BT40" s="1038">
        <f t="shared" si="53"/>
        <v>0</v>
      </c>
      <c r="BU40" s="1324">
        <f t="shared" si="53"/>
        <v>0</v>
      </c>
      <c r="BV40" s="1324">
        <f t="shared" si="54"/>
        <v>0</v>
      </c>
      <c r="BW40" s="1324">
        <f t="shared" si="55"/>
        <v>0</v>
      </c>
      <c r="BX40" s="1324">
        <f t="shared" si="56"/>
        <v>0</v>
      </c>
      <c r="BY40" s="1324">
        <f t="shared" si="57"/>
        <v>0</v>
      </c>
      <c r="BZ40" s="1325">
        <f t="shared" si="58"/>
        <v>0</v>
      </c>
      <c r="CA40" s="521" t="e">
        <f t="shared" si="59"/>
        <v>#N/A</v>
      </c>
      <c r="CB40" s="1333" t="e">
        <f t="shared" si="59"/>
        <v>#N/A</v>
      </c>
      <c r="CC40" s="1333" t="e">
        <f t="shared" si="60"/>
        <v>#N/A</v>
      </c>
      <c r="CD40" s="1333" t="e">
        <f t="shared" si="61"/>
        <v>#N/A</v>
      </c>
      <c r="CE40" s="1333" t="e">
        <f t="shared" si="62"/>
        <v>#N/A</v>
      </c>
      <c r="CF40" s="500" t="e">
        <f t="shared" si="63"/>
        <v>#N/A</v>
      </c>
    </row>
    <row r="41" spans="2:84" x14ac:dyDescent="0.25">
      <c r="B41" s="327">
        <v>16</v>
      </c>
      <c r="C41" s="347">
        <f>TREND(C24:C25,B24:B25,B41)</f>
        <v>0</v>
      </c>
      <c r="D41" s="372">
        <f>TREND(D24:D25,B24:B25,B41)</f>
        <v>0</v>
      </c>
      <c r="E41" s="373">
        <f>TREND(E24:E25,B24:B25,B41)</f>
        <v>55</v>
      </c>
      <c r="F41" s="374">
        <f>TREND(F24:F25,B24:B25,B41)</f>
        <v>55</v>
      </c>
      <c r="G41" s="339">
        <f t="shared" si="4"/>
        <v>0</v>
      </c>
      <c r="H41" s="436">
        <f t="shared" si="5"/>
        <v>0</v>
      </c>
      <c r="I41" s="521" t="e">
        <f t="shared" si="65"/>
        <v>#N/A</v>
      </c>
      <c r="J41" s="500" t="e">
        <f t="shared" si="66"/>
        <v>#N/A</v>
      </c>
      <c r="K41" s="521" t="e">
        <f t="shared" si="67"/>
        <v>#N/A</v>
      </c>
      <c r="L41" s="500" t="e">
        <f t="shared" si="68"/>
        <v>#N/A</v>
      </c>
      <c r="M41" s="285" t="e">
        <f t="shared" si="64"/>
        <v>#N/A</v>
      </c>
      <c r="N41" s="323" t="e">
        <f t="shared" si="8"/>
        <v>#N/A</v>
      </c>
      <c r="O41" s="474"/>
      <c r="P41" s="1038">
        <f t="shared" si="69"/>
        <v>0</v>
      </c>
      <c r="Q41" s="1324">
        <f t="shared" si="70"/>
        <v>0</v>
      </c>
      <c r="R41" s="1324">
        <f t="shared" si="71"/>
        <v>0</v>
      </c>
      <c r="S41" s="1324">
        <f t="shared" si="72"/>
        <v>0</v>
      </c>
      <c r="T41" s="1324">
        <f t="shared" si="73"/>
        <v>0</v>
      </c>
      <c r="U41" s="1324">
        <f t="shared" si="74"/>
        <v>0</v>
      </c>
      <c r="V41" s="1325">
        <f t="shared" si="75"/>
        <v>0</v>
      </c>
      <c r="W41" s="521" t="e">
        <f t="shared" si="16"/>
        <v>#N/A</v>
      </c>
      <c r="X41" s="1333" t="e">
        <f t="shared" si="17"/>
        <v>#N/A</v>
      </c>
      <c r="Y41" s="1333" t="e">
        <f t="shared" si="18"/>
        <v>#N/A</v>
      </c>
      <c r="Z41" s="1333" t="e">
        <f t="shared" si="19"/>
        <v>#N/A</v>
      </c>
      <c r="AA41" s="1333" t="e">
        <f t="shared" si="20"/>
        <v>#N/A</v>
      </c>
      <c r="AB41" s="500" t="e">
        <f t="shared" si="21"/>
        <v>#N/A</v>
      </c>
      <c r="AD41" s="327">
        <v>16</v>
      </c>
      <c r="AE41" s="347">
        <f>TREND(AE24:AE25,AD24:AD25,AD41)</f>
        <v>0</v>
      </c>
      <c r="AF41" s="630">
        <f>TREND(AF24:AF25,AD24:AD25,AD41)</f>
        <v>0</v>
      </c>
      <c r="AG41" s="633">
        <f>TREND(AG24:AG25,AD24:AD25,AD41)</f>
        <v>55</v>
      </c>
      <c r="AH41" s="374">
        <f>TREND(AH24:AH25,AD24:AD25,AD41)</f>
        <v>55</v>
      </c>
      <c r="AI41" s="521" t="e">
        <f t="shared" si="76"/>
        <v>#N/A</v>
      </c>
      <c r="AJ41" s="500" t="e">
        <f t="shared" si="77"/>
        <v>#N/A</v>
      </c>
      <c r="AK41" s="285" t="e">
        <f t="shared" si="23"/>
        <v>#N/A</v>
      </c>
      <c r="AL41" s="323" t="e">
        <f t="shared" si="24"/>
        <v>#N/A</v>
      </c>
      <c r="AM41" s="474"/>
      <c r="AN41" s="1038">
        <f t="shared" si="78"/>
        <v>0</v>
      </c>
      <c r="AO41" s="1324">
        <f t="shared" si="79"/>
        <v>0</v>
      </c>
      <c r="AP41" s="1324">
        <f t="shared" si="80"/>
        <v>0</v>
      </c>
      <c r="AQ41" s="1324">
        <f t="shared" si="81"/>
        <v>0</v>
      </c>
      <c r="AR41" s="1324">
        <f t="shared" si="82"/>
        <v>0</v>
      </c>
      <c r="AS41" s="1324">
        <f t="shared" si="83"/>
        <v>0</v>
      </c>
      <c r="AT41" s="1325">
        <f t="shared" si="84"/>
        <v>0</v>
      </c>
      <c r="AU41" s="521" t="e">
        <f t="shared" si="32"/>
        <v>#N/A</v>
      </c>
      <c r="AV41" s="1333" t="e">
        <f t="shared" si="33"/>
        <v>#N/A</v>
      </c>
      <c r="AW41" s="1333" t="e">
        <f t="shared" si="34"/>
        <v>#N/A</v>
      </c>
      <c r="AX41" s="1333" t="e">
        <f t="shared" si="35"/>
        <v>#N/A</v>
      </c>
      <c r="AY41" s="1333" t="e">
        <f t="shared" si="36"/>
        <v>#N/A</v>
      </c>
      <c r="AZ41" s="500" t="e">
        <f t="shared" si="37"/>
        <v>#N/A</v>
      </c>
      <c r="BB41" s="327">
        <v>16</v>
      </c>
      <c r="BC41" s="478" t="e">
        <f t="shared" si="38"/>
        <v>#N/A</v>
      </c>
      <c r="BD41" s="478" t="e">
        <f t="shared" si="39"/>
        <v>#N/A</v>
      </c>
      <c r="BE41" s="478" t="e">
        <f t="shared" si="40"/>
        <v>#N/A</v>
      </c>
      <c r="BF41" s="478" t="e">
        <f t="shared" si="41"/>
        <v>#N/A</v>
      </c>
      <c r="BG41" s="478">
        <f t="shared" si="42"/>
        <v>0</v>
      </c>
      <c r="BH41" s="478" t="e">
        <f t="shared" si="43"/>
        <v>#N/A</v>
      </c>
      <c r="BI41" s="478" t="e">
        <f t="shared" si="44"/>
        <v>#N/A</v>
      </c>
      <c r="BJ41" s="478" t="e">
        <f t="shared" si="45"/>
        <v>#N/A</v>
      </c>
      <c r="BK41" s="478" t="e">
        <f t="shared" si="46"/>
        <v>#N/A</v>
      </c>
      <c r="BL41" s="478" t="e">
        <f t="shared" si="47"/>
        <v>#N/A</v>
      </c>
      <c r="BM41" s="478" t="e">
        <f t="shared" si="48"/>
        <v>#N/A</v>
      </c>
      <c r="BN41" s="478" t="e">
        <f t="shared" si="49"/>
        <v>#N/A</v>
      </c>
      <c r="BO41" s="478" t="e">
        <f t="shared" si="50"/>
        <v>#N/A</v>
      </c>
      <c r="BP41" s="323" t="e">
        <f t="shared" si="51"/>
        <v>#N/A</v>
      </c>
      <c r="BQ41" s="588"/>
      <c r="BR41" s="323" t="e">
        <f t="shared" si="52"/>
        <v>#N/A</v>
      </c>
      <c r="BT41" s="1038">
        <f t="shared" si="53"/>
        <v>0</v>
      </c>
      <c r="BU41" s="1324">
        <f t="shared" si="53"/>
        <v>0</v>
      </c>
      <c r="BV41" s="1324">
        <f t="shared" si="54"/>
        <v>0</v>
      </c>
      <c r="BW41" s="1324">
        <f t="shared" si="55"/>
        <v>0</v>
      </c>
      <c r="BX41" s="1324">
        <f t="shared" si="56"/>
        <v>0</v>
      </c>
      <c r="BY41" s="1324">
        <f t="shared" si="57"/>
        <v>0</v>
      </c>
      <c r="BZ41" s="1325">
        <f t="shared" si="58"/>
        <v>0</v>
      </c>
      <c r="CA41" s="521" t="e">
        <f t="shared" si="59"/>
        <v>#N/A</v>
      </c>
      <c r="CB41" s="1333" t="e">
        <f t="shared" si="59"/>
        <v>#N/A</v>
      </c>
      <c r="CC41" s="1333" t="e">
        <f t="shared" si="60"/>
        <v>#N/A</v>
      </c>
      <c r="CD41" s="1333" t="e">
        <f t="shared" si="61"/>
        <v>#N/A</v>
      </c>
      <c r="CE41" s="1333" t="e">
        <f t="shared" si="62"/>
        <v>#N/A</v>
      </c>
      <c r="CF41" s="500" t="e">
        <f t="shared" si="63"/>
        <v>#N/A</v>
      </c>
    </row>
    <row r="42" spans="2:84" x14ac:dyDescent="0.25">
      <c r="B42" s="327">
        <v>17</v>
      </c>
      <c r="C42" s="347">
        <f>TREND(C24:C25,B24:B25,B42)</f>
        <v>0</v>
      </c>
      <c r="D42" s="372">
        <f>TREND(D24:D25,B24:B25,B42)</f>
        <v>0</v>
      </c>
      <c r="E42" s="373">
        <f>TREND(E24:E25,B24:B25,B42)</f>
        <v>55</v>
      </c>
      <c r="F42" s="374">
        <f>TREND(F24:F25,B24:B25,B42)</f>
        <v>55</v>
      </c>
      <c r="G42" s="339">
        <f t="shared" si="4"/>
        <v>0</v>
      </c>
      <c r="H42" s="436">
        <f t="shared" si="5"/>
        <v>0</v>
      </c>
      <c r="I42" s="521" t="e">
        <f t="shared" si="65"/>
        <v>#N/A</v>
      </c>
      <c r="J42" s="500" t="e">
        <f t="shared" si="66"/>
        <v>#N/A</v>
      </c>
      <c r="K42" s="521" t="e">
        <f t="shared" si="67"/>
        <v>#N/A</v>
      </c>
      <c r="L42" s="500" t="e">
        <f t="shared" si="68"/>
        <v>#N/A</v>
      </c>
      <c r="M42" s="285" t="e">
        <f t="shared" si="64"/>
        <v>#N/A</v>
      </c>
      <c r="N42" s="323" t="e">
        <f t="shared" si="8"/>
        <v>#N/A</v>
      </c>
      <c r="O42" s="474"/>
      <c r="P42" s="1038">
        <f t="shared" si="69"/>
        <v>0</v>
      </c>
      <c r="Q42" s="1324">
        <f t="shared" si="70"/>
        <v>0</v>
      </c>
      <c r="R42" s="1324">
        <f t="shared" si="71"/>
        <v>0</v>
      </c>
      <c r="S42" s="1324">
        <f t="shared" si="72"/>
        <v>0</v>
      </c>
      <c r="T42" s="1324">
        <f t="shared" si="73"/>
        <v>0</v>
      </c>
      <c r="U42" s="1324">
        <f t="shared" si="74"/>
        <v>0</v>
      </c>
      <c r="V42" s="1325">
        <f t="shared" si="75"/>
        <v>0</v>
      </c>
      <c r="W42" s="521" t="e">
        <f t="shared" si="16"/>
        <v>#N/A</v>
      </c>
      <c r="X42" s="1333" t="e">
        <f t="shared" si="17"/>
        <v>#N/A</v>
      </c>
      <c r="Y42" s="1333" t="e">
        <f t="shared" si="18"/>
        <v>#N/A</v>
      </c>
      <c r="Z42" s="1333" t="e">
        <f t="shared" si="19"/>
        <v>#N/A</v>
      </c>
      <c r="AA42" s="1333" t="e">
        <f t="shared" si="20"/>
        <v>#N/A</v>
      </c>
      <c r="AB42" s="500" t="e">
        <f t="shared" si="21"/>
        <v>#N/A</v>
      </c>
      <c r="AD42" s="327">
        <v>17</v>
      </c>
      <c r="AE42" s="347">
        <f>TREND(AE24:AE25,AD24:AD25,AD42)</f>
        <v>0</v>
      </c>
      <c r="AF42" s="630">
        <f>TREND(AF24:AF25,AD24:AD25,AD42)</f>
        <v>0</v>
      </c>
      <c r="AG42" s="633">
        <f>TREND(AG24:AG25,AD24:AD25,AD42)</f>
        <v>55</v>
      </c>
      <c r="AH42" s="374">
        <f>TREND(AH24:AH25,AD24:AD25,AD42)</f>
        <v>55</v>
      </c>
      <c r="AI42" s="521" t="e">
        <f t="shared" si="76"/>
        <v>#N/A</v>
      </c>
      <c r="AJ42" s="500" t="e">
        <f t="shared" si="77"/>
        <v>#N/A</v>
      </c>
      <c r="AK42" s="285" t="e">
        <f t="shared" si="23"/>
        <v>#N/A</v>
      </c>
      <c r="AL42" s="323" t="e">
        <f t="shared" si="24"/>
        <v>#N/A</v>
      </c>
      <c r="AM42" s="474"/>
      <c r="AN42" s="1038">
        <f t="shared" si="78"/>
        <v>0</v>
      </c>
      <c r="AO42" s="1324">
        <f t="shared" si="79"/>
        <v>0</v>
      </c>
      <c r="AP42" s="1324">
        <f t="shared" si="80"/>
        <v>0</v>
      </c>
      <c r="AQ42" s="1324">
        <f t="shared" si="81"/>
        <v>0</v>
      </c>
      <c r="AR42" s="1324">
        <f t="shared" si="82"/>
        <v>0</v>
      </c>
      <c r="AS42" s="1324">
        <f t="shared" si="83"/>
        <v>0</v>
      </c>
      <c r="AT42" s="1325">
        <f t="shared" si="84"/>
        <v>0</v>
      </c>
      <c r="AU42" s="521" t="e">
        <f t="shared" si="32"/>
        <v>#N/A</v>
      </c>
      <c r="AV42" s="1333" t="e">
        <f t="shared" si="33"/>
        <v>#N/A</v>
      </c>
      <c r="AW42" s="1333" t="e">
        <f t="shared" si="34"/>
        <v>#N/A</v>
      </c>
      <c r="AX42" s="1333" t="e">
        <f t="shared" si="35"/>
        <v>#N/A</v>
      </c>
      <c r="AY42" s="1333" t="e">
        <f t="shared" si="36"/>
        <v>#N/A</v>
      </c>
      <c r="AZ42" s="500" t="e">
        <f t="shared" si="37"/>
        <v>#N/A</v>
      </c>
      <c r="BB42" s="327">
        <v>17</v>
      </c>
      <c r="BC42" s="478" t="e">
        <f t="shared" si="38"/>
        <v>#N/A</v>
      </c>
      <c r="BD42" s="478" t="e">
        <f t="shared" si="39"/>
        <v>#N/A</v>
      </c>
      <c r="BE42" s="478" t="e">
        <f t="shared" si="40"/>
        <v>#N/A</v>
      </c>
      <c r="BF42" s="478" t="e">
        <f t="shared" si="41"/>
        <v>#N/A</v>
      </c>
      <c r="BG42" s="478">
        <f t="shared" si="42"/>
        <v>0</v>
      </c>
      <c r="BH42" s="478" t="e">
        <f t="shared" si="43"/>
        <v>#N/A</v>
      </c>
      <c r="BI42" s="478" t="e">
        <f t="shared" si="44"/>
        <v>#N/A</v>
      </c>
      <c r="BJ42" s="478" t="e">
        <f t="shared" si="45"/>
        <v>#N/A</v>
      </c>
      <c r="BK42" s="478" t="e">
        <f t="shared" si="46"/>
        <v>#N/A</v>
      </c>
      <c r="BL42" s="478" t="e">
        <f t="shared" si="47"/>
        <v>#N/A</v>
      </c>
      <c r="BM42" s="478" t="e">
        <f t="shared" si="48"/>
        <v>#N/A</v>
      </c>
      <c r="BN42" s="478" t="e">
        <f t="shared" si="49"/>
        <v>#N/A</v>
      </c>
      <c r="BO42" s="478" t="e">
        <f t="shared" si="50"/>
        <v>#N/A</v>
      </c>
      <c r="BP42" s="323" t="e">
        <f t="shared" si="51"/>
        <v>#N/A</v>
      </c>
      <c r="BQ42" s="588"/>
      <c r="BR42" s="323" t="e">
        <f t="shared" si="52"/>
        <v>#N/A</v>
      </c>
      <c r="BT42" s="1038">
        <f t="shared" si="53"/>
        <v>0</v>
      </c>
      <c r="BU42" s="1324">
        <f t="shared" si="53"/>
        <v>0</v>
      </c>
      <c r="BV42" s="1324">
        <f t="shared" si="54"/>
        <v>0</v>
      </c>
      <c r="BW42" s="1324">
        <f t="shared" si="55"/>
        <v>0</v>
      </c>
      <c r="BX42" s="1324">
        <f t="shared" si="56"/>
        <v>0</v>
      </c>
      <c r="BY42" s="1324">
        <f t="shared" si="57"/>
        <v>0</v>
      </c>
      <c r="BZ42" s="1325">
        <f t="shared" si="58"/>
        <v>0</v>
      </c>
      <c r="CA42" s="521" t="e">
        <f t="shared" si="59"/>
        <v>#N/A</v>
      </c>
      <c r="CB42" s="1333" t="e">
        <f t="shared" si="59"/>
        <v>#N/A</v>
      </c>
      <c r="CC42" s="1333" t="e">
        <f t="shared" si="60"/>
        <v>#N/A</v>
      </c>
      <c r="CD42" s="1333" t="e">
        <f t="shared" si="61"/>
        <v>#N/A</v>
      </c>
      <c r="CE42" s="1333" t="e">
        <f t="shared" si="62"/>
        <v>#N/A</v>
      </c>
      <c r="CF42" s="500" t="e">
        <f t="shared" si="63"/>
        <v>#N/A</v>
      </c>
    </row>
    <row r="43" spans="2:84" x14ac:dyDescent="0.25">
      <c r="B43" s="327">
        <v>18</v>
      </c>
      <c r="C43" s="347">
        <f>TREND(C24:C25,B24:B25,B43)</f>
        <v>0</v>
      </c>
      <c r="D43" s="372">
        <f>TREND(D24:D25,B24:B25,B43)</f>
        <v>0</v>
      </c>
      <c r="E43" s="373">
        <f>TREND(E24:E25,B24:B25,B43)</f>
        <v>55</v>
      </c>
      <c r="F43" s="374">
        <f>TREND(F24:F25,B24:B25,B43)</f>
        <v>55</v>
      </c>
      <c r="G43" s="339">
        <f t="shared" si="4"/>
        <v>0</v>
      </c>
      <c r="H43" s="436">
        <f t="shared" si="5"/>
        <v>0</v>
      </c>
      <c r="I43" s="521" t="e">
        <f t="shared" si="65"/>
        <v>#N/A</v>
      </c>
      <c r="J43" s="500" t="e">
        <f t="shared" si="66"/>
        <v>#N/A</v>
      </c>
      <c r="K43" s="521" t="e">
        <f t="shared" si="67"/>
        <v>#N/A</v>
      </c>
      <c r="L43" s="500" t="e">
        <f t="shared" si="68"/>
        <v>#N/A</v>
      </c>
      <c r="M43" s="285" t="e">
        <f t="shared" si="64"/>
        <v>#N/A</v>
      </c>
      <c r="N43" s="323" t="e">
        <f t="shared" si="8"/>
        <v>#N/A</v>
      </c>
      <c r="O43" s="474"/>
      <c r="P43" s="1038">
        <f t="shared" si="69"/>
        <v>0</v>
      </c>
      <c r="Q43" s="1324">
        <f t="shared" si="70"/>
        <v>0</v>
      </c>
      <c r="R43" s="1324">
        <f t="shared" si="71"/>
        <v>0</v>
      </c>
      <c r="S43" s="1324">
        <f t="shared" si="72"/>
        <v>0</v>
      </c>
      <c r="T43" s="1324">
        <f t="shared" si="73"/>
        <v>0</v>
      </c>
      <c r="U43" s="1324">
        <f t="shared" si="74"/>
        <v>0</v>
      </c>
      <c r="V43" s="1325">
        <f t="shared" si="75"/>
        <v>0</v>
      </c>
      <c r="W43" s="521" t="e">
        <f t="shared" si="16"/>
        <v>#N/A</v>
      </c>
      <c r="X43" s="1333" t="e">
        <f t="shared" si="17"/>
        <v>#N/A</v>
      </c>
      <c r="Y43" s="1333" t="e">
        <f t="shared" si="18"/>
        <v>#N/A</v>
      </c>
      <c r="Z43" s="1333" t="e">
        <f t="shared" si="19"/>
        <v>#N/A</v>
      </c>
      <c r="AA43" s="1333" t="e">
        <f t="shared" si="20"/>
        <v>#N/A</v>
      </c>
      <c r="AB43" s="500" t="e">
        <f t="shared" si="21"/>
        <v>#N/A</v>
      </c>
      <c r="AD43" s="327">
        <v>18</v>
      </c>
      <c r="AE43" s="347">
        <f>TREND(AE24:AE25,AD24:AD25,AD43)</f>
        <v>0</v>
      </c>
      <c r="AF43" s="630">
        <f>TREND(AF24:AF25,AD24:AD25,AD43)</f>
        <v>0</v>
      </c>
      <c r="AG43" s="633">
        <f>TREND(AG24:AG25,AD24:AD25,AD43)</f>
        <v>55</v>
      </c>
      <c r="AH43" s="374">
        <f>TREND(AH24:AH25,AD24:AD25,AD43)</f>
        <v>55</v>
      </c>
      <c r="AI43" s="521" t="e">
        <f t="shared" si="76"/>
        <v>#N/A</v>
      </c>
      <c r="AJ43" s="500" t="e">
        <f t="shared" si="77"/>
        <v>#N/A</v>
      </c>
      <c r="AK43" s="285" t="e">
        <f t="shared" si="23"/>
        <v>#N/A</v>
      </c>
      <c r="AL43" s="323" t="e">
        <f t="shared" si="24"/>
        <v>#N/A</v>
      </c>
      <c r="AM43" s="474"/>
      <c r="AN43" s="1038">
        <f t="shared" si="78"/>
        <v>0</v>
      </c>
      <c r="AO43" s="1324">
        <f t="shared" si="79"/>
        <v>0</v>
      </c>
      <c r="AP43" s="1324">
        <f t="shared" si="80"/>
        <v>0</v>
      </c>
      <c r="AQ43" s="1324">
        <f t="shared" si="81"/>
        <v>0</v>
      </c>
      <c r="AR43" s="1324">
        <f t="shared" si="82"/>
        <v>0</v>
      </c>
      <c r="AS43" s="1324">
        <f t="shared" si="83"/>
        <v>0</v>
      </c>
      <c r="AT43" s="1325">
        <f t="shared" si="84"/>
        <v>0</v>
      </c>
      <c r="AU43" s="521" t="e">
        <f t="shared" si="32"/>
        <v>#N/A</v>
      </c>
      <c r="AV43" s="1333" t="e">
        <f t="shared" si="33"/>
        <v>#N/A</v>
      </c>
      <c r="AW43" s="1333" t="e">
        <f t="shared" si="34"/>
        <v>#N/A</v>
      </c>
      <c r="AX43" s="1333" t="e">
        <f t="shared" si="35"/>
        <v>#N/A</v>
      </c>
      <c r="AY43" s="1333" t="e">
        <f t="shared" si="36"/>
        <v>#N/A</v>
      </c>
      <c r="AZ43" s="500" t="e">
        <f t="shared" si="37"/>
        <v>#N/A</v>
      </c>
      <c r="BB43" s="327">
        <v>18</v>
      </c>
      <c r="BC43" s="478" t="e">
        <f t="shared" si="38"/>
        <v>#N/A</v>
      </c>
      <c r="BD43" s="478" t="e">
        <f t="shared" si="39"/>
        <v>#N/A</v>
      </c>
      <c r="BE43" s="478" t="e">
        <f t="shared" si="40"/>
        <v>#N/A</v>
      </c>
      <c r="BF43" s="478" t="e">
        <f t="shared" si="41"/>
        <v>#N/A</v>
      </c>
      <c r="BG43" s="478">
        <f t="shared" si="42"/>
        <v>0</v>
      </c>
      <c r="BH43" s="478" t="e">
        <f t="shared" si="43"/>
        <v>#N/A</v>
      </c>
      <c r="BI43" s="478" t="e">
        <f t="shared" si="44"/>
        <v>#N/A</v>
      </c>
      <c r="BJ43" s="478" t="e">
        <f t="shared" si="45"/>
        <v>#N/A</v>
      </c>
      <c r="BK43" s="478" t="e">
        <f t="shared" si="46"/>
        <v>#N/A</v>
      </c>
      <c r="BL43" s="478" t="e">
        <f t="shared" si="47"/>
        <v>#N/A</v>
      </c>
      <c r="BM43" s="478" t="e">
        <f t="shared" si="48"/>
        <v>#N/A</v>
      </c>
      <c r="BN43" s="478" t="e">
        <f t="shared" si="49"/>
        <v>#N/A</v>
      </c>
      <c r="BO43" s="478" t="e">
        <f t="shared" si="50"/>
        <v>#N/A</v>
      </c>
      <c r="BP43" s="323" t="e">
        <f t="shared" si="51"/>
        <v>#N/A</v>
      </c>
      <c r="BQ43" s="588"/>
      <c r="BR43" s="323" t="e">
        <f t="shared" si="52"/>
        <v>#N/A</v>
      </c>
      <c r="BT43" s="1038">
        <f t="shared" si="53"/>
        <v>0</v>
      </c>
      <c r="BU43" s="1324">
        <f t="shared" si="53"/>
        <v>0</v>
      </c>
      <c r="BV43" s="1324">
        <f t="shared" si="54"/>
        <v>0</v>
      </c>
      <c r="BW43" s="1324">
        <f t="shared" si="55"/>
        <v>0</v>
      </c>
      <c r="BX43" s="1324">
        <f t="shared" si="56"/>
        <v>0</v>
      </c>
      <c r="BY43" s="1324">
        <f t="shared" si="57"/>
        <v>0</v>
      </c>
      <c r="BZ43" s="1325">
        <f t="shared" si="58"/>
        <v>0</v>
      </c>
      <c r="CA43" s="521" t="e">
        <f t="shared" si="59"/>
        <v>#N/A</v>
      </c>
      <c r="CB43" s="1333" t="e">
        <f t="shared" si="59"/>
        <v>#N/A</v>
      </c>
      <c r="CC43" s="1333" t="e">
        <f t="shared" si="60"/>
        <v>#N/A</v>
      </c>
      <c r="CD43" s="1333" t="e">
        <f t="shared" si="61"/>
        <v>#N/A</v>
      </c>
      <c r="CE43" s="1333" t="e">
        <f t="shared" si="62"/>
        <v>#N/A</v>
      </c>
      <c r="CF43" s="500" t="e">
        <f t="shared" si="63"/>
        <v>#N/A</v>
      </c>
    </row>
    <row r="44" spans="2:84" x14ac:dyDescent="0.25">
      <c r="B44" s="359">
        <v>19</v>
      </c>
      <c r="C44" s="360">
        <f>TREND(C24:C25,B24:B25,B44)</f>
        <v>0</v>
      </c>
      <c r="D44" s="375">
        <f>TREND(D24:D25,B24:B25,B44)</f>
        <v>0</v>
      </c>
      <c r="E44" s="376">
        <f>TREND(E24:E25,B24:B25,B44)</f>
        <v>55</v>
      </c>
      <c r="F44" s="377">
        <f>TREND(F24:F25,B24:B25,B44)</f>
        <v>55</v>
      </c>
      <c r="G44" s="339">
        <f t="shared" si="4"/>
        <v>0</v>
      </c>
      <c r="H44" s="435">
        <f t="shared" si="5"/>
        <v>0</v>
      </c>
      <c r="I44" s="520" t="e">
        <f t="shared" si="65"/>
        <v>#N/A</v>
      </c>
      <c r="J44" s="499" t="e">
        <f t="shared" si="66"/>
        <v>#N/A</v>
      </c>
      <c r="K44" s="520" t="e">
        <f t="shared" si="67"/>
        <v>#N/A</v>
      </c>
      <c r="L44" s="499" t="e">
        <f t="shared" si="68"/>
        <v>#N/A</v>
      </c>
      <c r="M44" s="285" t="e">
        <f t="shared" si="64"/>
        <v>#N/A</v>
      </c>
      <c r="N44" s="323" t="e">
        <f t="shared" si="8"/>
        <v>#N/A</v>
      </c>
      <c r="O44" s="474"/>
      <c r="P44" s="1037">
        <f t="shared" si="69"/>
        <v>0</v>
      </c>
      <c r="Q44" s="1322">
        <f t="shared" si="70"/>
        <v>0</v>
      </c>
      <c r="R44" s="1322">
        <f t="shared" si="71"/>
        <v>0</v>
      </c>
      <c r="S44" s="1322">
        <f t="shared" si="72"/>
        <v>0</v>
      </c>
      <c r="T44" s="1322">
        <f t="shared" si="73"/>
        <v>0</v>
      </c>
      <c r="U44" s="1322">
        <f t="shared" si="74"/>
        <v>0</v>
      </c>
      <c r="V44" s="1326">
        <f t="shared" si="75"/>
        <v>0</v>
      </c>
      <c r="W44" s="520" t="e">
        <f t="shared" si="16"/>
        <v>#N/A</v>
      </c>
      <c r="X44" s="1332" t="e">
        <f t="shared" si="17"/>
        <v>#N/A</v>
      </c>
      <c r="Y44" s="1332" t="e">
        <f t="shared" si="18"/>
        <v>#N/A</v>
      </c>
      <c r="Z44" s="1332" t="e">
        <f t="shared" si="19"/>
        <v>#N/A</v>
      </c>
      <c r="AA44" s="1332" t="e">
        <f t="shared" si="20"/>
        <v>#N/A</v>
      </c>
      <c r="AB44" s="499" t="e">
        <f t="shared" si="21"/>
        <v>#N/A</v>
      </c>
      <c r="AD44" s="359">
        <v>19</v>
      </c>
      <c r="AE44" s="360">
        <f>TREND(AE24:AE25,AD24:AD25,AD44)</f>
        <v>0</v>
      </c>
      <c r="AF44" s="631">
        <f>TREND(AF24:AF25,AD24:AD25,AD44)</f>
        <v>0</v>
      </c>
      <c r="AG44" s="634">
        <f>TREND(AG24:AG25,AD24:AD25,AD44)</f>
        <v>55</v>
      </c>
      <c r="AH44" s="377">
        <f>TREND(AH24:AH25,AD24:AD25,AD44)</f>
        <v>55</v>
      </c>
      <c r="AI44" s="520" t="e">
        <f t="shared" si="76"/>
        <v>#N/A</v>
      </c>
      <c r="AJ44" s="499" t="e">
        <f t="shared" si="77"/>
        <v>#N/A</v>
      </c>
      <c r="AK44" s="285" t="e">
        <f t="shared" si="23"/>
        <v>#N/A</v>
      </c>
      <c r="AL44" s="323" t="e">
        <f t="shared" si="24"/>
        <v>#N/A</v>
      </c>
      <c r="AM44" s="474"/>
      <c r="AN44" s="1037">
        <f t="shared" si="78"/>
        <v>0</v>
      </c>
      <c r="AO44" s="1322">
        <f t="shared" si="79"/>
        <v>0</v>
      </c>
      <c r="AP44" s="1322">
        <f t="shared" si="80"/>
        <v>0</v>
      </c>
      <c r="AQ44" s="1322">
        <f t="shared" si="81"/>
        <v>0</v>
      </c>
      <c r="AR44" s="1322">
        <f t="shared" si="82"/>
        <v>0</v>
      </c>
      <c r="AS44" s="1322">
        <f t="shared" si="83"/>
        <v>0</v>
      </c>
      <c r="AT44" s="1326">
        <f t="shared" si="84"/>
        <v>0</v>
      </c>
      <c r="AU44" s="520" t="e">
        <f t="shared" si="32"/>
        <v>#N/A</v>
      </c>
      <c r="AV44" s="1332" t="e">
        <f t="shared" si="33"/>
        <v>#N/A</v>
      </c>
      <c r="AW44" s="1332" t="e">
        <f t="shared" si="34"/>
        <v>#N/A</v>
      </c>
      <c r="AX44" s="1332" t="e">
        <f t="shared" si="35"/>
        <v>#N/A</v>
      </c>
      <c r="AY44" s="1332" t="e">
        <f t="shared" si="36"/>
        <v>#N/A</v>
      </c>
      <c r="AZ44" s="499" t="e">
        <f t="shared" si="37"/>
        <v>#N/A</v>
      </c>
      <c r="BB44" s="359">
        <v>19</v>
      </c>
      <c r="BC44" s="478" t="e">
        <f t="shared" si="38"/>
        <v>#N/A</v>
      </c>
      <c r="BD44" s="478" t="e">
        <f t="shared" si="39"/>
        <v>#N/A</v>
      </c>
      <c r="BE44" s="478" t="e">
        <f t="shared" si="40"/>
        <v>#N/A</v>
      </c>
      <c r="BF44" s="478" t="e">
        <f t="shared" si="41"/>
        <v>#N/A</v>
      </c>
      <c r="BG44" s="478">
        <f t="shared" si="42"/>
        <v>0</v>
      </c>
      <c r="BH44" s="478" t="e">
        <f t="shared" si="43"/>
        <v>#N/A</v>
      </c>
      <c r="BI44" s="478" t="e">
        <f t="shared" si="44"/>
        <v>#N/A</v>
      </c>
      <c r="BJ44" s="478" t="e">
        <f t="shared" si="45"/>
        <v>#N/A</v>
      </c>
      <c r="BK44" s="478" t="e">
        <f t="shared" si="46"/>
        <v>#N/A</v>
      </c>
      <c r="BL44" s="478" t="e">
        <f t="shared" si="47"/>
        <v>#N/A</v>
      </c>
      <c r="BM44" s="478" t="e">
        <f t="shared" si="48"/>
        <v>#N/A</v>
      </c>
      <c r="BN44" s="478" t="e">
        <f t="shared" si="49"/>
        <v>#N/A</v>
      </c>
      <c r="BO44" s="478" t="e">
        <f t="shared" si="50"/>
        <v>#N/A</v>
      </c>
      <c r="BP44" s="323" t="e">
        <f t="shared" si="51"/>
        <v>#N/A</v>
      </c>
      <c r="BQ44" s="588"/>
      <c r="BR44" s="323" t="e">
        <f t="shared" si="52"/>
        <v>#N/A</v>
      </c>
      <c r="BT44" s="1037">
        <f t="shared" si="53"/>
        <v>0</v>
      </c>
      <c r="BU44" s="1322">
        <f t="shared" si="53"/>
        <v>0</v>
      </c>
      <c r="BV44" s="1322">
        <f t="shared" si="54"/>
        <v>0</v>
      </c>
      <c r="BW44" s="1322">
        <f t="shared" si="55"/>
        <v>0</v>
      </c>
      <c r="BX44" s="1322">
        <f t="shared" si="56"/>
        <v>0</v>
      </c>
      <c r="BY44" s="1322">
        <f t="shared" si="57"/>
        <v>0</v>
      </c>
      <c r="BZ44" s="1326">
        <f t="shared" si="58"/>
        <v>0</v>
      </c>
      <c r="CA44" s="520" t="e">
        <f t="shared" si="59"/>
        <v>#N/A</v>
      </c>
      <c r="CB44" s="1332" t="e">
        <f t="shared" si="59"/>
        <v>#N/A</v>
      </c>
      <c r="CC44" s="1332" t="e">
        <f t="shared" si="60"/>
        <v>#N/A</v>
      </c>
      <c r="CD44" s="1332" t="e">
        <f t="shared" si="61"/>
        <v>#N/A</v>
      </c>
      <c r="CE44" s="1332" t="e">
        <f t="shared" si="62"/>
        <v>#N/A</v>
      </c>
      <c r="CF44" s="499" t="e">
        <f t="shared" si="63"/>
        <v>#N/A</v>
      </c>
    </row>
    <row r="45" spans="2:84" x14ac:dyDescent="0.25">
      <c r="B45" s="357"/>
      <c r="C45" s="355"/>
      <c r="D45" s="355"/>
      <c r="E45" s="355"/>
      <c r="F45" s="355"/>
      <c r="G45" s="356"/>
      <c r="H45" s="356"/>
      <c r="I45" s="356"/>
      <c r="J45" s="356"/>
      <c r="K45" s="356"/>
      <c r="L45" s="356"/>
      <c r="M45" s="356"/>
      <c r="N45" s="358"/>
      <c r="O45" s="475"/>
      <c r="P45" s="358"/>
      <c r="Q45" s="358"/>
      <c r="R45" s="358"/>
      <c r="S45" s="358"/>
      <c r="T45" s="358"/>
      <c r="U45" s="358"/>
      <c r="V45" s="358"/>
      <c r="W45" s="475"/>
      <c r="X45" s="475"/>
      <c r="Y45" s="475"/>
      <c r="Z45" s="475"/>
      <c r="AA45" s="475"/>
      <c r="AB45" s="475"/>
      <c r="AD45" s="357"/>
      <c r="AE45" s="355"/>
      <c r="AF45" s="355"/>
      <c r="AG45" s="355"/>
      <c r="AH45" s="355"/>
      <c r="AI45" s="356"/>
      <c r="AJ45" s="356"/>
      <c r="AK45" s="356"/>
      <c r="AL45" s="358"/>
      <c r="AM45" s="475"/>
      <c r="AN45" s="358"/>
      <c r="AO45" s="358"/>
      <c r="AP45" s="358"/>
      <c r="AQ45" s="358"/>
      <c r="AR45" s="358"/>
      <c r="AS45" s="358"/>
      <c r="AT45" s="358"/>
      <c r="AU45" s="475"/>
      <c r="AV45" s="475"/>
      <c r="AW45" s="475"/>
      <c r="AX45" s="475"/>
      <c r="AY45" s="475"/>
      <c r="AZ45" s="475"/>
      <c r="BB45" s="357"/>
      <c r="BC45" s="358"/>
      <c r="BD45" s="358"/>
      <c r="BE45" s="358"/>
      <c r="BF45" s="358"/>
      <c r="BG45" s="358"/>
      <c r="BH45" s="358"/>
      <c r="BI45" s="358"/>
      <c r="BJ45" s="358"/>
      <c r="BK45" s="358"/>
      <c r="BL45" s="358"/>
      <c r="BM45" s="358"/>
      <c r="BN45" s="358"/>
      <c r="BO45" s="358"/>
      <c r="BP45" s="358"/>
      <c r="BQ45" s="475"/>
      <c r="BR45" s="358"/>
      <c r="BT45" s="358"/>
      <c r="BU45" s="358"/>
      <c r="BV45" s="358"/>
      <c r="BW45" s="358"/>
      <c r="BX45" s="358"/>
      <c r="BY45" s="358"/>
      <c r="BZ45" s="358"/>
      <c r="CA45" s="475"/>
      <c r="CB45" s="475"/>
      <c r="CC45" s="475"/>
      <c r="CD45" s="475"/>
      <c r="CE45" s="475"/>
      <c r="CF45" s="475"/>
    </row>
    <row r="46" spans="2:84" ht="13" x14ac:dyDescent="0.25">
      <c r="B46" s="329" t="s">
        <v>172</v>
      </c>
      <c r="C46" s="330"/>
      <c r="D46" s="331"/>
      <c r="E46" s="331"/>
      <c r="F46" s="331"/>
      <c r="G46" s="331"/>
      <c r="H46" s="331"/>
      <c r="I46" s="331"/>
      <c r="J46" s="332"/>
      <c r="K46" s="331"/>
      <c r="L46" s="332"/>
      <c r="M46" s="341"/>
      <c r="N46" s="342" t="e">
        <f>SUM(N24:N44)</f>
        <v>#N/A</v>
      </c>
      <c r="O46" s="477"/>
      <c r="P46" s="1039">
        <f>SUM(P24:P44)</f>
        <v>0</v>
      </c>
      <c r="Q46" s="1327">
        <f>SUM(Q24:Q44)</f>
        <v>0</v>
      </c>
      <c r="R46" s="1327">
        <f t="shared" ref="R46:V46" si="85">SUM(R24:R44)</f>
        <v>0</v>
      </c>
      <c r="S46" s="1327">
        <f t="shared" si="85"/>
        <v>0</v>
      </c>
      <c r="T46" s="1327">
        <f t="shared" si="85"/>
        <v>0</v>
      </c>
      <c r="U46" s="1327">
        <f t="shared" si="85"/>
        <v>0</v>
      </c>
      <c r="V46" s="1328">
        <f t="shared" si="85"/>
        <v>0</v>
      </c>
      <c r="W46" s="1334" t="e">
        <f>SUM(W24:W44)</f>
        <v>#N/A</v>
      </c>
      <c r="X46" s="1335" t="e">
        <f>SUM(X24:X44)</f>
        <v>#N/A</v>
      </c>
      <c r="Y46" s="1335" t="e">
        <f t="shared" ref="Y46:AB46" si="86">SUM(Y24:Y44)</f>
        <v>#N/A</v>
      </c>
      <c r="Z46" s="1335" t="e">
        <f t="shared" si="86"/>
        <v>#N/A</v>
      </c>
      <c r="AA46" s="1335" t="e">
        <f t="shared" si="86"/>
        <v>#N/A</v>
      </c>
      <c r="AB46" s="1040" t="e">
        <f t="shared" si="86"/>
        <v>#N/A</v>
      </c>
      <c r="AD46" s="329" t="s">
        <v>172</v>
      </c>
      <c r="AE46" s="330"/>
      <c r="AF46" s="331"/>
      <c r="AG46" s="331"/>
      <c r="AH46" s="331"/>
      <c r="AI46" s="331"/>
      <c r="AJ46" s="332"/>
      <c r="AK46" s="341"/>
      <c r="AL46" s="342" t="e">
        <f>SUM(AL24:AL44)</f>
        <v>#N/A</v>
      </c>
      <c r="AM46" s="477"/>
      <c r="AN46" s="1039">
        <f>SUM(AN24:AN44)</f>
        <v>0</v>
      </c>
      <c r="AO46" s="1327">
        <f>SUM(AO24:AO44)</f>
        <v>0</v>
      </c>
      <c r="AP46" s="1327">
        <f t="shared" ref="AP46:AT46" si="87">SUM(AP24:AP44)</f>
        <v>0</v>
      </c>
      <c r="AQ46" s="1327">
        <f t="shared" si="87"/>
        <v>0</v>
      </c>
      <c r="AR46" s="1327">
        <f t="shared" si="87"/>
        <v>0</v>
      </c>
      <c r="AS46" s="1327">
        <f t="shared" si="87"/>
        <v>0</v>
      </c>
      <c r="AT46" s="1328">
        <f t="shared" si="87"/>
        <v>0</v>
      </c>
      <c r="AU46" s="1334" t="e">
        <f t="shared" ref="AU46:AZ46" si="88">SUM(AU24:AU44)</f>
        <v>#N/A</v>
      </c>
      <c r="AV46" s="1335" t="e">
        <f t="shared" si="88"/>
        <v>#N/A</v>
      </c>
      <c r="AW46" s="1335" t="e">
        <f t="shared" si="88"/>
        <v>#N/A</v>
      </c>
      <c r="AX46" s="1335" t="e">
        <f t="shared" si="88"/>
        <v>#N/A</v>
      </c>
      <c r="AY46" s="1335" t="e">
        <f t="shared" si="88"/>
        <v>#N/A</v>
      </c>
      <c r="AZ46" s="1040" t="e">
        <f t="shared" si="88"/>
        <v>#N/A</v>
      </c>
      <c r="BB46" s="329" t="s">
        <v>172</v>
      </c>
      <c r="BC46" s="479" t="e">
        <f>SUM(BC24:BC44)</f>
        <v>#N/A</v>
      </c>
      <c r="BD46" s="479" t="e">
        <f t="shared" ref="BD46:BP46" si="89">SUM(BD24:BD44)</f>
        <v>#N/A</v>
      </c>
      <c r="BE46" s="479" t="e">
        <f t="shared" si="89"/>
        <v>#N/A</v>
      </c>
      <c r="BF46" s="479" t="e">
        <f t="shared" si="89"/>
        <v>#N/A</v>
      </c>
      <c r="BG46" s="479">
        <f t="shared" si="89"/>
        <v>0</v>
      </c>
      <c r="BH46" s="479" t="e">
        <f t="shared" si="89"/>
        <v>#N/A</v>
      </c>
      <c r="BI46" s="479" t="e">
        <f t="shared" si="89"/>
        <v>#N/A</v>
      </c>
      <c r="BJ46" s="479" t="e">
        <f t="shared" si="89"/>
        <v>#N/A</v>
      </c>
      <c r="BK46" s="479" t="e">
        <f t="shared" si="89"/>
        <v>#N/A</v>
      </c>
      <c r="BL46" s="479" t="e">
        <f t="shared" si="89"/>
        <v>#N/A</v>
      </c>
      <c r="BM46" s="479" t="e">
        <f t="shared" si="89"/>
        <v>#N/A</v>
      </c>
      <c r="BN46" s="479" t="e">
        <f t="shared" si="89"/>
        <v>#N/A</v>
      </c>
      <c r="BO46" s="479" t="e">
        <f t="shared" si="89"/>
        <v>#N/A</v>
      </c>
      <c r="BP46" s="342" t="e">
        <f t="shared" si="89"/>
        <v>#N/A</v>
      </c>
      <c r="BQ46" s="589"/>
      <c r="BR46" s="342" t="e">
        <f>SUM(BR24:BR44)</f>
        <v>#N/A</v>
      </c>
      <c r="BT46" s="1039">
        <f>SUM(BT24:BT44)</f>
        <v>0</v>
      </c>
      <c r="BU46" s="1327">
        <f>SUM(BU24:BU44)</f>
        <v>0</v>
      </c>
      <c r="BV46" s="1327">
        <f t="shared" ref="BV46:BZ46" si="90">SUM(BV24:BV44)</f>
        <v>0</v>
      </c>
      <c r="BW46" s="1327">
        <f t="shared" si="90"/>
        <v>0</v>
      </c>
      <c r="BX46" s="1327">
        <f t="shared" si="90"/>
        <v>0</v>
      </c>
      <c r="BY46" s="1327">
        <f t="shared" si="90"/>
        <v>0</v>
      </c>
      <c r="BZ46" s="1328">
        <f t="shared" si="90"/>
        <v>0</v>
      </c>
      <c r="CA46" s="1334" t="e">
        <f>SUM(CA24:CA44)</f>
        <v>#N/A</v>
      </c>
      <c r="CB46" s="1335" t="e">
        <f>SUM(CB24:CB44)</f>
        <v>#N/A</v>
      </c>
      <c r="CC46" s="1335" t="e">
        <f t="shared" ref="CC46:CF46" si="91">SUM(CC24:CC44)</f>
        <v>#N/A</v>
      </c>
      <c r="CD46" s="1335" t="e">
        <f t="shared" si="91"/>
        <v>#N/A</v>
      </c>
      <c r="CE46" s="1335" t="e">
        <f t="shared" si="91"/>
        <v>#N/A</v>
      </c>
      <c r="CF46" s="1040" t="e">
        <f t="shared" si="91"/>
        <v>#N/A</v>
      </c>
    </row>
    <row r="47" spans="2:84" x14ac:dyDescent="0.25">
      <c r="B47" s="275"/>
      <c r="C47" s="276"/>
      <c r="D47" s="275"/>
      <c r="E47" s="275"/>
      <c r="F47" s="275"/>
      <c r="G47" s="275"/>
      <c r="H47" s="275"/>
      <c r="I47" s="275"/>
      <c r="J47" s="275"/>
      <c r="K47" s="275"/>
      <c r="L47" s="275"/>
      <c r="M47" s="275"/>
      <c r="N47" s="275"/>
      <c r="O47" s="271"/>
      <c r="P47" s="271"/>
      <c r="Q47" s="271"/>
      <c r="R47" s="271"/>
      <c r="S47" s="271"/>
      <c r="T47" s="271"/>
      <c r="U47" s="271"/>
      <c r="V47" s="271"/>
      <c r="W47" s="271"/>
      <c r="X47" s="271"/>
      <c r="Y47" s="271"/>
      <c r="Z47" s="271"/>
      <c r="AA47" s="271"/>
      <c r="AB47" s="271"/>
      <c r="AD47" s="275"/>
      <c r="AE47" s="276"/>
      <c r="AF47" s="276"/>
      <c r="AG47" s="275"/>
      <c r="AH47" s="275"/>
      <c r="AI47" s="275"/>
      <c r="AJ47" s="275"/>
      <c r="AK47" s="275"/>
      <c r="AL47" s="275"/>
      <c r="AM47" s="271"/>
      <c r="AN47" s="271"/>
      <c r="AO47" s="271"/>
      <c r="AP47" s="271"/>
      <c r="AQ47" s="271"/>
      <c r="AR47" s="271"/>
      <c r="AS47" s="271"/>
      <c r="AT47" s="271"/>
      <c r="AU47" s="271"/>
      <c r="AV47" s="271"/>
      <c r="AW47" s="271"/>
      <c r="AX47" s="271"/>
      <c r="AY47" s="271"/>
      <c r="AZ47" s="271"/>
    </row>
    <row r="48" spans="2:84" ht="15.5" x14ac:dyDescent="0.35">
      <c r="B48" s="1"/>
      <c r="C48" s="1"/>
      <c r="D48" s="1"/>
      <c r="E48" s="1"/>
      <c r="F48" s="1"/>
      <c r="H48" s="1"/>
      <c r="I48" s="1"/>
      <c r="J48" s="1"/>
      <c r="K48" s="1"/>
      <c r="L48" s="1"/>
      <c r="M48" s="1"/>
      <c r="N48" s="1"/>
      <c r="O48" s="34"/>
      <c r="P48" s="34"/>
      <c r="Q48" s="34"/>
      <c r="R48" s="34"/>
      <c r="S48" s="34"/>
      <c r="T48" s="34"/>
      <c r="U48" s="34"/>
      <c r="V48" s="34"/>
      <c r="W48" s="34"/>
      <c r="X48" s="34"/>
      <c r="Y48" s="34"/>
      <c r="Z48" s="34"/>
      <c r="AA48" s="34"/>
      <c r="AB48" s="34"/>
      <c r="AD48" s="36"/>
      <c r="AE48" s="276"/>
      <c r="AF48" s="276"/>
      <c r="AG48" s="36"/>
      <c r="AH48" s="36"/>
      <c r="AI48" s="36"/>
      <c r="AJ48" s="36"/>
      <c r="AK48" s="36"/>
      <c r="AL48" s="36"/>
      <c r="AM48" s="36"/>
      <c r="AN48" s="36"/>
      <c r="AO48" s="36"/>
      <c r="AP48" s="36"/>
      <c r="AQ48" s="36"/>
      <c r="AR48" s="36"/>
      <c r="AS48" s="36"/>
      <c r="AT48" s="36"/>
      <c r="AU48" s="36"/>
      <c r="AV48" s="36"/>
      <c r="AW48" s="36"/>
      <c r="AX48" s="36"/>
      <c r="AY48" s="36"/>
      <c r="AZ48" s="36"/>
      <c r="BB48" s="1044" t="str">
        <f>IF(Emissions&lt;&gt;"N","","* Emissions Benefits Not Counted")</f>
        <v/>
      </c>
      <c r="BR48" s="585"/>
    </row>
    <row r="49" spans="2:70" ht="13" x14ac:dyDescent="0.25">
      <c r="B49" s="350" t="s">
        <v>252</v>
      </c>
      <c r="C49" s="88"/>
      <c r="D49" s="88"/>
      <c r="E49" s="88"/>
      <c r="F49" s="88"/>
      <c r="G49" s="88"/>
      <c r="H49" s="309"/>
      <c r="I49" s="309"/>
      <c r="J49" s="88"/>
      <c r="K49" s="309"/>
      <c r="L49" s="88"/>
      <c r="M49" s="88"/>
      <c r="N49" s="88"/>
      <c r="O49" s="273"/>
      <c r="P49" s="273"/>
      <c r="Q49" s="273"/>
      <c r="R49" s="273"/>
      <c r="S49" s="273"/>
      <c r="T49" s="273"/>
      <c r="U49" s="273"/>
      <c r="V49" s="273"/>
      <c r="W49" s="273"/>
      <c r="X49" s="273"/>
      <c r="Y49" s="273"/>
      <c r="Z49" s="273"/>
      <c r="AA49" s="273"/>
      <c r="AB49" s="273"/>
      <c r="AD49" s="350" t="s">
        <v>309</v>
      </c>
      <c r="AE49" s="88"/>
      <c r="AF49" s="88"/>
      <c r="AG49" s="88"/>
      <c r="AH49" s="88"/>
      <c r="AI49" s="309"/>
      <c r="AJ49" s="88"/>
      <c r="AK49" s="88"/>
      <c r="AL49" s="88"/>
      <c r="AM49" s="273"/>
      <c r="AN49" s="273"/>
      <c r="AO49" s="273"/>
      <c r="AP49" s="273"/>
      <c r="AQ49" s="273"/>
      <c r="AR49" s="273"/>
      <c r="AS49" s="273"/>
      <c r="AT49" s="273"/>
      <c r="AU49" s="273"/>
      <c r="AV49" s="273"/>
      <c r="AW49" s="273"/>
      <c r="AX49" s="273"/>
      <c r="AY49" s="273"/>
      <c r="AZ49" s="273"/>
      <c r="BR49" s="584"/>
    </row>
    <row r="50" spans="2:70" x14ac:dyDescent="0.25">
      <c r="B50" s="88"/>
      <c r="C50" s="88"/>
      <c r="D50" s="274"/>
      <c r="E50" s="274"/>
      <c r="F50" s="274"/>
      <c r="G50" s="88"/>
      <c r="H50" s="88"/>
      <c r="I50" s="88"/>
      <c r="J50" s="88"/>
      <c r="K50" s="88"/>
      <c r="L50" s="88"/>
      <c r="M50" s="88"/>
      <c r="N50" s="351"/>
      <c r="O50" s="1030"/>
      <c r="P50" s="1030"/>
      <c r="Q50" s="1030"/>
      <c r="R50" s="1030"/>
      <c r="S50" s="1030"/>
      <c r="T50" s="1030"/>
      <c r="U50" s="1030"/>
      <c r="V50" s="1030"/>
      <c r="W50" s="1030"/>
      <c r="X50" s="1030"/>
      <c r="Y50" s="1030"/>
      <c r="Z50" s="1030"/>
      <c r="AA50" s="1030"/>
      <c r="AB50" s="1030"/>
      <c r="AD50" s="88"/>
      <c r="AE50" s="88"/>
      <c r="AF50" s="274"/>
      <c r="AG50" s="274"/>
      <c r="AH50" s="274"/>
      <c r="AI50" s="88"/>
      <c r="AJ50" s="88"/>
      <c r="AK50" s="88"/>
      <c r="AL50" s="351"/>
      <c r="AM50" s="1030"/>
      <c r="AN50" s="1030"/>
      <c r="AO50" s="1030"/>
      <c r="AP50" s="1030"/>
      <c r="AQ50" s="1030"/>
      <c r="AR50" s="1030"/>
      <c r="AS50" s="1030"/>
      <c r="AT50" s="1030"/>
      <c r="AU50" s="1030"/>
      <c r="AV50" s="1030"/>
      <c r="AW50" s="1030"/>
      <c r="AX50" s="1030"/>
      <c r="AY50" s="1030"/>
      <c r="AZ50" s="1030"/>
    </row>
    <row r="51" spans="2:70" ht="15.5" x14ac:dyDescent="0.25">
      <c r="B51" s="317"/>
      <c r="C51" s="320" t="s">
        <v>230</v>
      </c>
      <c r="D51" s="361"/>
      <c r="E51" s="320" t="s">
        <v>231</v>
      </c>
      <c r="F51" s="333"/>
      <c r="G51" s="335" t="s">
        <v>272</v>
      </c>
      <c r="H51" s="321"/>
      <c r="I51" s="437" t="s">
        <v>510</v>
      </c>
      <c r="J51" s="438"/>
      <c r="K51" s="437" t="s">
        <v>511</v>
      </c>
      <c r="L51" s="438"/>
      <c r="M51" s="322"/>
      <c r="N51" s="343"/>
      <c r="O51" s="271"/>
      <c r="P51" s="437" t="s">
        <v>740</v>
      </c>
      <c r="Q51" s="437"/>
      <c r="R51" s="320"/>
      <c r="S51" s="320"/>
      <c r="T51" s="320"/>
      <c r="U51" s="320"/>
      <c r="V51" s="320"/>
      <c r="W51" s="437" t="s">
        <v>746</v>
      </c>
      <c r="X51" s="438"/>
      <c r="Y51" s="320"/>
      <c r="Z51" s="320"/>
      <c r="AA51" s="320"/>
      <c r="AB51" s="1315"/>
      <c r="AD51" s="317"/>
      <c r="AE51" s="320" t="s">
        <v>304</v>
      </c>
      <c r="AF51" s="361"/>
      <c r="AG51" s="320" t="s">
        <v>231</v>
      </c>
      <c r="AH51" s="333"/>
      <c r="AI51" s="437" t="s">
        <v>303</v>
      </c>
      <c r="AJ51" s="438"/>
      <c r="AK51" s="322"/>
      <c r="AL51" s="343"/>
      <c r="AM51" s="271"/>
      <c r="AN51" s="437" t="s">
        <v>740</v>
      </c>
      <c r="AO51" s="437"/>
      <c r="AP51" s="320"/>
      <c r="AQ51" s="320"/>
      <c r="AR51" s="320"/>
      <c r="AS51" s="320"/>
      <c r="AT51" s="320"/>
      <c r="AU51" s="437" t="s">
        <v>746</v>
      </c>
      <c r="AV51" s="438"/>
      <c r="AW51" s="320"/>
      <c r="AX51" s="320"/>
      <c r="AY51" s="320"/>
      <c r="AZ51" s="1315"/>
    </row>
    <row r="52" spans="2:70" ht="15" customHeight="1" x14ac:dyDescent="0.25">
      <c r="B52" s="318"/>
      <c r="C52" s="287" t="s">
        <v>237</v>
      </c>
      <c r="D52" s="362"/>
      <c r="E52" s="287" t="s">
        <v>238</v>
      </c>
      <c r="F52" s="334"/>
      <c r="G52" s="336" t="s">
        <v>274</v>
      </c>
      <c r="H52" s="288"/>
      <c r="I52" s="439" t="s">
        <v>275</v>
      </c>
      <c r="J52" s="440"/>
      <c r="K52" s="439" t="s">
        <v>275</v>
      </c>
      <c r="L52" s="440"/>
      <c r="M52" s="284"/>
      <c r="N52" s="344"/>
      <c r="O52" s="271"/>
      <c r="P52" s="1311" t="s">
        <v>748</v>
      </c>
      <c r="Q52" s="1311"/>
      <c r="R52" s="1312"/>
      <c r="S52" s="1312"/>
      <c r="T52" s="1312"/>
      <c r="U52" s="1312"/>
      <c r="V52" s="1316"/>
      <c r="W52" s="1311" t="s">
        <v>749</v>
      </c>
      <c r="X52" s="288"/>
      <c r="Y52" s="287"/>
      <c r="Z52" s="287"/>
      <c r="AA52" s="287"/>
      <c r="AB52" s="288"/>
      <c r="AD52" s="318"/>
      <c r="AE52" s="336" t="s">
        <v>274</v>
      </c>
      <c r="AF52" s="362"/>
      <c r="AG52" s="287" t="s">
        <v>238</v>
      </c>
      <c r="AH52" s="334"/>
      <c r="AI52" s="439" t="s">
        <v>275</v>
      </c>
      <c r="AJ52" s="440"/>
      <c r="AK52" s="284"/>
      <c r="AL52" s="344"/>
      <c r="AM52" s="271"/>
      <c r="AN52" s="1311" t="s">
        <v>748</v>
      </c>
      <c r="AO52" s="1311"/>
      <c r="AP52" s="1312"/>
      <c r="AQ52" s="1312"/>
      <c r="AR52" s="1312"/>
      <c r="AS52" s="1312"/>
      <c r="AT52" s="1316"/>
      <c r="AU52" s="1311" t="s">
        <v>749</v>
      </c>
      <c r="AV52" s="288"/>
      <c r="AW52" s="287"/>
      <c r="AX52" s="287"/>
      <c r="AY52" s="287"/>
      <c r="AZ52" s="288"/>
    </row>
    <row r="53" spans="2:70" ht="14" x14ac:dyDescent="0.25">
      <c r="B53" s="169" t="s">
        <v>135</v>
      </c>
      <c r="C53" s="316"/>
      <c r="D53" s="283"/>
      <c r="E53" s="316"/>
      <c r="F53" s="283"/>
      <c r="G53" s="316"/>
      <c r="H53" s="283"/>
      <c r="I53" s="316"/>
      <c r="J53" s="283"/>
      <c r="K53" s="316"/>
      <c r="L53" s="283"/>
      <c r="M53" s="286" t="s">
        <v>242</v>
      </c>
      <c r="N53" s="345" t="s">
        <v>139</v>
      </c>
      <c r="O53" s="465"/>
      <c r="P53" s="432"/>
      <c r="Q53" s="647"/>
      <c r="R53" s="647"/>
      <c r="S53" s="647"/>
      <c r="T53" s="647"/>
      <c r="U53" s="647"/>
      <c r="V53" s="1313"/>
      <c r="W53" s="432"/>
      <c r="X53" s="647"/>
      <c r="Y53" s="647"/>
      <c r="Z53" s="647"/>
      <c r="AA53" s="647"/>
      <c r="AB53" s="283"/>
      <c r="AD53" s="169" t="s">
        <v>135</v>
      </c>
      <c r="AE53" s="316"/>
      <c r="AF53" s="283"/>
      <c r="AG53" s="316"/>
      <c r="AH53" s="283"/>
      <c r="AI53" s="316"/>
      <c r="AJ53" s="283"/>
      <c r="AK53" s="286" t="s">
        <v>242</v>
      </c>
      <c r="AL53" s="345" t="s">
        <v>139</v>
      </c>
      <c r="AM53" s="465"/>
      <c r="AN53" s="432"/>
      <c r="AO53" s="647"/>
      <c r="AP53" s="647"/>
      <c r="AQ53" s="647"/>
      <c r="AR53" s="647"/>
      <c r="AS53" s="647"/>
      <c r="AT53" s="1313"/>
      <c r="AU53" s="432"/>
      <c r="AV53" s="647"/>
      <c r="AW53" s="647"/>
      <c r="AX53" s="647"/>
      <c r="AY53" s="647"/>
      <c r="AZ53" s="283"/>
    </row>
    <row r="54" spans="2:70" ht="17" x14ac:dyDescent="0.25">
      <c r="B54" s="319"/>
      <c r="C54" s="324" t="s">
        <v>0</v>
      </c>
      <c r="D54" s="325" t="s">
        <v>1</v>
      </c>
      <c r="E54" s="324" t="s">
        <v>0</v>
      </c>
      <c r="F54" s="325" t="s">
        <v>1</v>
      </c>
      <c r="G54" s="324" t="s">
        <v>0</v>
      </c>
      <c r="H54" s="325" t="s">
        <v>1</v>
      </c>
      <c r="I54" s="324" t="s">
        <v>0</v>
      </c>
      <c r="J54" s="325" t="s">
        <v>1</v>
      </c>
      <c r="K54" s="324" t="s">
        <v>0</v>
      </c>
      <c r="L54" s="325" t="s">
        <v>1</v>
      </c>
      <c r="M54" s="326" t="s">
        <v>148</v>
      </c>
      <c r="N54" s="346" t="s">
        <v>149</v>
      </c>
      <c r="O54" s="465"/>
      <c r="P54" s="441" t="s">
        <v>380</v>
      </c>
      <c r="Q54" s="648" t="s">
        <v>741</v>
      </c>
      <c r="R54" s="648" t="s">
        <v>742</v>
      </c>
      <c r="S54" s="648" t="s">
        <v>743</v>
      </c>
      <c r="T54" s="648" t="s">
        <v>745</v>
      </c>
      <c r="U54" s="648" t="s">
        <v>384</v>
      </c>
      <c r="V54" s="1314" t="s">
        <v>744</v>
      </c>
      <c r="W54" s="441" t="s">
        <v>380</v>
      </c>
      <c r="X54" s="648" t="s">
        <v>741</v>
      </c>
      <c r="Y54" s="648" t="s">
        <v>742</v>
      </c>
      <c r="Z54" s="648" t="s">
        <v>743</v>
      </c>
      <c r="AA54" s="648" t="s">
        <v>745</v>
      </c>
      <c r="AB54" s="325" t="s">
        <v>384</v>
      </c>
      <c r="AD54" s="319"/>
      <c r="AE54" s="324" t="s">
        <v>0</v>
      </c>
      <c r="AF54" s="325" t="s">
        <v>1</v>
      </c>
      <c r="AG54" s="324" t="s">
        <v>0</v>
      </c>
      <c r="AH54" s="325" t="s">
        <v>1</v>
      </c>
      <c r="AI54" s="324" t="s">
        <v>0</v>
      </c>
      <c r="AJ54" s="325" t="s">
        <v>1</v>
      </c>
      <c r="AK54" s="326" t="s">
        <v>148</v>
      </c>
      <c r="AL54" s="346" t="s">
        <v>149</v>
      </c>
      <c r="AM54" s="465"/>
      <c r="AN54" s="441" t="s">
        <v>380</v>
      </c>
      <c r="AO54" s="648" t="s">
        <v>741</v>
      </c>
      <c r="AP54" s="648" t="s">
        <v>742</v>
      </c>
      <c r="AQ54" s="648" t="s">
        <v>743</v>
      </c>
      <c r="AR54" s="648" t="s">
        <v>745</v>
      </c>
      <c r="AS54" s="648" t="s">
        <v>384</v>
      </c>
      <c r="AT54" s="1314" t="s">
        <v>744</v>
      </c>
      <c r="AU54" s="441" t="s">
        <v>380</v>
      </c>
      <c r="AV54" s="648" t="s">
        <v>741</v>
      </c>
      <c r="AW54" s="648" t="s">
        <v>742</v>
      </c>
      <c r="AX54" s="648" t="s">
        <v>743</v>
      </c>
      <c r="AY54" s="648" t="s">
        <v>745</v>
      </c>
      <c r="AZ54" s="325" t="s">
        <v>384</v>
      </c>
    </row>
    <row r="55" spans="2:70" x14ac:dyDescent="0.25">
      <c r="B55" s="327">
        <v>1</v>
      </c>
      <c r="C55" s="348">
        <f>PNV1NB*AnnualFactor</f>
        <v>0</v>
      </c>
      <c r="D55" s="349">
        <f>PNV1B*AnnualFactor</f>
        <v>0</v>
      </c>
      <c r="E55" s="363">
        <f>ROUND(PNS1NB,1)</f>
        <v>55</v>
      </c>
      <c r="F55" s="364">
        <f>ROUND(PNS1B,1)</f>
        <v>55</v>
      </c>
      <c r="G55" s="339">
        <f>ImpactedNB*C55</f>
        <v>0</v>
      </c>
      <c r="H55" s="434">
        <f>ImpactedB*D55</f>
        <v>0</v>
      </c>
      <c r="I55" s="515" t="e">
        <f>G55*0.00000110231131*(VLOOKUP(E55,EmAuto1,2)*VLOOKUP(ProjLoc,EmCost,2)+VLOOKUP(E55,EmAuto1,3)*VLOOKUP(ProjLoc,EmCost,3)*(1+CO2Uprater)^($B55+Construct-1)+VLOOKUP(E55,EmAuto1,4)*VLOOKUP(ProjLoc,EmCost,4)+VLOOKUP(E55,EmAuto1,5)*VLOOKUP(ProjLoc,EmCost,5)+VLOOKUP(E55,EmAuto1,6)*VLOOKUP(ProjLoc,EmCost,6)+VLOOKUP(E55,EmAuto1,7)*VLOOKUP(ProjLoc,EmCost,7))*IF(UserAdjInputs,1,VLOOKUP(TMSLookup,TMSAdj,9))</f>
        <v>#N/A</v>
      </c>
      <c r="J55" s="498" t="e">
        <f>H55*0.00000110231131*(VLOOKUP(F55,EmAuto1,2)*VLOOKUP(ProjLoc,EmCost,2)+VLOOKUP(F55,EmAuto1,3)*VLOOKUP(ProjLoc,EmCost,3)*(1+CO2Uprater)^($B55+Construct-1)+VLOOKUP(F55,EmAuto1,4)*VLOOKUP(ProjLoc,EmCost,4)+VLOOKUP(F55,EmAuto1,5)*VLOOKUP(ProjLoc,EmCost,5)+VLOOKUP(F55,EmAuto1,6)*VLOOKUP(ProjLoc,EmCost,6)+VLOOKUP(F55,EmAuto1,7)*VLOOKUP(ProjLoc,EmCost,7))*IF(UserAdjInputs,1,VLOOKUP(TMSLookup,TMSAdj,9))</f>
        <v>#N/A</v>
      </c>
      <c r="K55" s="515" t="e">
        <f>C55*0.00000110231131*(VLOOKUP(0,EmAuto1,2)*VLOOKUP(ProjLoc,EmCost,2)+VLOOKUP(0,EmAuto1,3)*VLOOKUP(ProjLoc,EmCost,3)*(1+CO2Uprater)^($B55+Construct-1)+VLOOKUP(0,EmAuto1,4)*VLOOKUP(ProjLoc,EmCost,4)+VLOOKUP(0,EmAuto1,5)*VLOOKUP(ProjLoc,EmCost,5)+VLOOKUP(0,EmAuto1,6)*VLOOKUP(ProjLoc,EmCost,6)+VLOOKUP(0,EmAuto1,7)*VLOOKUP(ProjLoc,EmCost,7))*IF(UserAdjInputs,1,VLOOKUP(TMSLookup,TMSAdj,9))</f>
        <v>#N/A</v>
      </c>
      <c r="L55" s="498" t="e">
        <f>D55*0.00000110231131*(VLOOKUP(0,EmAuto1,2)*VLOOKUP(ProjLoc,EmCost,2)+VLOOKUP(0,EmAuto1,3)*VLOOKUP(ProjLoc,EmCost,3)*(1+CO2Uprater)^($B55+Construct-1)+VLOOKUP(0,EmAuto1,4)*VLOOKUP(ProjLoc,EmCost,4)+VLOOKUP(0,EmAuto1,5)*VLOOKUP(ProjLoc,EmCost,5)+VLOOKUP(0,EmAuto1,6)*VLOOKUP(ProjLoc,EmCost,6)+VLOOKUP(0,EmAuto1,7)*VLOOKUP(ProjLoc,EmCost,7))*IF(UserAdjInputs,1,VLOOKUP(TMSLookup,TMSAdj,9))</f>
        <v>#N/A</v>
      </c>
      <c r="M55" s="285" t="e">
        <f>(I55+K55)-(J55+L55)</f>
        <v>#N/A</v>
      </c>
      <c r="N55" s="323" t="e">
        <f>$M55/(1+DiscRate)^($B55+Construct-1)</f>
        <v>#N/A</v>
      </c>
      <c r="O55" s="474"/>
      <c r="P55" s="1036">
        <f>0.00000110231131*(G55*VLOOKUP(E55,EmAuto1,2)-H55*VLOOKUP(F55,EmAuto1,2)+(C55-D55)*VLOOKUP(0,EmAuto1,2))*IF(UserAdjInputs,1,VLOOKUP(TMSLookup,TMSAdj,9))</f>
        <v>0</v>
      </c>
      <c r="Q55" s="1321">
        <f t="shared" ref="Q55" si="92">0.00000110231131*(G55*VLOOKUP(E55,EmAuto1,3)-H55*VLOOKUP(F55,EmAuto1,3)+(C55-D55)*VLOOKUP(0,EmAuto1,3))*IF(UserAdjInputs,1,VLOOKUP(TMSLookup,TMSAdj,9))</f>
        <v>0</v>
      </c>
      <c r="R55" s="1321">
        <f>0.00000110231131*(G55*VLOOKUP(E55,EmAuto1,4)-H55*VLOOKUP(F55,EmAuto1,4)+(C55-D55)*VLOOKUP(0,EmAuto1,4))*IF(UserAdjInputs,1,VLOOKUP(TMSLookup,TMSAdj,9))</f>
        <v>0</v>
      </c>
      <c r="S55" s="1321">
        <f>0.00000110231131*(G55*VLOOKUP(E55,EmAuto1,5)-H55*VLOOKUP(F55,EmAuto1,5)+(C55-D55)*VLOOKUP(0,EmAuto1,5))*IF(UserAdjInputs,1,VLOOKUP(TMSLookup,TMSAdj,9))</f>
        <v>0</v>
      </c>
      <c r="T55" s="1321">
        <f>0.00000110231131*(G55*VLOOKUP(E55,EmAuto1,6)-H55*VLOOKUP(F55,EmAuto1,6)+(C55-D55)*VLOOKUP(0,EmAuto1,6))*IF(UserAdjInputs,1,VLOOKUP(TMSLookup,TMSAdj,9))</f>
        <v>0</v>
      </c>
      <c r="U55" s="1321">
        <f>0.00000110231131*(G55*VLOOKUP(E55,EmAuto1,7)-H55*VLOOKUP(F55,EmAuto1,7)+(C55-D55)*VLOOKUP(0,EmAuto1,7))*IF(UserAdjInputs,1,VLOOKUP(TMSLookup,TMSAdj,9))</f>
        <v>0</v>
      </c>
      <c r="V55" s="1329">
        <f>0.00000110231131*(G55*VLOOKUP(E55,EmAuto1,8)-H55*VLOOKUP(F55,EmAuto1,8)+(C55-D55)*VLOOKUP(0,EmAuto1,8))*IF(UserAdjInputs,1,VLOOKUP(TMSLookup,TMSAdj,9))</f>
        <v>0</v>
      </c>
      <c r="W55" s="515" t="e">
        <f>P55*VLOOKUP(ProjLoc,EmCost,2)/(1+DiscRate)^($B55+Construct-1)</f>
        <v>#N/A</v>
      </c>
      <c r="X55" s="1331" t="e">
        <f>Q55*VLOOKUP(ProjLoc,EmCost,3)*(1+CO2Uprater)^($B55+Construct-1)/(1+DiscRate)^($B55+Construct-1)</f>
        <v>#N/A</v>
      </c>
      <c r="Y55" s="1331" t="e">
        <f>R55*VLOOKUP(ProjLoc,EmCost,4)/(1+DiscRate)^($B55+Construct-1)</f>
        <v>#N/A</v>
      </c>
      <c r="Z55" s="1331" t="e">
        <f>S55*VLOOKUP(ProjLoc,EmCost,5)/(1+DiscRate)^($B55+Construct-1)</f>
        <v>#N/A</v>
      </c>
      <c r="AA55" s="1331" t="e">
        <f>T55*VLOOKUP(ProjLoc,EmCost,6)/(1+DiscRate)^($B55+Construct-1)</f>
        <v>#N/A</v>
      </c>
      <c r="AB55" s="498" t="e">
        <f>U55*VLOOKUP(ProjLoc,EmCost,7)/(1+DiscRate)^($B55+Construct-1)</f>
        <v>#N/A</v>
      </c>
      <c r="AD55" s="327">
        <v>1</v>
      </c>
      <c r="AE55" s="348">
        <f>IF(Bus,TVehMi1NB*(1-TPerPeak),0)</f>
        <v>0</v>
      </c>
      <c r="AF55" s="349">
        <f>IF(Bus,TVehMi1B*(1-TPerPeak),0)</f>
        <v>0</v>
      </c>
      <c r="AG55" s="625">
        <f>IF(Exclusive="Y",IF(FFSpeedNB=0,FFSpeedB,FFSpeedNB),NNS1NB)</f>
        <v>55</v>
      </c>
      <c r="AH55" s="626">
        <f>IF(OR(Exclusive="Y",BRT),FFSpeedB,NNS1B)</f>
        <v>55</v>
      </c>
      <c r="AI55" s="515" t="e">
        <f>AE55*0.00000110231131*(VLOOKUP(AG55,EmBus1,2)*VLOOKUP(ProjLoc,EmCost,2)+VLOOKUP(AG55,EmBus1,3)*VLOOKUP(ProjLoc,EmCost,3)*(1+CO2Uprater)^($AD55+Construct-1)+VLOOKUP(AG55,EmBus1,4)*VLOOKUP(ProjLoc,EmCost,4)+VLOOKUP(AG55,EmBus1,5)*VLOOKUP(ProjLoc,EmCost,5)+VLOOKUP(AG55,EmBus1,6)*VLOOKUP(ProjLoc,EmCost,6)+VLOOKUP(AG55,EmBus1,7)*VLOOKUP(ProjLoc,EmCost,7))</f>
        <v>#N/A</v>
      </c>
      <c r="AJ55" s="498" t="e">
        <f>AF55*0.00000110231131*(VLOOKUP(AH55,EmBus1,2)*VLOOKUP(ProjLoc,EmCost,2)+VLOOKUP(AH55,EmBus1,3)*VLOOKUP(ProjLoc,EmCost,3)*(1+CO2Uprater)^($AD55+Construct-1)+VLOOKUP(AH55,EmBus1,4)*VLOOKUP(ProjLoc,EmCost,4)+VLOOKUP(AH55,EmBus1,5)*VLOOKUP(ProjLoc,EmCost,5)+VLOOKUP(AH55,EmBus1,6)*VLOOKUP(ProjLoc,EmCost,6)+VLOOKUP(AH55,EmBus1,7)*VLOOKUP(ProjLoc,EmCost,7))</f>
        <v>#N/A</v>
      </c>
      <c r="AK55" s="285" t="e">
        <f>AI55-AJ55</f>
        <v>#N/A</v>
      </c>
      <c r="AL55" s="323" t="e">
        <f>$AK55/(1+DiscRate)^($AD55+Construct-1)</f>
        <v>#N/A</v>
      </c>
      <c r="AM55" s="474"/>
      <c r="AN55" s="1036">
        <f>0.00000110231131*(AE55*VLOOKUP(AG55,EmBus1,2)-AF55*VLOOKUP(AH55,EmBus1,2))</f>
        <v>0</v>
      </c>
      <c r="AO55" s="1321">
        <f>0.00000110231131*(AE55*VLOOKUP(AG55,EmBus1,3)-AF55*VLOOKUP(AH55,EmBus1,3))</f>
        <v>0</v>
      </c>
      <c r="AP55" s="1321">
        <f>0.00000110231131*(AE55*VLOOKUP(AG55,EmBus1,4)-AF55*VLOOKUP(AH55,EmBus1,4))</f>
        <v>0</v>
      </c>
      <c r="AQ55" s="1321">
        <f>0.00000110231131*(AE55*VLOOKUP(AG55,EmBus1,5)-AF55*VLOOKUP(AH55,EmBus1,5))</f>
        <v>0</v>
      </c>
      <c r="AR55" s="1321">
        <f>0.00000110231131*(AE55*VLOOKUP(AG55,EmBus1,6)-AF55*VLOOKUP(AH55,EmBus1,6))</f>
        <v>0</v>
      </c>
      <c r="AS55" s="1321">
        <f>0.00000110231131*(AE55*VLOOKUP(AG55,EmBus1,7)-AF55*VLOOKUP(AH55,EmBus1,7))</f>
        <v>0</v>
      </c>
      <c r="AT55" s="1329">
        <f>0.00000110231131*(AE55*VLOOKUP(AG55,EmBus1,8)-AF55*VLOOKUP(AH55,EmBus1,8))</f>
        <v>0</v>
      </c>
      <c r="AU55" s="515" t="e">
        <f>AN55*VLOOKUP(ProjLoc,EmCost,2)/(1+DiscRate)^($AD55+Construct-1)</f>
        <v>#N/A</v>
      </c>
      <c r="AV55" s="1331" t="e">
        <f>AO55*VLOOKUP(ProjLoc,EmCost,3)*(1+CO2Uprater)^($AD55+Construct-1)/(1+DiscRate)^($AD55+Construct-1)</f>
        <v>#N/A</v>
      </c>
      <c r="AW55" s="1331" t="e">
        <f>AP55*VLOOKUP(ProjLoc,EmCost,4)/(1+DiscRate)^($AD55+Construct-1)</f>
        <v>#N/A</v>
      </c>
      <c r="AX55" s="1331" t="e">
        <f>AQ55*VLOOKUP(ProjLoc,EmCost,5)/(1+DiscRate)^($AD55+Construct-1)</f>
        <v>#N/A</v>
      </c>
      <c r="AY55" s="1331" t="e">
        <f>AR55*VLOOKUP(ProjLoc,EmCost,6)/(1+DiscRate)^($AD55+Construct-1)</f>
        <v>#N/A</v>
      </c>
      <c r="AZ55" s="498" t="e">
        <f>AS55*VLOOKUP(ProjLoc,EmCost,7)/(1+DiscRate)^($AD55+Construct-1)</f>
        <v>#N/A</v>
      </c>
    </row>
    <row r="56" spans="2:70" x14ac:dyDescent="0.25">
      <c r="B56" s="328">
        <v>20</v>
      </c>
      <c r="C56" s="353">
        <f>PNV20NB*AnnualFactor</f>
        <v>0</v>
      </c>
      <c r="D56" s="354">
        <f>PNV20B*AnnualFactor</f>
        <v>0</v>
      </c>
      <c r="E56" s="365">
        <f>ROUND(PNS20NB,1)</f>
        <v>55</v>
      </c>
      <c r="F56" s="366">
        <f>ROUND(PNS20B,1)</f>
        <v>55</v>
      </c>
      <c r="G56" s="339">
        <f>ImpactedNB*C56</f>
        <v>0</v>
      </c>
      <c r="H56" s="435">
        <f>ImpactedB*D56</f>
        <v>0</v>
      </c>
      <c r="I56" s="520" t="e">
        <f>G56*0.00000110231131*(VLOOKUP(E56,EmAuto20,2)*VLOOKUP(ProjLoc,EmCost,2)+VLOOKUP(E56,EmAuto20,3)*VLOOKUP(ProjLoc,EmCost,3)*(1+CO2Uprater)^($B56+Construct-1)+VLOOKUP(E56,EmAuto20,4)*VLOOKUP(ProjLoc,EmCost,4)+VLOOKUP(E56,EmAuto20,5)*VLOOKUP(ProjLoc,EmCost,5)+VLOOKUP(E56,EmAuto20,6)*VLOOKUP(ProjLoc,EmCost,6)+VLOOKUP(E56,EmAuto20,7)*VLOOKUP(ProjLoc,EmCost,7))*IF(UserAdjInputs,1,VLOOKUP(TMSLookup,TMSAdj,9))</f>
        <v>#N/A</v>
      </c>
      <c r="J56" s="499" t="e">
        <f>H56*0.00000110231131*(VLOOKUP(F56,EmAuto20,2)*VLOOKUP(ProjLoc,EmCost,2)+VLOOKUP(F56,EmAuto20,3)*VLOOKUP(ProjLoc,EmCost,3)*(1+CO2Uprater)^($B56+Construct-1)+VLOOKUP(F56,EmAuto20,4)*VLOOKUP(ProjLoc,EmCost,4)+VLOOKUP(F56,EmAuto20,5)*VLOOKUP(ProjLoc,EmCost,5)+VLOOKUP(F56,EmAuto20,6)*VLOOKUP(ProjLoc,EmCost,6)+VLOOKUP(F56,EmAuto20,7)*VLOOKUP(ProjLoc,EmCost,7))*IF(UserAdjInputs,1,VLOOKUP(TMSLookup,TMSAdj,9))</f>
        <v>#N/A</v>
      </c>
      <c r="K56" s="520" t="e">
        <f>C56*0.00000110231131*(VLOOKUP(0,EmAuto20,2)*VLOOKUP(ProjLoc,EmCost,2)+VLOOKUP(0,EmAuto20,3)*VLOOKUP(ProjLoc,EmCost,3)*(1+CO2Uprater)^($B56+Construct-1)+VLOOKUP(0,EmAuto20,4)*VLOOKUP(ProjLoc,EmCost,4)+VLOOKUP(0,EmAuto20,5)*VLOOKUP(ProjLoc,EmCost,5)+VLOOKUP(0,EmAuto20,6)*VLOOKUP(ProjLoc,EmCost,6)+VLOOKUP(0,EmAuto20,7)*VLOOKUP(ProjLoc,EmCost,7))*IF(UserAdjInputs,1,VLOOKUP(TMSLookup,TMSAdj,9))</f>
        <v>#N/A</v>
      </c>
      <c r="L56" s="499" t="e">
        <f>D56*0.00000110231131*(VLOOKUP(0,EmAuto20,2)*VLOOKUP(ProjLoc,EmCost,2)+VLOOKUP(0,EmAuto20,3)*VLOOKUP(ProjLoc,EmCost,3)*(1+CO2Uprater)^($B56+Construct-1)+VLOOKUP(0,EmAuto20,4)*VLOOKUP(ProjLoc,EmCost,4)+VLOOKUP(0,EmAuto20,5)*VLOOKUP(ProjLoc,EmCost,5)+VLOOKUP(0,EmAuto20,6)*VLOOKUP(ProjLoc,EmCost,6)+VLOOKUP(0,EmAuto20,7)*VLOOKUP(ProjLoc,EmCost,7))*IF(UserAdjInputs,1,VLOOKUP(TMSLookup,TMSAdj,9))</f>
        <v>#N/A</v>
      </c>
      <c r="M56" s="285" t="e">
        <f>(I56+K56)-(J56+L56)</f>
        <v>#N/A</v>
      </c>
      <c r="N56" s="323" t="e">
        <f>$M56/(1+DiscRate)^($B56+Construct-1)</f>
        <v>#N/A</v>
      </c>
      <c r="O56" s="474"/>
      <c r="P56" s="1037">
        <f>0.00000110231131*(G56*VLOOKUP(E56,EmAuto20,2)-H56*VLOOKUP(F56,EmAuto20,2)+(C56-D56)*VLOOKUP(0,EmAuto20,2))*IF(UserAdjInputs,1,VLOOKUP(TMSLookup,TMSAdj,9))</f>
        <v>0</v>
      </c>
      <c r="Q56" s="1322">
        <f t="shared" ref="Q56" si="93">0.00000110231131*(G56*VLOOKUP(E56,EmAuto20,3)-H56*VLOOKUP(F56,EmAuto20,3)+(C56-D56)*VLOOKUP(0,EmAuto20,3))*IF(UserAdjInputs,1,VLOOKUP(TMSLookup,TMSAdj,9))</f>
        <v>0</v>
      </c>
      <c r="R56" s="1322">
        <f>0.00000110231131*(G56*VLOOKUP(E56,EmAuto20,4)-H56*VLOOKUP(F56,EmAuto20,4)+(C56-D56)*VLOOKUP(0,EmAuto20,4))*IF(UserAdjInputs,1,VLOOKUP(TMSLookup,TMSAdj,9))</f>
        <v>0</v>
      </c>
      <c r="S56" s="1322">
        <f>0.00000110231131*(G56*VLOOKUP(E56,EmAuto20,5)-H56*VLOOKUP(F56,EmAuto20,5)+(C56-D56)*VLOOKUP(0,EmAuto20,5))*IF(UserAdjInputs,1,VLOOKUP(TMSLookup,TMSAdj,9))</f>
        <v>0</v>
      </c>
      <c r="T56" s="1322">
        <f>0.00000110231131*(G56*VLOOKUP(E56,EmAuto20,6)-H56*VLOOKUP(F56,EmAuto20,6)+(C56-D56)*VLOOKUP(0,EmAuto20,6))*IF(UserAdjInputs,1,VLOOKUP(TMSLookup,TMSAdj,9))</f>
        <v>0</v>
      </c>
      <c r="U56" s="1322">
        <f>0.00000110231131*(G56*VLOOKUP(E56,EmAuto20,7)-H56*VLOOKUP(F56,EmAuto20,7)+(C56-D56)*VLOOKUP(0,EmAuto20,7))*IF(UserAdjInputs,1,VLOOKUP(TMSLookup,TMSAdj,9))</f>
        <v>0</v>
      </c>
      <c r="V56" s="1330">
        <f>0.00000110231131*(G56*VLOOKUP(E56,EmAuto20,8)-H56*VLOOKUP(F56,EmAuto20,8)+(C56-D56)*VLOOKUP(0,EmAuto20,8))*IF(UserAdjInputs,1,VLOOKUP(TMSLookup,TMSAdj,9))</f>
        <v>0</v>
      </c>
      <c r="W56" s="520" t="e">
        <f>P56*VLOOKUP(ProjLoc,EmCost,2)/(1+DiscRate)^($B56+Construct-1)</f>
        <v>#N/A</v>
      </c>
      <c r="X56" s="1332" t="e">
        <f>Q56*VLOOKUP(ProjLoc,EmCost,3)*(1+CO2Uprater)^($B56+Construct-1)/(1+DiscRate)^($B56+Construct-1)</f>
        <v>#N/A</v>
      </c>
      <c r="Y56" s="1332" t="e">
        <f>R56*VLOOKUP(ProjLoc,EmCost,4)/(1+DiscRate)^($B56+Construct-1)</f>
        <v>#N/A</v>
      </c>
      <c r="Z56" s="1332" t="e">
        <f>S56*VLOOKUP(ProjLoc,EmCost,5)/(1+DiscRate)^($B56+Construct-1)</f>
        <v>#N/A</v>
      </c>
      <c r="AA56" s="1332" t="e">
        <f>T56*VLOOKUP(ProjLoc,EmCost,6)/(1+DiscRate)^($B56+Construct-1)</f>
        <v>#N/A</v>
      </c>
      <c r="AB56" s="499" t="e">
        <f>U56*VLOOKUP(ProjLoc,EmCost,7)/(1+DiscRate)^($B56+Construct-1)</f>
        <v>#N/A</v>
      </c>
      <c r="AD56" s="328">
        <v>20</v>
      </c>
      <c r="AE56" s="353">
        <f>IF(Bus,TVehMi20NB*(1-TPerPeak),0)</f>
        <v>0</v>
      </c>
      <c r="AF56" s="354">
        <f>IF(Bus,TVehMi20B*(1-TPerPeak),0)</f>
        <v>0</v>
      </c>
      <c r="AG56" s="627">
        <f>IF(Exclusive="Y",IF(FFSpeedNB=0,FFSpeedB,FFSpeedNB),NNS20NB)</f>
        <v>55</v>
      </c>
      <c r="AH56" s="628">
        <f>IF(OR(Exclusive="Y",BRT),FFSpeedB,NNS20B)</f>
        <v>55</v>
      </c>
      <c r="AI56" s="520" t="e">
        <f>AE56*0.00000110231131*(VLOOKUP(AG56,EmBus20,2)*VLOOKUP(ProjLoc,EmCost,2)+VLOOKUP(AG56,EmBus20,3)*VLOOKUP(ProjLoc,EmCost,3)*(1+CO2Uprater)^($AD56+Construct-1)+VLOOKUP(AG56,EmBus20,4)*VLOOKUP(ProjLoc,EmCost,4)+VLOOKUP(AG56,EmBus20,5)*VLOOKUP(ProjLoc,EmCost,5)+VLOOKUP(AG56,EmBus20,6)*VLOOKUP(ProjLoc,EmCost,6)+VLOOKUP(AG56,EmBus20,7)*VLOOKUP(ProjLoc,EmCost,7))</f>
        <v>#N/A</v>
      </c>
      <c r="AJ56" s="499" t="e">
        <f>AF56*0.00000110231131*(VLOOKUP(AH56,EmBus20,2)*VLOOKUP(ProjLoc,EmCost,2)+VLOOKUP(AH56,EmBus20,3)*VLOOKUP(ProjLoc,EmCost,3)*(1+CO2Uprater)^($AD56+Construct-1)+VLOOKUP(AH56,EmBus20,4)*VLOOKUP(ProjLoc,EmCost,4)+VLOOKUP(AH56,EmBus20,5)*VLOOKUP(ProjLoc,EmCost,5)+VLOOKUP(AH56,EmBus20,6)*VLOOKUP(ProjLoc,EmCost,6)+VLOOKUP(AH56,EmBus20,7)*VLOOKUP(ProjLoc,EmCost,7))</f>
        <v>#N/A</v>
      </c>
      <c r="AK56" s="285" t="e">
        <f>AI56-AJ56</f>
        <v>#N/A</v>
      </c>
      <c r="AL56" s="323" t="e">
        <f>$AK56/(1+DiscRate)^($AD56+Construct-1)</f>
        <v>#N/A</v>
      </c>
      <c r="AM56" s="474"/>
      <c r="AN56" s="1037">
        <f>0.00000110231131*(AE56*VLOOKUP(AG56,EmBus20,2)-AF56*VLOOKUP(AH56,EmBus20,2))</f>
        <v>0</v>
      </c>
      <c r="AO56" s="1322">
        <f>0.00000110231131*(AE56*VLOOKUP(AG56,EmBus20,3)-AF56*VLOOKUP(AH56,EmBus20,3))</f>
        <v>0</v>
      </c>
      <c r="AP56" s="1322">
        <f>0.00000110231131*(AE56*VLOOKUP(AG56,EmBus20,4)-AF56*VLOOKUP(AH56,EmBus20,4))</f>
        <v>0</v>
      </c>
      <c r="AQ56" s="1322">
        <f>0.00000110231131*(AE56*VLOOKUP(AG56,EmBus20,5)-AF56*VLOOKUP(AH56,EmBus20,5))</f>
        <v>0</v>
      </c>
      <c r="AR56" s="1322">
        <f>0.00000110231131*(AE56*VLOOKUP(AG56,EmBus20,6)-AF56*VLOOKUP(AH56,EmBus20,6))</f>
        <v>0</v>
      </c>
      <c r="AS56" s="1322">
        <f>0.00000110231131*(AE56*VLOOKUP(AG56,EmBus20,7)-AF56*VLOOKUP(AH56,EmBus20,7))</f>
        <v>0</v>
      </c>
      <c r="AT56" s="1330">
        <f>0.00000110231131*(AE56*VLOOKUP(AG56,EmBus20,8)-AF56*VLOOKUP(AH56,EmBus20,8))</f>
        <v>0</v>
      </c>
      <c r="AU56" s="520" t="e">
        <f>AN56*VLOOKUP(ProjLoc,EmCost,2)/(1+DiscRate)^($AD56+Construct-1)</f>
        <v>#N/A</v>
      </c>
      <c r="AV56" s="1332" t="e">
        <f>AO56*VLOOKUP(ProjLoc,EmCost,3)*(1+CO2Uprater)^($AD56+Construct-1)/(1+DiscRate)^($AD56+Construct-1)</f>
        <v>#N/A</v>
      </c>
      <c r="AW56" s="1332" t="e">
        <f>AP56*VLOOKUP(ProjLoc,EmCost,4)/(1+DiscRate)^($AD56+Construct-1)</f>
        <v>#N/A</v>
      </c>
      <c r="AX56" s="1332" t="e">
        <f>AQ56*VLOOKUP(ProjLoc,EmCost,5)/(1+DiscRate)^($AD56+Construct-1)</f>
        <v>#N/A</v>
      </c>
      <c r="AY56" s="1332" t="e">
        <f>AR56*VLOOKUP(ProjLoc,EmCost,6)/(1+DiscRate)^($AD56+Construct-1)</f>
        <v>#N/A</v>
      </c>
      <c r="AZ56" s="499" t="e">
        <f>AS56*VLOOKUP(ProjLoc,EmCost,7)/(1+DiscRate)^($AD56+Construct-1)</f>
        <v>#N/A</v>
      </c>
    </row>
    <row r="57" spans="2:70" x14ac:dyDescent="0.25">
      <c r="B57" s="357"/>
      <c r="C57" s="355"/>
      <c r="D57" s="355"/>
      <c r="E57" s="367"/>
      <c r="F57" s="367"/>
      <c r="G57" s="356"/>
      <c r="H57" s="356"/>
      <c r="I57" s="356"/>
      <c r="J57" s="356"/>
      <c r="K57" s="356"/>
      <c r="L57" s="356"/>
      <c r="M57" s="356"/>
      <c r="N57" s="358"/>
      <c r="O57" s="475"/>
      <c r="P57" s="358"/>
      <c r="Q57" s="358"/>
      <c r="R57" s="358"/>
      <c r="S57" s="358"/>
      <c r="T57" s="358"/>
      <c r="U57" s="358"/>
      <c r="V57" s="358"/>
      <c r="W57" s="358"/>
      <c r="X57" s="356"/>
      <c r="Y57" s="358"/>
      <c r="Z57" s="358"/>
      <c r="AA57" s="358"/>
      <c r="AB57" s="358"/>
      <c r="AD57" s="357"/>
      <c r="AE57" s="355"/>
      <c r="AF57" s="355"/>
      <c r="AG57" s="367"/>
      <c r="AH57" s="367"/>
      <c r="AI57" s="356"/>
      <c r="AJ57" s="356"/>
      <c r="AK57" s="356"/>
      <c r="AL57" s="358"/>
      <c r="AM57" s="475"/>
      <c r="AN57" s="358"/>
      <c r="AO57" s="358"/>
      <c r="AP57" s="358"/>
      <c r="AQ57" s="358"/>
      <c r="AR57" s="358"/>
      <c r="AS57" s="358"/>
      <c r="AT57" s="358"/>
      <c r="AU57" s="358"/>
      <c r="AV57" s="356"/>
      <c r="AW57" s="358"/>
      <c r="AX57" s="358"/>
      <c r="AY57" s="358"/>
      <c r="AZ57" s="358"/>
    </row>
    <row r="58" spans="2:70" x14ac:dyDescent="0.25">
      <c r="B58" s="352">
        <v>2</v>
      </c>
      <c r="C58" s="368">
        <f>TREND(C55:C56,B55:B56,B58)</f>
        <v>0</v>
      </c>
      <c r="D58" s="369">
        <f>TREND(D55:D56,B55:B56,B58)</f>
        <v>0</v>
      </c>
      <c r="E58" s="370">
        <f>TREND(E55:E56,B55:B56,B58)</f>
        <v>55</v>
      </c>
      <c r="F58" s="371">
        <f>TREND(F55:F56,B55:B56,B58)</f>
        <v>55</v>
      </c>
      <c r="G58" s="339">
        <f t="shared" ref="G58:G75" si="94">ImpactedNB*C58</f>
        <v>0</v>
      </c>
      <c r="H58" s="434">
        <f t="shared" ref="H58:H75" si="95">ImpactedB*D58</f>
        <v>0</v>
      </c>
      <c r="I58" s="515" t="e">
        <f t="shared" ref="I58:J63" si="96">G58*0.00000110231131*(VLOOKUP(E58,EmAuto1,2)*VLOOKUP(ProjLoc,EmCost,2)+VLOOKUP(E58,EmAuto1,3)*VLOOKUP(ProjLoc,EmCost,3)*(1+CO2Uprater)^($B58+Construct-1)+VLOOKUP(E58,EmAuto1,4)*VLOOKUP(ProjLoc,EmCost,4)+VLOOKUP(E58,EmAuto1,5)*VLOOKUP(ProjLoc,EmCost,5)+VLOOKUP(E58,EmAuto1,6)*VLOOKUP(ProjLoc,EmCost,6)+VLOOKUP(E58,EmAuto1,7)*VLOOKUP(ProjLoc,EmCost,7))*IF(UserAdjInputs,1,VLOOKUP(TMSLookup,TMSAdj,9))</f>
        <v>#N/A</v>
      </c>
      <c r="J58" s="498" t="e">
        <f t="shared" si="96"/>
        <v>#N/A</v>
      </c>
      <c r="K58" s="515" t="e">
        <f t="shared" ref="K58:L63" si="97">C58*0.00000110231131*(VLOOKUP(0,EmAuto1,2)*VLOOKUP(ProjLoc,EmCost,2)+VLOOKUP(0,EmAuto1,3)*VLOOKUP(ProjLoc,EmCost,3)*(1+CO2Uprater)^($B58+Construct-1)+VLOOKUP(0,EmAuto1,4)*VLOOKUP(ProjLoc,EmCost,4)+VLOOKUP(0,EmAuto1,5)*VLOOKUP(ProjLoc,EmCost,5)+VLOOKUP(0,EmAuto1,6)*VLOOKUP(ProjLoc,EmCost,6)+VLOOKUP(0,EmAuto1,7)*VLOOKUP(ProjLoc,EmCost,7))*IF(UserAdjInputs,1,VLOOKUP(TMSLookup,TMSAdj,9))</f>
        <v>#N/A</v>
      </c>
      <c r="L58" s="498" t="e">
        <f t="shared" si="97"/>
        <v>#N/A</v>
      </c>
      <c r="M58" s="285" t="e">
        <f>(I58+K58)-(J58+L58)</f>
        <v>#N/A</v>
      </c>
      <c r="N58" s="323" t="e">
        <f t="shared" ref="N58:N75" si="98">$M58/(1+DiscRate)^($B58+Construct-1)</f>
        <v>#N/A</v>
      </c>
      <c r="O58" s="474"/>
      <c r="P58" s="1036">
        <f t="shared" ref="P58:P63" si="99">0.00000110231131*(G58*VLOOKUP(E58,EmAuto1,2)-H58*VLOOKUP(F58,EmAuto1,2)+(C58-D58)*VLOOKUP(0,EmAuto1,2))*IF(UserAdjInputs,1,VLOOKUP(TMSLookup,TMSAdj,9))</f>
        <v>0</v>
      </c>
      <c r="Q58" s="1321">
        <f t="shared" ref="Q58:Q63" si="100">0.00000110231131*(G58*VLOOKUP(E58,EmAuto1,3)-H58*VLOOKUP(F58,EmAuto1,3)+(C58-D58)*VLOOKUP(0,EmAuto1,3))*IF(UserAdjInputs,1,VLOOKUP(TMSLookup,TMSAdj,9))</f>
        <v>0</v>
      </c>
      <c r="R58" s="1321">
        <f t="shared" ref="R58:R63" si="101">0.00000110231131*(G58*VLOOKUP(E58,EmAuto1,4)-H58*VLOOKUP(F58,EmAuto1,4)+(C58-D58)*VLOOKUP(0,EmAuto1,4))*IF(UserAdjInputs,1,VLOOKUP(TMSLookup,TMSAdj,9))</f>
        <v>0</v>
      </c>
      <c r="S58" s="1321">
        <f t="shared" ref="S58:S63" si="102">0.00000110231131*(G58*VLOOKUP(E58,EmAuto1,5)-H58*VLOOKUP(F58,EmAuto1,5)+(C58-D58)*VLOOKUP(0,EmAuto1,5))*IF(UserAdjInputs,1,VLOOKUP(TMSLookup,TMSAdj,9))</f>
        <v>0</v>
      </c>
      <c r="T58" s="1321">
        <f t="shared" ref="T58:T63" si="103">0.00000110231131*(G58*VLOOKUP(E58,EmAuto1,6)-H58*VLOOKUP(F58,EmAuto1,6)+(C58-D58)*VLOOKUP(0,EmAuto1,6))*IF(UserAdjInputs,1,VLOOKUP(TMSLookup,TMSAdj,9))</f>
        <v>0</v>
      </c>
      <c r="U58" s="1321">
        <f t="shared" ref="U58:U63" si="104">0.00000110231131*(G58*VLOOKUP(E58,EmAuto1,7)-H58*VLOOKUP(F58,EmAuto1,7)+(C58-D58)*VLOOKUP(0,EmAuto1,7))*IF(UserAdjInputs,1,VLOOKUP(TMSLookup,TMSAdj,9))</f>
        <v>0</v>
      </c>
      <c r="V58" s="1323">
        <f t="shared" ref="V58:V63" si="105">0.00000110231131*(G58*VLOOKUP(E58,EmAuto1,8)-H58*VLOOKUP(F58,EmAuto1,8)+(C58-D58)*VLOOKUP(0,EmAuto1,8))*IF(UserAdjInputs,1,VLOOKUP(TMSLookup,TMSAdj,9))</f>
        <v>0</v>
      </c>
      <c r="W58" s="515" t="e">
        <f t="shared" ref="W58:W75" si="106">P58*VLOOKUP(ProjLoc,EmCost,2)/(1+DiscRate)^($B58+Construct-1)</f>
        <v>#N/A</v>
      </c>
      <c r="X58" s="1331" t="e">
        <f t="shared" ref="X58:X75" si="107">Q58*VLOOKUP(ProjLoc,EmCost,3)*(1+CO2Uprater)^($B58+Construct-1)/(1+DiscRate)^($B58+Construct-1)</f>
        <v>#N/A</v>
      </c>
      <c r="Y58" s="1331" t="e">
        <f t="shared" ref="Y58:Y75" si="108">R58*VLOOKUP(ProjLoc,EmCost,4)/(1+DiscRate)^($B58+Construct-1)</f>
        <v>#N/A</v>
      </c>
      <c r="Z58" s="1331" t="e">
        <f t="shared" ref="Z58:Z75" si="109">S58*VLOOKUP(ProjLoc,EmCost,5)/(1+DiscRate)^($B58+Construct-1)</f>
        <v>#N/A</v>
      </c>
      <c r="AA58" s="1331" t="e">
        <f t="shared" ref="AA58:AA75" si="110">T58*VLOOKUP(ProjLoc,EmCost,6)/(1+DiscRate)^($B58+Construct-1)</f>
        <v>#N/A</v>
      </c>
      <c r="AB58" s="498" t="e">
        <f t="shared" ref="AB58:AB75" si="111">U58*VLOOKUP(ProjLoc,EmCost,7)/(1+DiscRate)^($B58+Construct-1)</f>
        <v>#N/A</v>
      </c>
      <c r="AD58" s="352">
        <v>2</v>
      </c>
      <c r="AE58" s="368">
        <f>TREND(AE55:AE56,AD55:AD56,AD58)</f>
        <v>0</v>
      </c>
      <c r="AF58" s="629">
        <f>TREND(AF55:AF56,AD55:AD56,AD58)</f>
        <v>0</v>
      </c>
      <c r="AG58" s="632">
        <f>TREND(AG55:AG56,AD55:AD56,AD58)</f>
        <v>55</v>
      </c>
      <c r="AH58" s="371">
        <f>TREND(AH55:AH56,AD55:AD56,AD58)</f>
        <v>55</v>
      </c>
      <c r="AI58" s="515" t="e">
        <f t="shared" ref="AI58:AJ63" si="112">AE58*0.00000110231131*(VLOOKUP(AG58,EmBus1,2)*VLOOKUP(ProjLoc,EmCost,2)+VLOOKUP(AG58,EmBus1,3)*VLOOKUP(ProjLoc,EmCost,3)*(1+CO2Uprater)^($AD58+Construct-1)+VLOOKUP(AG58,EmBus1,4)*VLOOKUP(ProjLoc,EmCost,4)+VLOOKUP(AG58,EmBus1,5)*VLOOKUP(ProjLoc,EmCost,5)+VLOOKUP(AG58,EmBus1,6)*VLOOKUP(ProjLoc,EmCost,6)+VLOOKUP(AG58,EmBus1,7)*VLOOKUP(ProjLoc,EmCost,7))</f>
        <v>#N/A</v>
      </c>
      <c r="AJ58" s="498" t="e">
        <f t="shared" si="112"/>
        <v>#N/A</v>
      </c>
      <c r="AK58" s="285" t="e">
        <f t="shared" ref="AK58:AK75" si="113">AI58-AJ58</f>
        <v>#N/A</v>
      </c>
      <c r="AL58" s="323" t="e">
        <f t="shared" ref="AL58:AL75" si="114">$AK58/(1+DiscRate)^($AD58+Construct-1)</f>
        <v>#N/A</v>
      </c>
      <c r="AM58" s="474"/>
      <c r="AN58" s="1036">
        <f t="shared" ref="AN58:AN63" si="115">0.00000110231131*(AE58*VLOOKUP(AG58,EmBus1,2)-AF58*VLOOKUP(AH58,EmBus1,2))</f>
        <v>0</v>
      </c>
      <c r="AO58" s="1321">
        <f t="shared" ref="AO58:AO63" si="116">0.00000110231131*(AE58*VLOOKUP(AG58,EmBus1,3)-AF58*VLOOKUP(AH58,EmBus1,3))</f>
        <v>0</v>
      </c>
      <c r="AP58" s="1321">
        <f t="shared" ref="AP58:AP63" si="117">0.00000110231131*(AE58*VLOOKUP(AG58,EmBus1,4)-AF58*VLOOKUP(AH58,EmBus1,4))</f>
        <v>0</v>
      </c>
      <c r="AQ58" s="1321">
        <f t="shared" ref="AQ58:AQ63" si="118">0.00000110231131*(AE58*VLOOKUP(AG58,EmBus1,5)-AF58*VLOOKUP(AH58,EmBus1,5))</f>
        <v>0</v>
      </c>
      <c r="AR58" s="1321">
        <f t="shared" ref="AR58:AR63" si="119">0.00000110231131*(AE58*VLOOKUP(AG58,EmBus1,6)-AF58*VLOOKUP(AH58,EmBus1,6))</f>
        <v>0</v>
      </c>
      <c r="AS58" s="1321">
        <f t="shared" ref="AS58:AS63" si="120">0.00000110231131*(AE58*VLOOKUP(AG58,EmBus1,7)-AF58*VLOOKUP(AH58,EmBus1,7))</f>
        <v>0</v>
      </c>
      <c r="AT58" s="1323">
        <f t="shared" ref="AT58:AT63" si="121">0.00000110231131*(AE58*VLOOKUP(AG58,EmBus1,8)-AF58*VLOOKUP(AH58,EmBus1,8))</f>
        <v>0</v>
      </c>
      <c r="AU58" s="515" t="e">
        <f t="shared" ref="AU58:AU75" si="122">AN58*VLOOKUP(ProjLoc,EmCost,2)/(1+DiscRate)^($AD58+Construct-1)</f>
        <v>#N/A</v>
      </c>
      <c r="AV58" s="1331" t="e">
        <f t="shared" ref="AV58:AV75" si="123">AO58*VLOOKUP(ProjLoc,EmCost,3)*(1+CO2Uprater)^($AD58+Construct-1)/(1+DiscRate)^($AD58+Construct-1)</f>
        <v>#N/A</v>
      </c>
      <c r="AW58" s="1331" t="e">
        <f t="shared" ref="AW58:AW75" si="124">AP58*VLOOKUP(ProjLoc,EmCost,4)/(1+DiscRate)^($AD58+Construct-1)</f>
        <v>#N/A</v>
      </c>
      <c r="AX58" s="1331" t="e">
        <f t="shared" ref="AX58:AX75" si="125">AQ58*VLOOKUP(ProjLoc,EmCost,5)/(1+DiscRate)^($AD58+Construct-1)</f>
        <v>#N/A</v>
      </c>
      <c r="AY58" s="1331" t="e">
        <f t="shared" ref="AY58:AY75" si="126">AR58*VLOOKUP(ProjLoc,EmCost,6)/(1+DiscRate)^($AD58+Construct-1)</f>
        <v>#N/A</v>
      </c>
      <c r="AZ58" s="498" t="e">
        <f t="shared" ref="AZ58:AZ75" si="127">AS58*VLOOKUP(ProjLoc,EmCost,7)/(1+DiscRate)^($AD58+Construct-1)</f>
        <v>#N/A</v>
      </c>
    </row>
    <row r="59" spans="2:70" x14ac:dyDescent="0.25">
      <c r="B59" s="327">
        <v>3</v>
      </c>
      <c r="C59" s="347">
        <f>TREND(C55:C56,B55:B56,B59)</f>
        <v>0</v>
      </c>
      <c r="D59" s="372">
        <f>TREND(D55:D56,B55:B56,B59)</f>
        <v>0</v>
      </c>
      <c r="E59" s="373">
        <f>TREND(E55:E56,B55:B56,B59)</f>
        <v>55</v>
      </c>
      <c r="F59" s="374">
        <f>TREND(F55:F56,B55:B56,B59)</f>
        <v>55</v>
      </c>
      <c r="G59" s="339">
        <f t="shared" si="94"/>
        <v>0</v>
      </c>
      <c r="H59" s="436">
        <f t="shared" si="95"/>
        <v>0</v>
      </c>
      <c r="I59" s="521" t="e">
        <f t="shared" si="96"/>
        <v>#N/A</v>
      </c>
      <c r="J59" s="500" t="e">
        <f t="shared" si="96"/>
        <v>#N/A</v>
      </c>
      <c r="K59" s="521" t="e">
        <f t="shared" si="97"/>
        <v>#N/A</v>
      </c>
      <c r="L59" s="500" t="e">
        <f t="shared" si="97"/>
        <v>#N/A</v>
      </c>
      <c r="M59" s="285" t="e">
        <f t="shared" ref="M59:M75" si="128">(I59+K59)-(J59+L59)</f>
        <v>#N/A</v>
      </c>
      <c r="N59" s="323" t="e">
        <f t="shared" si="98"/>
        <v>#N/A</v>
      </c>
      <c r="O59" s="474"/>
      <c r="P59" s="1038">
        <f t="shared" si="99"/>
        <v>0</v>
      </c>
      <c r="Q59" s="1324">
        <f t="shared" si="100"/>
        <v>0</v>
      </c>
      <c r="R59" s="1324">
        <f t="shared" si="101"/>
        <v>0</v>
      </c>
      <c r="S59" s="1324">
        <f t="shared" si="102"/>
        <v>0</v>
      </c>
      <c r="T59" s="1324">
        <f t="shared" si="103"/>
        <v>0</v>
      </c>
      <c r="U59" s="1324">
        <f t="shared" si="104"/>
        <v>0</v>
      </c>
      <c r="V59" s="1325">
        <f t="shared" si="105"/>
        <v>0</v>
      </c>
      <c r="W59" s="521" t="e">
        <f t="shared" si="106"/>
        <v>#N/A</v>
      </c>
      <c r="X59" s="1333" t="e">
        <f t="shared" si="107"/>
        <v>#N/A</v>
      </c>
      <c r="Y59" s="1333" t="e">
        <f t="shared" si="108"/>
        <v>#N/A</v>
      </c>
      <c r="Z59" s="1333" t="e">
        <f t="shared" si="109"/>
        <v>#N/A</v>
      </c>
      <c r="AA59" s="1333" t="e">
        <f t="shared" si="110"/>
        <v>#N/A</v>
      </c>
      <c r="AB59" s="500" t="e">
        <f t="shared" si="111"/>
        <v>#N/A</v>
      </c>
      <c r="AD59" s="327">
        <v>3</v>
      </c>
      <c r="AE59" s="347">
        <f>TREND(AE55:AE56,AD55:AD56,AD59)</f>
        <v>0</v>
      </c>
      <c r="AF59" s="630">
        <f>TREND(AF55:AF56,AD55:AD56,AD59)</f>
        <v>0</v>
      </c>
      <c r="AG59" s="633">
        <f>TREND(AG55:AG56,AD55:AD56,AD59)</f>
        <v>55</v>
      </c>
      <c r="AH59" s="374">
        <f>TREND(AH55:AH56,AD55:AD56,AD59)</f>
        <v>55</v>
      </c>
      <c r="AI59" s="521" t="e">
        <f t="shared" si="112"/>
        <v>#N/A</v>
      </c>
      <c r="AJ59" s="500" t="e">
        <f t="shared" si="112"/>
        <v>#N/A</v>
      </c>
      <c r="AK59" s="285" t="e">
        <f t="shared" si="113"/>
        <v>#N/A</v>
      </c>
      <c r="AL59" s="323" t="e">
        <f t="shared" si="114"/>
        <v>#N/A</v>
      </c>
      <c r="AM59" s="474"/>
      <c r="AN59" s="1038">
        <f t="shared" si="115"/>
        <v>0</v>
      </c>
      <c r="AO59" s="1324">
        <f t="shared" si="116"/>
        <v>0</v>
      </c>
      <c r="AP59" s="1324">
        <f t="shared" si="117"/>
        <v>0</v>
      </c>
      <c r="AQ59" s="1324">
        <f t="shared" si="118"/>
        <v>0</v>
      </c>
      <c r="AR59" s="1324">
        <f t="shared" si="119"/>
        <v>0</v>
      </c>
      <c r="AS59" s="1324">
        <f t="shared" si="120"/>
        <v>0</v>
      </c>
      <c r="AT59" s="1325">
        <f t="shared" si="121"/>
        <v>0</v>
      </c>
      <c r="AU59" s="521" t="e">
        <f t="shared" si="122"/>
        <v>#N/A</v>
      </c>
      <c r="AV59" s="1333" t="e">
        <f t="shared" si="123"/>
        <v>#N/A</v>
      </c>
      <c r="AW59" s="1333" t="e">
        <f t="shared" si="124"/>
        <v>#N/A</v>
      </c>
      <c r="AX59" s="1333" t="e">
        <f t="shared" si="125"/>
        <v>#N/A</v>
      </c>
      <c r="AY59" s="1333" t="e">
        <f t="shared" si="126"/>
        <v>#N/A</v>
      </c>
      <c r="AZ59" s="500" t="e">
        <f t="shared" si="127"/>
        <v>#N/A</v>
      </c>
    </row>
    <row r="60" spans="2:70" x14ac:dyDescent="0.25">
      <c r="B60" s="327">
        <v>4</v>
      </c>
      <c r="C60" s="347">
        <f>TREND(C55:C56,B55:B56,B60)</f>
        <v>0</v>
      </c>
      <c r="D60" s="372">
        <f>TREND(D55:D56,B55:B56,B60)</f>
        <v>0</v>
      </c>
      <c r="E60" s="373">
        <f>TREND(E55:E56,B55:B56,B60)</f>
        <v>55</v>
      </c>
      <c r="F60" s="374">
        <f>TREND(F55:F56,B55:B56,B60)</f>
        <v>55</v>
      </c>
      <c r="G60" s="339">
        <f t="shared" si="94"/>
        <v>0</v>
      </c>
      <c r="H60" s="436">
        <f t="shared" si="95"/>
        <v>0</v>
      </c>
      <c r="I60" s="521" t="e">
        <f t="shared" si="96"/>
        <v>#N/A</v>
      </c>
      <c r="J60" s="500" t="e">
        <f t="shared" si="96"/>
        <v>#N/A</v>
      </c>
      <c r="K60" s="521" t="e">
        <f t="shared" si="97"/>
        <v>#N/A</v>
      </c>
      <c r="L60" s="500" t="e">
        <f t="shared" si="97"/>
        <v>#N/A</v>
      </c>
      <c r="M60" s="285" t="e">
        <f t="shared" si="128"/>
        <v>#N/A</v>
      </c>
      <c r="N60" s="323" t="e">
        <f t="shared" si="98"/>
        <v>#N/A</v>
      </c>
      <c r="O60" s="474"/>
      <c r="P60" s="1038">
        <f t="shared" si="99"/>
        <v>0</v>
      </c>
      <c r="Q60" s="1324">
        <f t="shared" si="100"/>
        <v>0</v>
      </c>
      <c r="R60" s="1324">
        <f t="shared" si="101"/>
        <v>0</v>
      </c>
      <c r="S60" s="1324">
        <f t="shared" si="102"/>
        <v>0</v>
      </c>
      <c r="T60" s="1324">
        <f t="shared" si="103"/>
        <v>0</v>
      </c>
      <c r="U60" s="1324">
        <f t="shared" si="104"/>
        <v>0</v>
      </c>
      <c r="V60" s="1325">
        <f t="shared" si="105"/>
        <v>0</v>
      </c>
      <c r="W60" s="521" t="e">
        <f t="shared" si="106"/>
        <v>#N/A</v>
      </c>
      <c r="X60" s="1333" t="e">
        <f t="shared" si="107"/>
        <v>#N/A</v>
      </c>
      <c r="Y60" s="1333" t="e">
        <f t="shared" si="108"/>
        <v>#N/A</v>
      </c>
      <c r="Z60" s="1333" t="e">
        <f t="shared" si="109"/>
        <v>#N/A</v>
      </c>
      <c r="AA60" s="1333" t="e">
        <f t="shared" si="110"/>
        <v>#N/A</v>
      </c>
      <c r="AB60" s="500" t="e">
        <f t="shared" si="111"/>
        <v>#N/A</v>
      </c>
      <c r="AD60" s="327">
        <v>4</v>
      </c>
      <c r="AE60" s="347">
        <f>TREND(AE55:AE56,AD55:AD56,AD60)</f>
        <v>0</v>
      </c>
      <c r="AF60" s="630">
        <f>TREND(AF55:AF56,AD55:AD56,AD60)</f>
        <v>0</v>
      </c>
      <c r="AG60" s="633">
        <f>TREND(AG55:AG56,AD55:AD56,AD60)</f>
        <v>55</v>
      </c>
      <c r="AH60" s="374">
        <f>TREND(AH55:AH56,AD55:AD56,AD60)</f>
        <v>55</v>
      </c>
      <c r="AI60" s="521" t="e">
        <f t="shared" si="112"/>
        <v>#N/A</v>
      </c>
      <c r="AJ60" s="500" t="e">
        <f t="shared" si="112"/>
        <v>#N/A</v>
      </c>
      <c r="AK60" s="285" t="e">
        <f t="shared" si="113"/>
        <v>#N/A</v>
      </c>
      <c r="AL60" s="323" t="e">
        <f t="shared" si="114"/>
        <v>#N/A</v>
      </c>
      <c r="AM60" s="474"/>
      <c r="AN60" s="1038">
        <f t="shared" si="115"/>
        <v>0</v>
      </c>
      <c r="AO60" s="1324">
        <f t="shared" si="116"/>
        <v>0</v>
      </c>
      <c r="AP60" s="1324">
        <f t="shared" si="117"/>
        <v>0</v>
      </c>
      <c r="AQ60" s="1324">
        <f t="shared" si="118"/>
        <v>0</v>
      </c>
      <c r="AR60" s="1324">
        <f t="shared" si="119"/>
        <v>0</v>
      </c>
      <c r="AS60" s="1324">
        <f t="shared" si="120"/>
        <v>0</v>
      </c>
      <c r="AT60" s="1325">
        <f t="shared" si="121"/>
        <v>0</v>
      </c>
      <c r="AU60" s="521" t="e">
        <f t="shared" si="122"/>
        <v>#N/A</v>
      </c>
      <c r="AV60" s="1333" t="e">
        <f t="shared" si="123"/>
        <v>#N/A</v>
      </c>
      <c r="AW60" s="1333" t="e">
        <f t="shared" si="124"/>
        <v>#N/A</v>
      </c>
      <c r="AX60" s="1333" t="e">
        <f t="shared" si="125"/>
        <v>#N/A</v>
      </c>
      <c r="AY60" s="1333" t="e">
        <f t="shared" si="126"/>
        <v>#N/A</v>
      </c>
      <c r="AZ60" s="500" t="e">
        <f t="shared" si="127"/>
        <v>#N/A</v>
      </c>
    </row>
    <row r="61" spans="2:70" x14ac:dyDescent="0.25">
      <c r="B61" s="327">
        <v>5</v>
      </c>
      <c r="C61" s="347">
        <f>TREND(C55:C56,B55:B56,B61)</f>
        <v>0</v>
      </c>
      <c r="D61" s="372">
        <f>TREND(D55:D56,B55:B56,B61)</f>
        <v>0</v>
      </c>
      <c r="E61" s="373">
        <f>TREND(E55:E56,B55:B56,B61)</f>
        <v>55</v>
      </c>
      <c r="F61" s="374">
        <f>TREND(F55:F56,B55:B56,B61)</f>
        <v>55</v>
      </c>
      <c r="G61" s="339">
        <f t="shared" si="94"/>
        <v>0</v>
      </c>
      <c r="H61" s="436">
        <f t="shared" si="95"/>
        <v>0</v>
      </c>
      <c r="I61" s="521" t="e">
        <f t="shared" si="96"/>
        <v>#N/A</v>
      </c>
      <c r="J61" s="500" t="e">
        <f t="shared" si="96"/>
        <v>#N/A</v>
      </c>
      <c r="K61" s="521" t="e">
        <f t="shared" si="97"/>
        <v>#N/A</v>
      </c>
      <c r="L61" s="500" t="e">
        <f t="shared" si="97"/>
        <v>#N/A</v>
      </c>
      <c r="M61" s="285" t="e">
        <f t="shared" si="128"/>
        <v>#N/A</v>
      </c>
      <c r="N61" s="323" t="e">
        <f t="shared" si="98"/>
        <v>#N/A</v>
      </c>
      <c r="O61" s="474"/>
      <c r="P61" s="1038">
        <f t="shared" si="99"/>
        <v>0</v>
      </c>
      <c r="Q61" s="1324">
        <f t="shared" si="100"/>
        <v>0</v>
      </c>
      <c r="R61" s="1324">
        <f t="shared" si="101"/>
        <v>0</v>
      </c>
      <c r="S61" s="1324">
        <f t="shared" si="102"/>
        <v>0</v>
      </c>
      <c r="T61" s="1324">
        <f t="shared" si="103"/>
        <v>0</v>
      </c>
      <c r="U61" s="1324">
        <f t="shared" si="104"/>
        <v>0</v>
      </c>
      <c r="V61" s="1325">
        <f t="shared" si="105"/>
        <v>0</v>
      </c>
      <c r="W61" s="521" t="e">
        <f t="shared" si="106"/>
        <v>#N/A</v>
      </c>
      <c r="X61" s="1333" t="e">
        <f t="shared" si="107"/>
        <v>#N/A</v>
      </c>
      <c r="Y61" s="1333" t="e">
        <f t="shared" si="108"/>
        <v>#N/A</v>
      </c>
      <c r="Z61" s="1333" t="e">
        <f t="shared" si="109"/>
        <v>#N/A</v>
      </c>
      <c r="AA61" s="1333" t="e">
        <f t="shared" si="110"/>
        <v>#N/A</v>
      </c>
      <c r="AB61" s="500" t="e">
        <f t="shared" si="111"/>
        <v>#N/A</v>
      </c>
      <c r="AD61" s="327">
        <v>5</v>
      </c>
      <c r="AE61" s="347">
        <f>TREND(AE55:AE56,AD55:AD56,AD61)</f>
        <v>0</v>
      </c>
      <c r="AF61" s="630">
        <f>TREND(AF55:AF56,AD55:AD56,AD61)</f>
        <v>0</v>
      </c>
      <c r="AG61" s="633">
        <f>TREND(AG55:AG56,AD55:AD56,AD61)</f>
        <v>55</v>
      </c>
      <c r="AH61" s="374">
        <f>TREND(AH55:AH56,AD55:AD56,AD61)</f>
        <v>55</v>
      </c>
      <c r="AI61" s="521" t="e">
        <f t="shared" si="112"/>
        <v>#N/A</v>
      </c>
      <c r="AJ61" s="500" t="e">
        <f t="shared" si="112"/>
        <v>#N/A</v>
      </c>
      <c r="AK61" s="285" t="e">
        <f t="shared" si="113"/>
        <v>#N/A</v>
      </c>
      <c r="AL61" s="323" t="e">
        <f t="shared" si="114"/>
        <v>#N/A</v>
      </c>
      <c r="AM61" s="474"/>
      <c r="AN61" s="1038">
        <f t="shared" si="115"/>
        <v>0</v>
      </c>
      <c r="AO61" s="1324">
        <f t="shared" si="116"/>
        <v>0</v>
      </c>
      <c r="AP61" s="1324">
        <f t="shared" si="117"/>
        <v>0</v>
      </c>
      <c r="AQ61" s="1324">
        <f t="shared" si="118"/>
        <v>0</v>
      </c>
      <c r="AR61" s="1324">
        <f t="shared" si="119"/>
        <v>0</v>
      </c>
      <c r="AS61" s="1324">
        <f t="shared" si="120"/>
        <v>0</v>
      </c>
      <c r="AT61" s="1325">
        <f t="shared" si="121"/>
        <v>0</v>
      </c>
      <c r="AU61" s="521" t="e">
        <f t="shared" si="122"/>
        <v>#N/A</v>
      </c>
      <c r="AV61" s="1333" t="e">
        <f t="shared" si="123"/>
        <v>#N/A</v>
      </c>
      <c r="AW61" s="1333" t="e">
        <f t="shared" si="124"/>
        <v>#N/A</v>
      </c>
      <c r="AX61" s="1333" t="e">
        <f t="shared" si="125"/>
        <v>#N/A</v>
      </c>
      <c r="AY61" s="1333" t="e">
        <f t="shared" si="126"/>
        <v>#N/A</v>
      </c>
      <c r="AZ61" s="500" t="e">
        <f t="shared" si="127"/>
        <v>#N/A</v>
      </c>
    </row>
    <row r="62" spans="2:70" x14ac:dyDescent="0.25">
      <c r="B62" s="327">
        <v>6</v>
      </c>
      <c r="C62" s="347">
        <f>TREND(C55:C56,B55:B56,B62)</f>
        <v>0</v>
      </c>
      <c r="D62" s="372">
        <f>TREND(D55:D56,B55:B56,B62)</f>
        <v>0</v>
      </c>
      <c r="E62" s="373">
        <f>TREND(E55:E56,B55:B56,B62)</f>
        <v>55</v>
      </c>
      <c r="F62" s="374">
        <f>TREND(F55:F56,B55:B56,B62)</f>
        <v>55</v>
      </c>
      <c r="G62" s="339">
        <f t="shared" si="94"/>
        <v>0</v>
      </c>
      <c r="H62" s="436">
        <f t="shared" si="95"/>
        <v>0</v>
      </c>
      <c r="I62" s="521" t="e">
        <f t="shared" si="96"/>
        <v>#N/A</v>
      </c>
      <c r="J62" s="500" t="e">
        <f t="shared" si="96"/>
        <v>#N/A</v>
      </c>
      <c r="K62" s="521" t="e">
        <f t="shared" si="97"/>
        <v>#N/A</v>
      </c>
      <c r="L62" s="500" t="e">
        <f t="shared" si="97"/>
        <v>#N/A</v>
      </c>
      <c r="M62" s="285" t="e">
        <f t="shared" si="128"/>
        <v>#N/A</v>
      </c>
      <c r="N62" s="323" t="e">
        <f t="shared" si="98"/>
        <v>#N/A</v>
      </c>
      <c r="O62" s="474"/>
      <c r="P62" s="1038">
        <f t="shared" si="99"/>
        <v>0</v>
      </c>
      <c r="Q62" s="1324">
        <f t="shared" si="100"/>
        <v>0</v>
      </c>
      <c r="R62" s="1324">
        <f t="shared" si="101"/>
        <v>0</v>
      </c>
      <c r="S62" s="1324">
        <f t="shared" si="102"/>
        <v>0</v>
      </c>
      <c r="T62" s="1324">
        <f t="shared" si="103"/>
        <v>0</v>
      </c>
      <c r="U62" s="1324">
        <f t="shared" si="104"/>
        <v>0</v>
      </c>
      <c r="V62" s="1325">
        <f t="shared" si="105"/>
        <v>0</v>
      </c>
      <c r="W62" s="521" t="e">
        <f t="shared" si="106"/>
        <v>#N/A</v>
      </c>
      <c r="X62" s="1333" t="e">
        <f t="shared" si="107"/>
        <v>#N/A</v>
      </c>
      <c r="Y62" s="1333" t="e">
        <f t="shared" si="108"/>
        <v>#N/A</v>
      </c>
      <c r="Z62" s="1333" t="e">
        <f t="shared" si="109"/>
        <v>#N/A</v>
      </c>
      <c r="AA62" s="1333" t="e">
        <f t="shared" si="110"/>
        <v>#N/A</v>
      </c>
      <c r="AB62" s="500" t="e">
        <f t="shared" si="111"/>
        <v>#N/A</v>
      </c>
      <c r="AD62" s="327">
        <v>6</v>
      </c>
      <c r="AE62" s="347">
        <f>TREND(AE55:AE56,AD55:AD56,AD62)</f>
        <v>0</v>
      </c>
      <c r="AF62" s="630">
        <f>TREND(AF55:AF56,AD55:AD56,AD62)</f>
        <v>0</v>
      </c>
      <c r="AG62" s="633">
        <f>TREND(AG55:AG56,AD55:AD56,AD62)</f>
        <v>55</v>
      </c>
      <c r="AH62" s="374">
        <f>TREND(AH55:AH56,AD55:AD56,AD62)</f>
        <v>55</v>
      </c>
      <c r="AI62" s="521" t="e">
        <f t="shared" si="112"/>
        <v>#N/A</v>
      </c>
      <c r="AJ62" s="500" t="e">
        <f t="shared" si="112"/>
        <v>#N/A</v>
      </c>
      <c r="AK62" s="285" t="e">
        <f t="shared" si="113"/>
        <v>#N/A</v>
      </c>
      <c r="AL62" s="323" t="e">
        <f t="shared" si="114"/>
        <v>#N/A</v>
      </c>
      <c r="AM62" s="474"/>
      <c r="AN62" s="1038">
        <f t="shared" si="115"/>
        <v>0</v>
      </c>
      <c r="AO62" s="1324">
        <f t="shared" si="116"/>
        <v>0</v>
      </c>
      <c r="AP62" s="1324">
        <f t="shared" si="117"/>
        <v>0</v>
      </c>
      <c r="AQ62" s="1324">
        <f t="shared" si="118"/>
        <v>0</v>
      </c>
      <c r="AR62" s="1324">
        <f t="shared" si="119"/>
        <v>0</v>
      </c>
      <c r="AS62" s="1324">
        <f t="shared" si="120"/>
        <v>0</v>
      </c>
      <c r="AT62" s="1325">
        <f t="shared" si="121"/>
        <v>0</v>
      </c>
      <c r="AU62" s="521" t="e">
        <f t="shared" si="122"/>
        <v>#N/A</v>
      </c>
      <c r="AV62" s="1333" t="e">
        <f t="shared" si="123"/>
        <v>#N/A</v>
      </c>
      <c r="AW62" s="1333" t="e">
        <f t="shared" si="124"/>
        <v>#N/A</v>
      </c>
      <c r="AX62" s="1333" t="e">
        <f t="shared" si="125"/>
        <v>#N/A</v>
      </c>
      <c r="AY62" s="1333" t="e">
        <f t="shared" si="126"/>
        <v>#N/A</v>
      </c>
      <c r="AZ62" s="500" t="e">
        <f t="shared" si="127"/>
        <v>#N/A</v>
      </c>
    </row>
    <row r="63" spans="2:70" x14ac:dyDescent="0.25">
      <c r="B63" s="327">
        <v>7</v>
      </c>
      <c r="C63" s="347">
        <f>TREND(C55:C56,B55:B56,B63)</f>
        <v>0</v>
      </c>
      <c r="D63" s="372">
        <f>TREND(D55:D56,B55:B56,B63)</f>
        <v>0</v>
      </c>
      <c r="E63" s="373">
        <f>TREND(E55:E56,B55:B56,B63)</f>
        <v>55</v>
      </c>
      <c r="F63" s="374">
        <f>TREND(F55:F56,B55:B56,B63)</f>
        <v>55</v>
      </c>
      <c r="G63" s="339">
        <f t="shared" si="94"/>
        <v>0</v>
      </c>
      <c r="H63" s="436">
        <f t="shared" si="95"/>
        <v>0</v>
      </c>
      <c r="I63" s="521" t="e">
        <f t="shared" si="96"/>
        <v>#N/A</v>
      </c>
      <c r="J63" s="500" t="e">
        <f t="shared" si="96"/>
        <v>#N/A</v>
      </c>
      <c r="K63" s="521" t="e">
        <f t="shared" si="97"/>
        <v>#N/A</v>
      </c>
      <c r="L63" s="500" t="e">
        <f t="shared" si="97"/>
        <v>#N/A</v>
      </c>
      <c r="M63" s="285" t="e">
        <f t="shared" si="128"/>
        <v>#N/A</v>
      </c>
      <c r="N63" s="323" t="e">
        <f t="shared" si="98"/>
        <v>#N/A</v>
      </c>
      <c r="O63" s="474"/>
      <c r="P63" s="1038">
        <f t="shared" si="99"/>
        <v>0</v>
      </c>
      <c r="Q63" s="1324">
        <f t="shared" si="100"/>
        <v>0</v>
      </c>
      <c r="R63" s="1324">
        <f t="shared" si="101"/>
        <v>0</v>
      </c>
      <c r="S63" s="1324">
        <f t="shared" si="102"/>
        <v>0</v>
      </c>
      <c r="T63" s="1324">
        <f t="shared" si="103"/>
        <v>0</v>
      </c>
      <c r="U63" s="1324">
        <f t="shared" si="104"/>
        <v>0</v>
      </c>
      <c r="V63" s="1325">
        <f t="shared" si="105"/>
        <v>0</v>
      </c>
      <c r="W63" s="521" t="e">
        <f t="shared" si="106"/>
        <v>#N/A</v>
      </c>
      <c r="X63" s="1333" t="e">
        <f t="shared" si="107"/>
        <v>#N/A</v>
      </c>
      <c r="Y63" s="1333" t="e">
        <f t="shared" si="108"/>
        <v>#N/A</v>
      </c>
      <c r="Z63" s="1333" t="e">
        <f t="shared" si="109"/>
        <v>#N/A</v>
      </c>
      <c r="AA63" s="1333" t="e">
        <f t="shared" si="110"/>
        <v>#N/A</v>
      </c>
      <c r="AB63" s="500" t="e">
        <f t="shared" si="111"/>
        <v>#N/A</v>
      </c>
      <c r="AD63" s="327">
        <v>7</v>
      </c>
      <c r="AE63" s="347">
        <f>TREND(AE55:AE56,AD55:AD56,AD63)</f>
        <v>0</v>
      </c>
      <c r="AF63" s="630">
        <f>TREND(AF55:AF56,AD55:AD56,AD63)</f>
        <v>0</v>
      </c>
      <c r="AG63" s="633">
        <f>TREND(AG55:AG56,AD55:AD56,AD63)</f>
        <v>55</v>
      </c>
      <c r="AH63" s="374">
        <f>TREND(AH55:AH56,AD55:AD56,AD63)</f>
        <v>55</v>
      </c>
      <c r="AI63" s="521" t="e">
        <f t="shared" si="112"/>
        <v>#N/A</v>
      </c>
      <c r="AJ63" s="500" t="e">
        <f t="shared" si="112"/>
        <v>#N/A</v>
      </c>
      <c r="AK63" s="285" t="e">
        <f t="shared" si="113"/>
        <v>#N/A</v>
      </c>
      <c r="AL63" s="323" t="e">
        <f t="shared" si="114"/>
        <v>#N/A</v>
      </c>
      <c r="AM63" s="474"/>
      <c r="AN63" s="1038">
        <f t="shared" si="115"/>
        <v>0</v>
      </c>
      <c r="AO63" s="1324">
        <f t="shared" si="116"/>
        <v>0</v>
      </c>
      <c r="AP63" s="1324">
        <f t="shared" si="117"/>
        <v>0</v>
      </c>
      <c r="AQ63" s="1324">
        <f t="shared" si="118"/>
        <v>0</v>
      </c>
      <c r="AR63" s="1324">
        <f t="shared" si="119"/>
        <v>0</v>
      </c>
      <c r="AS63" s="1324">
        <f t="shared" si="120"/>
        <v>0</v>
      </c>
      <c r="AT63" s="1325">
        <f t="shared" si="121"/>
        <v>0</v>
      </c>
      <c r="AU63" s="521" t="e">
        <f t="shared" si="122"/>
        <v>#N/A</v>
      </c>
      <c r="AV63" s="1333" t="e">
        <f t="shared" si="123"/>
        <v>#N/A</v>
      </c>
      <c r="AW63" s="1333" t="e">
        <f t="shared" si="124"/>
        <v>#N/A</v>
      </c>
      <c r="AX63" s="1333" t="e">
        <f t="shared" si="125"/>
        <v>#N/A</v>
      </c>
      <c r="AY63" s="1333" t="e">
        <f t="shared" si="126"/>
        <v>#N/A</v>
      </c>
      <c r="AZ63" s="500" t="e">
        <f t="shared" si="127"/>
        <v>#N/A</v>
      </c>
    </row>
    <row r="64" spans="2:70" x14ac:dyDescent="0.25">
      <c r="B64" s="327">
        <v>8</v>
      </c>
      <c r="C64" s="347">
        <f>TREND(C55:C56,B55:B56,B64)</f>
        <v>0</v>
      </c>
      <c r="D64" s="372">
        <f>TREND(D55:D56,B55:B56,B64)</f>
        <v>0</v>
      </c>
      <c r="E64" s="373">
        <f>TREND(E55:E56,B55:B56,B64)</f>
        <v>55</v>
      </c>
      <c r="F64" s="374">
        <f>TREND(F55:F56,B55:B56,B64)</f>
        <v>55</v>
      </c>
      <c r="G64" s="339">
        <f t="shared" si="94"/>
        <v>0</v>
      </c>
      <c r="H64" s="436">
        <f t="shared" si="95"/>
        <v>0</v>
      </c>
      <c r="I64" s="521" t="e">
        <f t="shared" ref="I64:I75" si="129">G64*0.00000110231131*(VLOOKUP(E64,EmAuto20,2)*VLOOKUP(ProjLoc,EmCost,2)+VLOOKUP(E64,EmAuto20,3)*VLOOKUP(ProjLoc,EmCost,3)*(1+CO2Uprater)^($B64+Construct-1)+VLOOKUP(E64,EmAuto20,4)*VLOOKUP(ProjLoc,EmCost,4)+VLOOKUP(E64,EmAuto20,5)*VLOOKUP(ProjLoc,EmCost,5)+VLOOKUP(E64,EmAuto20,6)*VLOOKUP(ProjLoc,EmCost,6)+VLOOKUP(E64,EmAuto20,7)*VLOOKUP(ProjLoc,EmCost,7))*IF(UserAdjInputs,1,VLOOKUP(TMSLookup,TMSAdj,9))</f>
        <v>#N/A</v>
      </c>
      <c r="J64" s="500" t="e">
        <f t="shared" ref="J64:J75" si="130">H64*0.00000110231131*(VLOOKUP(F64,EmAuto20,2)*VLOOKUP(ProjLoc,EmCost,2)+VLOOKUP(F64,EmAuto20,3)*VLOOKUP(ProjLoc,EmCost,3)*(1+CO2Uprater)^($B64+Construct-1)+VLOOKUP(F64,EmAuto20,4)*VLOOKUP(ProjLoc,EmCost,4)+VLOOKUP(F64,EmAuto20,5)*VLOOKUP(ProjLoc,EmCost,5)+VLOOKUP(F64,EmAuto20,6)*VLOOKUP(ProjLoc,EmCost,6)+VLOOKUP(F64,EmAuto20,7)*VLOOKUP(ProjLoc,EmCost,7))*IF(UserAdjInputs,1,VLOOKUP(TMSLookup,TMSAdj,9))</f>
        <v>#N/A</v>
      </c>
      <c r="K64" s="521" t="e">
        <f t="shared" ref="K64:K75" si="131">C64*0.00000110231131*(VLOOKUP(0,EmAuto20,2)*VLOOKUP(ProjLoc,EmCost,2)+VLOOKUP(0,EmAuto20,3)*VLOOKUP(ProjLoc,EmCost,3)*(1+CO2Uprater)^($B64+Construct-1)+VLOOKUP(0,EmAuto20,4)*VLOOKUP(ProjLoc,EmCost,4)+VLOOKUP(0,EmAuto20,5)*VLOOKUP(ProjLoc,EmCost,5)+VLOOKUP(0,EmAuto20,6)*VLOOKUP(ProjLoc,EmCost,6)+VLOOKUP(0,EmAuto20,7)*VLOOKUP(ProjLoc,EmCost,7))*IF(UserAdjInputs,1,VLOOKUP(TMSLookup,TMSAdj,9))</f>
        <v>#N/A</v>
      </c>
      <c r="L64" s="500" t="e">
        <f t="shared" ref="L64:L75" si="132">D64*0.00000110231131*(VLOOKUP(0,EmAuto20,2)*VLOOKUP(ProjLoc,EmCost,2)+VLOOKUP(0,EmAuto20,3)*VLOOKUP(ProjLoc,EmCost,3)*(1+CO2Uprater)^($B64+Construct-1)+VLOOKUP(0,EmAuto20,4)*VLOOKUP(ProjLoc,EmCost,4)+VLOOKUP(0,EmAuto20,5)*VLOOKUP(ProjLoc,EmCost,5)+VLOOKUP(0,EmAuto20,6)*VLOOKUP(ProjLoc,EmCost,6)+VLOOKUP(0,EmAuto20,7)*VLOOKUP(ProjLoc,EmCost,7))*IF(UserAdjInputs,1,VLOOKUP(TMSLookup,TMSAdj,9))</f>
        <v>#N/A</v>
      </c>
      <c r="M64" s="285" t="e">
        <f t="shared" si="128"/>
        <v>#N/A</v>
      </c>
      <c r="N64" s="323" t="e">
        <f t="shared" si="98"/>
        <v>#N/A</v>
      </c>
      <c r="O64" s="474"/>
      <c r="P64" s="1038">
        <f t="shared" ref="P64:P75" si="133">0.00000110231131*(G64*VLOOKUP(E64,EmAuto20,2)-H64*VLOOKUP(F64,EmAuto20,2)+(C64-D64)*VLOOKUP(0,EmAuto20,2))*IF(UserAdjInputs,1,VLOOKUP(TMSLookup,TMSAdj,9))</f>
        <v>0</v>
      </c>
      <c r="Q64" s="1324">
        <f t="shared" ref="Q64:Q75" si="134">0.00000110231131*(G64*VLOOKUP(E64,EmAuto20,3)-H64*VLOOKUP(F64,EmAuto20,3)+(C64-D64)*VLOOKUP(0,EmAuto20,3))*IF(UserAdjInputs,1,VLOOKUP(TMSLookup,TMSAdj,9))</f>
        <v>0</v>
      </c>
      <c r="R64" s="1324">
        <f t="shared" ref="R64:R75" si="135">0.00000110231131*(G64*VLOOKUP(E64,EmAuto20,4)-H64*VLOOKUP(F64,EmAuto20,4)+(C64-D64)*VLOOKUP(0,EmAuto20,4))*IF(UserAdjInputs,1,VLOOKUP(TMSLookup,TMSAdj,9))</f>
        <v>0</v>
      </c>
      <c r="S64" s="1324">
        <f t="shared" ref="S64:S75" si="136">0.00000110231131*(G64*VLOOKUP(E64,EmAuto20,5)-H64*VLOOKUP(F64,EmAuto20,5)+(C64-D64)*VLOOKUP(0,EmAuto20,5))*IF(UserAdjInputs,1,VLOOKUP(TMSLookup,TMSAdj,9))</f>
        <v>0</v>
      </c>
      <c r="T64" s="1324">
        <f t="shared" ref="T64:T75" si="137">0.00000110231131*(G64*VLOOKUP(E64,EmAuto20,6)-H64*VLOOKUP(F64,EmAuto20,6)+(C64-D64)*VLOOKUP(0,EmAuto20,6))*IF(UserAdjInputs,1,VLOOKUP(TMSLookup,TMSAdj,9))</f>
        <v>0</v>
      </c>
      <c r="U64" s="1324">
        <f t="shared" ref="U64:U75" si="138">0.00000110231131*(G64*VLOOKUP(E64,EmAuto20,7)-H64*VLOOKUP(F64,EmAuto20,7)+(C64-D64)*VLOOKUP(0,EmAuto20,7))*IF(UserAdjInputs,1,VLOOKUP(TMSLookup,TMSAdj,9))</f>
        <v>0</v>
      </c>
      <c r="V64" s="1325">
        <f t="shared" ref="V64:V75" si="139">0.00000110231131*(G64*VLOOKUP(E64,EmAuto20,8)-H64*VLOOKUP(F64,EmAuto20,8)+(C64-D64)*VLOOKUP(0,EmAuto20,8))*IF(UserAdjInputs,1,VLOOKUP(TMSLookup,TMSAdj,9))</f>
        <v>0</v>
      </c>
      <c r="W64" s="521" t="e">
        <f t="shared" si="106"/>
        <v>#N/A</v>
      </c>
      <c r="X64" s="1333" t="e">
        <f t="shared" si="107"/>
        <v>#N/A</v>
      </c>
      <c r="Y64" s="1333" t="e">
        <f t="shared" si="108"/>
        <v>#N/A</v>
      </c>
      <c r="Z64" s="1333" t="e">
        <f t="shared" si="109"/>
        <v>#N/A</v>
      </c>
      <c r="AA64" s="1333" t="e">
        <f t="shared" si="110"/>
        <v>#N/A</v>
      </c>
      <c r="AB64" s="500" t="e">
        <f t="shared" si="111"/>
        <v>#N/A</v>
      </c>
      <c r="AD64" s="327">
        <v>8</v>
      </c>
      <c r="AE64" s="347">
        <f>TREND(AE55:AE56,AD55:AD56,AD64)</f>
        <v>0</v>
      </c>
      <c r="AF64" s="630">
        <f>TREND(AF55:AF56,AD55:AD56,AD64)</f>
        <v>0</v>
      </c>
      <c r="AG64" s="633">
        <f>TREND(AG55:AG56,AD55:AD56,AD64)</f>
        <v>55</v>
      </c>
      <c r="AH64" s="374">
        <f>TREND(AH55:AH56,AD55:AD56,AD64)</f>
        <v>55</v>
      </c>
      <c r="AI64" s="521" t="e">
        <f t="shared" ref="AI64:AI75" si="140">AE64*0.00000110231131*(VLOOKUP(AG64,EmBus20,2)*VLOOKUP(ProjLoc,EmCost,2)+VLOOKUP(AG64,EmBus20,3)*VLOOKUP(ProjLoc,EmCost,3)*(1+CO2Uprater)^($AD64+Construct-1)+VLOOKUP(AG64,EmBus20,4)*VLOOKUP(ProjLoc,EmCost,4)+VLOOKUP(AG64,EmBus20,5)*VLOOKUP(ProjLoc,EmCost,5)+VLOOKUP(AG64,EmBus20,6)*VLOOKUP(ProjLoc,EmCost,6)+VLOOKUP(AG64,EmBus20,7)*VLOOKUP(ProjLoc,EmCost,7))</f>
        <v>#N/A</v>
      </c>
      <c r="AJ64" s="500" t="e">
        <f t="shared" ref="AJ64:AJ75" si="141">AF64*0.00000110231131*(VLOOKUP(AH64,EmBus20,2)*VLOOKUP(ProjLoc,EmCost,2)+VLOOKUP(AH64,EmBus20,3)*VLOOKUP(ProjLoc,EmCost,3)*(1+CO2Uprater)^($AD64+Construct-1)+VLOOKUP(AH64,EmBus20,4)*VLOOKUP(ProjLoc,EmCost,4)+VLOOKUP(AH64,EmBus20,5)*VLOOKUP(ProjLoc,EmCost,5)+VLOOKUP(AH64,EmBus20,6)*VLOOKUP(ProjLoc,EmCost,6)+VLOOKUP(AH64,EmBus20,7)*VLOOKUP(ProjLoc,EmCost,7))</f>
        <v>#N/A</v>
      </c>
      <c r="AK64" s="285" t="e">
        <f t="shared" si="113"/>
        <v>#N/A</v>
      </c>
      <c r="AL64" s="323" t="e">
        <f t="shared" si="114"/>
        <v>#N/A</v>
      </c>
      <c r="AM64" s="474"/>
      <c r="AN64" s="1038">
        <f t="shared" ref="AN64:AN75" si="142">0.00000110231131*(AE64*VLOOKUP(AG64,EmBus20,2)-AF64*VLOOKUP(AH64,EmBus20,2))</f>
        <v>0</v>
      </c>
      <c r="AO64" s="1324">
        <f t="shared" ref="AO64:AO75" si="143">0.00000110231131*(AE64*VLOOKUP(AG64,EmBus20,3)-AF64*VLOOKUP(AH64,EmBus20,3))</f>
        <v>0</v>
      </c>
      <c r="AP64" s="1324">
        <f t="shared" ref="AP64:AP75" si="144">0.00000110231131*(AE64*VLOOKUP(AG64,EmBus20,4)-AF64*VLOOKUP(AH64,EmBus20,4))</f>
        <v>0</v>
      </c>
      <c r="AQ64" s="1324">
        <f t="shared" ref="AQ64:AQ75" si="145">0.00000110231131*(AE64*VLOOKUP(AG64,EmBus20,5)-AF64*VLOOKUP(AH64,EmBus20,5))</f>
        <v>0</v>
      </c>
      <c r="AR64" s="1324">
        <f t="shared" ref="AR64:AR75" si="146">0.00000110231131*(AE64*VLOOKUP(AG64,EmBus20,6)-AF64*VLOOKUP(AH64,EmBus20,6))</f>
        <v>0</v>
      </c>
      <c r="AS64" s="1324">
        <f t="shared" ref="AS64:AS75" si="147">0.00000110231131*(AE64*VLOOKUP(AG64,EmBus20,7)-AF64*VLOOKUP(AH64,EmBus20,7))</f>
        <v>0</v>
      </c>
      <c r="AT64" s="1325">
        <f t="shared" ref="AT64:AT75" si="148">0.00000110231131*(AE64*VLOOKUP(AG64,EmBus20,8)-AF64*VLOOKUP(AH64,EmBus20,8))</f>
        <v>0</v>
      </c>
      <c r="AU64" s="521" t="e">
        <f t="shared" si="122"/>
        <v>#N/A</v>
      </c>
      <c r="AV64" s="1333" t="e">
        <f t="shared" si="123"/>
        <v>#N/A</v>
      </c>
      <c r="AW64" s="1333" t="e">
        <f t="shared" si="124"/>
        <v>#N/A</v>
      </c>
      <c r="AX64" s="1333" t="e">
        <f t="shared" si="125"/>
        <v>#N/A</v>
      </c>
      <c r="AY64" s="1333" t="e">
        <f t="shared" si="126"/>
        <v>#N/A</v>
      </c>
      <c r="AZ64" s="500" t="e">
        <f t="shared" si="127"/>
        <v>#N/A</v>
      </c>
    </row>
    <row r="65" spans="2:52" x14ac:dyDescent="0.25">
      <c r="B65" s="327">
        <v>9</v>
      </c>
      <c r="C65" s="347">
        <f>TREND(C55:C56,B55:B56,B65)</f>
        <v>0</v>
      </c>
      <c r="D65" s="372">
        <f>TREND(D55:D56,B55:B56,B65)</f>
        <v>0</v>
      </c>
      <c r="E65" s="373">
        <f>TREND(E55:E56,B55:B56,B65)</f>
        <v>55</v>
      </c>
      <c r="F65" s="374">
        <f>TREND(F55:F56,B55:B56,B65)</f>
        <v>55</v>
      </c>
      <c r="G65" s="339">
        <f t="shared" si="94"/>
        <v>0</v>
      </c>
      <c r="H65" s="436">
        <f t="shared" si="95"/>
        <v>0</v>
      </c>
      <c r="I65" s="521" t="e">
        <f t="shared" si="129"/>
        <v>#N/A</v>
      </c>
      <c r="J65" s="500" t="e">
        <f t="shared" si="130"/>
        <v>#N/A</v>
      </c>
      <c r="K65" s="521" t="e">
        <f t="shared" si="131"/>
        <v>#N/A</v>
      </c>
      <c r="L65" s="500" t="e">
        <f t="shared" si="132"/>
        <v>#N/A</v>
      </c>
      <c r="M65" s="285" t="e">
        <f t="shared" si="128"/>
        <v>#N/A</v>
      </c>
      <c r="N65" s="323" t="e">
        <f t="shared" si="98"/>
        <v>#N/A</v>
      </c>
      <c r="O65" s="474"/>
      <c r="P65" s="1038">
        <f t="shared" si="133"/>
        <v>0</v>
      </c>
      <c r="Q65" s="1324">
        <f t="shared" si="134"/>
        <v>0</v>
      </c>
      <c r="R65" s="1324">
        <f t="shared" si="135"/>
        <v>0</v>
      </c>
      <c r="S65" s="1324">
        <f t="shared" si="136"/>
        <v>0</v>
      </c>
      <c r="T65" s="1324">
        <f t="shared" si="137"/>
        <v>0</v>
      </c>
      <c r="U65" s="1324">
        <f t="shared" si="138"/>
        <v>0</v>
      </c>
      <c r="V65" s="1325">
        <f t="shared" si="139"/>
        <v>0</v>
      </c>
      <c r="W65" s="521" t="e">
        <f t="shared" si="106"/>
        <v>#N/A</v>
      </c>
      <c r="X65" s="1333" t="e">
        <f t="shared" si="107"/>
        <v>#N/A</v>
      </c>
      <c r="Y65" s="1333" t="e">
        <f t="shared" si="108"/>
        <v>#N/A</v>
      </c>
      <c r="Z65" s="1333" t="e">
        <f t="shared" si="109"/>
        <v>#N/A</v>
      </c>
      <c r="AA65" s="1333" t="e">
        <f t="shared" si="110"/>
        <v>#N/A</v>
      </c>
      <c r="AB65" s="500" t="e">
        <f t="shared" si="111"/>
        <v>#N/A</v>
      </c>
      <c r="AD65" s="327">
        <v>9</v>
      </c>
      <c r="AE65" s="347">
        <f>TREND(AE55:AE56,AD55:AD56,AD65)</f>
        <v>0</v>
      </c>
      <c r="AF65" s="630">
        <f>TREND(AF55:AF56,AD55:AD56,AD65)</f>
        <v>0</v>
      </c>
      <c r="AG65" s="633">
        <f>TREND(AG55:AG56,AD55:AD56,AD65)</f>
        <v>55</v>
      </c>
      <c r="AH65" s="374">
        <f>TREND(AH55:AH56,AD55:AD56,AD65)</f>
        <v>55</v>
      </c>
      <c r="AI65" s="521" t="e">
        <f t="shared" si="140"/>
        <v>#N/A</v>
      </c>
      <c r="AJ65" s="500" t="e">
        <f t="shared" si="141"/>
        <v>#N/A</v>
      </c>
      <c r="AK65" s="285" t="e">
        <f t="shared" si="113"/>
        <v>#N/A</v>
      </c>
      <c r="AL65" s="323" t="e">
        <f t="shared" si="114"/>
        <v>#N/A</v>
      </c>
      <c r="AM65" s="474"/>
      <c r="AN65" s="1038">
        <f t="shared" si="142"/>
        <v>0</v>
      </c>
      <c r="AO65" s="1324">
        <f t="shared" si="143"/>
        <v>0</v>
      </c>
      <c r="AP65" s="1324">
        <f t="shared" si="144"/>
        <v>0</v>
      </c>
      <c r="AQ65" s="1324">
        <f t="shared" si="145"/>
        <v>0</v>
      </c>
      <c r="AR65" s="1324">
        <f t="shared" si="146"/>
        <v>0</v>
      </c>
      <c r="AS65" s="1324">
        <f t="shared" si="147"/>
        <v>0</v>
      </c>
      <c r="AT65" s="1325">
        <f t="shared" si="148"/>
        <v>0</v>
      </c>
      <c r="AU65" s="521" t="e">
        <f t="shared" si="122"/>
        <v>#N/A</v>
      </c>
      <c r="AV65" s="1333" t="e">
        <f t="shared" si="123"/>
        <v>#N/A</v>
      </c>
      <c r="AW65" s="1333" t="e">
        <f t="shared" si="124"/>
        <v>#N/A</v>
      </c>
      <c r="AX65" s="1333" t="e">
        <f t="shared" si="125"/>
        <v>#N/A</v>
      </c>
      <c r="AY65" s="1333" t="e">
        <f t="shared" si="126"/>
        <v>#N/A</v>
      </c>
      <c r="AZ65" s="500" t="e">
        <f t="shared" si="127"/>
        <v>#N/A</v>
      </c>
    </row>
    <row r="66" spans="2:52" x14ac:dyDescent="0.25">
      <c r="B66" s="327">
        <v>10</v>
      </c>
      <c r="C66" s="347">
        <f>TREND(C55:C56,B55:B56,B66)</f>
        <v>0</v>
      </c>
      <c r="D66" s="372">
        <f>TREND(D55:D56,B55:B56,B66)</f>
        <v>0</v>
      </c>
      <c r="E66" s="373">
        <f>TREND(E55:E56,B55:B56,B66)</f>
        <v>55</v>
      </c>
      <c r="F66" s="374">
        <f>TREND(F55:F56,B55:B56,B66)</f>
        <v>55</v>
      </c>
      <c r="G66" s="339">
        <f t="shared" si="94"/>
        <v>0</v>
      </c>
      <c r="H66" s="436">
        <f t="shared" si="95"/>
        <v>0</v>
      </c>
      <c r="I66" s="521" t="e">
        <f t="shared" si="129"/>
        <v>#N/A</v>
      </c>
      <c r="J66" s="500" t="e">
        <f t="shared" si="130"/>
        <v>#N/A</v>
      </c>
      <c r="K66" s="521" t="e">
        <f t="shared" si="131"/>
        <v>#N/A</v>
      </c>
      <c r="L66" s="500" t="e">
        <f t="shared" si="132"/>
        <v>#N/A</v>
      </c>
      <c r="M66" s="285" t="e">
        <f t="shared" si="128"/>
        <v>#N/A</v>
      </c>
      <c r="N66" s="323" t="e">
        <f t="shared" si="98"/>
        <v>#N/A</v>
      </c>
      <c r="O66" s="474"/>
      <c r="P66" s="1038">
        <f t="shared" si="133"/>
        <v>0</v>
      </c>
      <c r="Q66" s="1324">
        <f t="shared" si="134"/>
        <v>0</v>
      </c>
      <c r="R66" s="1324">
        <f t="shared" si="135"/>
        <v>0</v>
      </c>
      <c r="S66" s="1324">
        <f t="shared" si="136"/>
        <v>0</v>
      </c>
      <c r="T66" s="1324">
        <f t="shared" si="137"/>
        <v>0</v>
      </c>
      <c r="U66" s="1324">
        <f t="shared" si="138"/>
        <v>0</v>
      </c>
      <c r="V66" s="1325">
        <f t="shared" si="139"/>
        <v>0</v>
      </c>
      <c r="W66" s="521" t="e">
        <f t="shared" si="106"/>
        <v>#N/A</v>
      </c>
      <c r="X66" s="1333" t="e">
        <f t="shared" si="107"/>
        <v>#N/A</v>
      </c>
      <c r="Y66" s="1333" t="e">
        <f t="shared" si="108"/>
        <v>#N/A</v>
      </c>
      <c r="Z66" s="1333" t="e">
        <f t="shared" si="109"/>
        <v>#N/A</v>
      </c>
      <c r="AA66" s="1333" t="e">
        <f t="shared" si="110"/>
        <v>#N/A</v>
      </c>
      <c r="AB66" s="500" t="e">
        <f t="shared" si="111"/>
        <v>#N/A</v>
      </c>
      <c r="AD66" s="327">
        <v>10</v>
      </c>
      <c r="AE66" s="347">
        <f>TREND(AE55:AE56,AD55:AD56,AD66)</f>
        <v>0</v>
      </c>
      <c r="AF66" s="630">
        <f>TREND(AF55:AF56,AD55:AD56,AD66)</f>
        <v>0</v>
      </c>
      <c r="AG66" s="633">
        <f>TREND(AG55:AG56,AD55:AD56,AD66)</f>
        <v>55</v>
      </c>
      <c r="AH66" s="374">
        <f>TREND(AH55:AH56,AD55:AD56,AD66)</f>
        <v>55</v>
      </c>
      <c r="AI66" s="521" t="e">
        <f t="shared" si="140"/>
        <v>#N/A</v>
      </c>
      <c r="AJ66" s="500" t="e">
        <f t="shared" si="141"/>
        <v>#N/A</v>
      </c>
      <c r="AK66" s="285" t="e">
        <f t="shared" si="113"/>
        <v>#N/A</v>
      </c>
      <c r="AL66" s="323" t="e">
        <f t="shared" si="114"/>
        <v>#N/A</v>
      </c>
      <c r="AM66" s="474"/>
      <c r="AN66" s="1038">
        <f t="shared" si="142"/>
        <v>0</v>
      </c>
      <c r="AO66" s="1324">
        <f t="shared" si="143"/>
        <v>0</v>
      </c>
      <c r="AP66" s="1324">
        <f t="shared" si="144"/>
        <v>0</v>
      </c>
      <c r="AQ66" s="1324">
        <f t="shared" si="145"/>
        <v>0</v>
      </c>
      <c r="AR66" s="1324">
        <f t="shared" si="146"/>
        <v>0</v>
      </c>
      <c r="AS66" s="1324">
        <f t="shared" si="147"/>
        <v>0</v>
      </c>
      <c r="AT66" s="1325">
        <f t="shared" si="148"/>
        <v>0</v>
      </c>
      <c r="AU66" s="521" t="e">
        <f t="shared" si="122"/>
        <v>#N/A</v>
      </c>
      <c r="AV66" s="1333" t="e">
        <f t="shared" si="123"/>
        <v>#N/A</v>
      </c>
      <c r="AW66" s="1333" t="e">
        <f t="shared" si="124"/>
        <v>#N/A</v>
      </c>
      <c r="AX66" s="1333" t="e">
        <f t="shared" si="125"/>
        <v>#N/A</v>
      </c>
      <c r="AY66" s="1333" t="e">
        <f t="shared" si="126"/>
        <v>#N/A</v>
      </c>
      <c r="AZ66" s="500" t="e">
        <f t="shared" si="127"/>
        <v>#N/A</v>
      </c>
    </row>
    <row r="67" spans="2:52" x14ac:dyDescent="0.25">
      <c r="B67" s="327">
        <v>11</v>
      </c>
      <c r="C67" s="347">
        <f>TREND(C55:C56,B55:B56,B67)</f>
        <v>0</v>
      </c>
      <c r="D67" s="372">
        <f>TREND(D55:D56,B55:B56,B67)</f>
        <v>0</v>
      </c>
      <c r="E67" s="373">
        <f>TREND(E55:E56,B55:B56,B67)</f>
        <v>55</v>
      </c>
      <c r="F67" s="374">
        <f>TREND(F55:F56,B55:B56,B67)</f>
        <v>55</v>
      </c>
      <c r="G67" s="339">
        <f t="shared" si="94"/>
        <v>0</v>
      </c>
      <c r="H67" s="436">
        <f t="shared" si="95"/>
        <v>0</v>
      </c>
      <c r="I67" s="521" t="e">
        <f t="shared" si="129"/>
        <v>#N/A</v>
      </c>
      <c r="J67" s="500" t="e">
        <f t="shared" si="130"/>
        <v>#N/A</v>
      </c>
      <c r="K67" s="521" t="e">
        <f t="shared" si="131"/>
        <v>#N/A</v>
      </c>
      <c r="L67" s="500" t="e">
        <f t="shared" si="132"/>
        <v>#N/A</v>
      </c>
      <c r="M67" s="285" t="e">
        <f t="shared" si="128"/>
        <v>#N/A</v>
      </c>
      <c r="N67" s="323" t="e">
        <f t="shared" si="98"/>
        <v>#N/A</v>
      </c>
      <c r="O67" s="474"/>
      <c r="P67" s="1038">
        <f t="shared" si="133"/>
        <v>0</v>
      </c>
      <c r="Q67" s="1324">
        <f t="shared" si="134"/>
        <v>0</v>
      </c>
      <c r="R67" s="1324">
        <f t="shared" si="135"/>
        <v>0</v>
      </c>
      <c r="S67" s="1324">
        <f t="shared" si="136"/>
        <v>0</v>
      </c>
      <c r="T67" s="1324">
        <f t="shared" si="137"/>
        <v>0</v>
      </c>
      <c r="U67" s="1324">
        <f t="shared" si="138"/>
        <v>0</v>
      </c>
      <c r="V67" s="1325">
        <f t="shared" si="139"/>
        <v>0</v>
      </c>
      <c r="W67" s="521" t="e">
        <f t="shared" si="106"/>
        <v>#N/A</v>
      </c>
      <c r="X67" s="1333" t="e">
        <f t="shared" si="107"/>
        <v>#N/A</v>
      </c>
      <c r="Y67" s="1333" t="e">
        <f t="shared" si="108"/>
        <v>#N/A</v>
      </c>
      <c r="Z67" s="1333" t="e">
        <f t="shared" si="109"/>
        <v>#N/A</v>
      </c>
      <c r="AA67" s="1333" t="e">
        <f t="shared" si="110"/>
        <v>#N/A</v>
      </c>
      <c r="AB67" s="500" t="e">
        <f t="shared" si="111"/>
        <v>#N/A</v>
      </c>
      <c r="AD67" s="327">
        <v>11</v>
      </c>
      <c r="AE67" s="347">
        <f>TREND(AE55:AE56,AD55:AD56,AD67)</f>
        <v>0</v>
      </c>
      <c r="AF67" s="630">
        <f>TREND(AF55:AF56,AD55:AD56,AD67)</f>
        <v>0</v>
      </c>
      <c r="AG67" s="633">
        <f>TREND(AG55:AG56,AD55:AD56,AD67)</f>
        <v>55</v>
      </c>
      <c r="AH67" s="374">
        <f>TREND(AH55:AH56,AD55:AD56,AD67)</f>
        <v>55</v>
      </c>
      <c r="AI67" s="521" t="e">
        <f t="shared" si="140"/>
        <v>#N/A</v>
      </c>
      <c r="AJ67" s="500" t="e">
        <f t="shared" si="141"/>
        <v>#N/A</v>
      </c>
      <c r="AK67" s="285" t="e">
        <f t="shared" si="113"/>
        <v>#N/A</v>
      </c>
      <c r="AL67" s="323" t="e">
        <f t="shared" si="114"/>
        <v>#N/A</v>
      </c>
      <c r="AM67" s="474"/>
      <c r="AN67" s="1038">
        <f t="shared" si="142"/>
        <v>0</v>
      </c>
      <c r="AO67" s="1324">
        <f t="shared" si="143"/>
        <v>0</v>
      </c>
      <c r="AP67" s="1324">
        <f t="shared" si="144"/>
        <v>0</v>
      </c>
      <c r="AQ67" s="1324">
        <f t="shared" si="145"/>
        <v>0</v>
      </c>
      <c r="AR67" s="1324">
        <f t="shared" si="146"/>
        <v>0</v>
      </c>
      <c r="AS67" s="1324">
        <f t="shared" si="147"/>
        <v>0</v>
      </c>
      <c r="AT67" s="1325">
        <f t="shared" si="148"/>
        <v>0</v>
      </c>
      <c r="AU67" s="521" t="e">
        <f t="shared" si="122"/>
        <v>#N/A</v>
      </c>
      <c r="AV67" s="1333" t="e">
        <f t="shared" si="123"/>
        <v>#N/A</v>
      </c>
      <c r="AW67" s="1333" t="e">
        <f t="shared" si="124"/>
        <v>#N/A</v>
      </c>
      <c r="AX67" s="1333" t="e">
        <f t="shared" si="125"/>
        <v>#N/A</v>
      </c>
      <c r="AY67" s="1333" t="e">
        <f t="shared" si="126"/>
        <v>#N/A</v>
      </c>
      <c r="AZ67" s="500" t="e">
        <f t="shared" si="127"/>
        <v>#N/A</v>
      </c>
    </row>
    <row r="68" spans="2:52" x14ac:dyDescent="0.25">
      <c r="B68" s="327">
        <v>12</v>
      </c>
      <c r="C68" s="347">
        <f>TREND(C55:C56,B55:B56,B68)</f>
        <v>0</v>
      </c>
      <c r="D68" s="372">
        <f>TREND(D55:D56,B55:B56,B68)</f>
        <v>0</v>
      </c>
      <c r="E68" s="373">
        <f>TREND(E55:E56,B55:B56,B68)</f>
        <v>55</v>
      </c>
      <c r="F68" s="374">
        <f>TREND(F55:F56,B55:B56,B68)</f>
        <v>55</v>
      </c>
      <c r="G68" s="339">
        <f t="shared" si="94"/>
        <v>0</v>
      </c>
      <c r="H68" s="436">
        <f t="shared" si="95"/>
        <v>0</v>
      </c>
      <c r="I68" s="521" t="e">
        <f t="shared" si="129"/>
        <v>#N/A</v>
      </c>
      <c r="J68" s="500" t="e">
        <f t="shared" si="130"/>
        <v>#N/A</v>
      </c>
      <c r="K68" s="521" t="e">
        <f t="shared" si="131"/>
        <v>#N/A</v>
      </c>
      <c r="L68" s="500" t="e">
        <f t="shared" si="132"/>
        <v>#N/A</v>
      </c>
      <c r="M68" s="285" t="e">
        <f t="shared" si="128"/>
        <v>#N/A</v>
      </c>
      <c r="N68" s="323" t="e">
        <f t="shared" si="98"/>
        <v>#N/A</v>
      </c>
      <c r="O68" s="474"/>
      <c r="P68" s="1038">
        <f t="shared" si="133"/>
        <v>0</v>
      </c>
      <c r="Q68" s="1324">
        <f t="shared" si="134"/>
        <v>0</v>
      </c>
      <c r="R68" s="1324">
        <f t="shared" si="135"/>
        <v>0</v>
      </c>
      <c r="S68" s="1324">
        <f t="shared" si="136"/>
        <v>0</v>
      </c>
      <c r="T68" s="1324">
        <f t="shared" si="137"/>
        <v>0</v>
      </c>
      <c r="U68" s="1324">
        <f t="shared" si="138"/>
        <v>0</v>
      </c>
      <c r="V68" s="1325">
        <f t="shared" si="139"/>
        <v>0</v>
      </c>
      <c r="W68" s="521" t="e">
        <f t="shared" si="106"/>
        <v>#N/A</v>
      </c>
      <c r="X68" s="1333" t="e">
        <f t="shared" si="107"/>
        <v>#N/A</v>
      </c>
      <c r="Y68" s="1333" t="e">
        <f t="shared" si="108"/>
        <v>#N/A</v>
      </c>
      <c r="Z68" s="1333" t="e">
        <f t="shared" si="109"/>
        <v>#N/A</v>
      </c>
      <c r="AA68" s="1333" t="e">
        <f t="shared" si="110"/>
        <v>#N/A</v>
      </c>
      <c r="AB68" s="500" t="e">
        <f t="shared" si="111"/>
        <v>#N/A</v>
      </c>
      <c r="AD68" s="327">
        <v>12</v>
      </c>
      <c r="AE68" s="347">
        <f>TREND(AE55:AE56,AD55:AD56,AD68)</f>
        <v>0</v>
      </c>
      <c r="AF68" s="630">
        <f>TREND(AF55:AF56,AD55:AD56,AD68)</f>
        <v>0</v>
      </c>
      <c r="AG68" s="633">
        <f>TREND(AG55:AG56,AD55:AD56,AD68)</f>
        <v>55</v>
      </c>
      <c r="AH68" s="374">
        <f>TREND(AH55:AH56,AD55:AD56,AD68)</f>
        <v>55</v>
      </c>
      <c r="AI68" s="521" t="e">
        <f t="shared" si="140"/>
        <v>#N/A</v>
      </c>
      <c r="AJ68" s="500" t="e">
        <f t="shared" si="141"/>
        <v>#N/A</v>
      </c>
      <c r="AK68" s="285" t="e">
        <f t="shared" si="113"/>
        <v>#N/A</v>
      </c>
      <c r="AL68" s="323" t="e">
        <f t="shared" si="114"/>
        <v>#N/A</v>
      </c>
      <c r="AM68" s="474"/>
      <c r="AN68" s="1038">
        <f t="shared" si="142"/>
        <v>0</v>
      </c>
      <c r="AO68" s="1324">
        <f t="shared" si="143"/>
        <v>0</v>
      </c>
      <c r="AP68" s="1324">
        <f t="shared" si="144"/>
        <v>0</v>
      </c>
      <c r="AQ68" s="1324">
        <f t="shared" si="145"/>
        <v>0</v>
      </c>
      <c r="AR68" s="1324">
        <f t="shared" si="146"/>
        <v>0</v>
      </c>
      <c r="AS68" s="1324">
        <f t="shared" si="147"/>
        <v>0</v>
      </c>
      <c r="AT68" s="1325">
        <f t="shared" si="148"/>
        <v>0</v>
      </c>
      <c r="AU68" s="521" t="e">
        <f t="shared" si="122"/>
        <v>#N/A</v>
      </c>
      <c r="AV68" s="1333" t="e">
        <f t="shared" si="123"/>
        <v>#N/A</v>
      </c>
      <c r="AW68" s="1333" t="e">
        <f t="shared" si="124"/>
        <v>#N/A</v>
      </c>
      <c r="AX68" s="1333" t="e">
        <f t="shared" si="125"/>
        <v>#N/A</v>
      </c>
      <c r="AY68" s="1333" t="e">
        <f t="shared" si="126"/>
        <v>#N/A</v>
      </c>
      <c r="AZ68" s="500" t="e">
        <f t="shared" si="127"/>
        <v>#N/A</v>
      </c>
    </row>
    <row r="69" spans="2:52" x14ac:dyDescent="0.25">
      <c r="B69" s="327">
        <v>13</v>
      </c>
      <c r="C69" s="347">
        <f>TREND(C55:C56,B55:B56,B69)</f>
        <v>0</v>
      </c>
      <c r="D69" s="372">
        <f>TREND(D55:D56,B55:B56,B69)</f>
        <v>0</v>
      </c>
      <c r="E69" s="373">
        <f>TREND(E55:E56,B55:B56,B69)</f>
        <v>55</v>
      </c>
      <c r="F69" s="374">
        <f>TREND(F55:F56,B55:B56,B69)</f>
        <v>55</v>
      </c>
      <c r="G69" s="339">
        <f t="shared" si="94"/>
        <v>0</v>
      </c>
      <c r="H69" s="436">
        <f t="shared" si="95"/>
        <v>0</v>
      </c>
      <c r="I69" s="521" t="e">
        <f t="shared" si="129"/>
        <v>#N/A</v>
      </c>
      <c r="J69" s="500" t="e">
        <f t="shared" si="130"/>
        <v>#N/A</v>
      </c>
      <c r="K69" s="521" t="e">
        <f t="shared" si="131"/>
        <v>#N/A</v>
      </c>
      <c r="L69" s="500" t="e">
        <f t="shared" si="132"/>
        <v>#N/A</v>
      </c>
      <c r="M69" s="285" t="e">
        <f t="shared" si="128"/>
        <v>#N/A</v>
      </c>
      <c r="N69" s="323" t="e">
        <f t="shared" si="98"/>
        <v>#N/A</v>
      </c>
      <c r="O69" s="474"/>
      <c r="P69" s="1038">
        <f t="shared" si="133"/>
        <v>0</v>
      </c>
      <c r="Q69" s="1324">
        <f t="shared" si="134"/>
        <v>0</v>
      </c>
      <c r="R69" s="1324">
        <f t="shared" si="135"/>
        <v>0</v>
      </c>
      <c r="S69" s="1324">
        <f t="shared" si="136"/>
        <v>0</v>
      </c>
      <c r="T69" s="1324">
        <f t="shared" si="137"/>
        <v>0</v>
      </c>
      <c r="U69" s="1324">
        <f t="shared" si="138"/>
        <v>0</v>
      </c>
      <c r="V69" s="1325">
        <f t="shared" si="139"/>
        <v>0</v>
      </c>
      <c r="W69" s="521" t="e">
        <f t="shared" si="106"/>
        <v>#N/A</v>
      </c>
      <c r="X69" s="1333" t="e">
        <f t="shared" si="107"/>
        <v>#N/A</v>
      </c>
      <c r="Y69" s="1333" t="e">
        <f t="shared" si="108"/>
        <v>#N/A</v>
      </c>
      <c r="Z69" s="1333" t="e">
        <f t="shared" si="109"/>
        <v>#N/A</v>
      </c>
      <c r="AA69" s="1333" t="e">
        <f t="shared" si="110"/>
        <v>#N/A</v>
      </c>
      <c r="AB69" s="500" t="e">
        <f t="shared" si="111"/>
        <v>#N/A</v>
      </c>
      <c r="AD69" s="327">
        <v>13</v>
      </c>
      <c r="AE69" s="347">
        <f>TREND(AE55:AE56,AD55:AD56,AD69)</f>
        <v>0</v>
      </c>
      <c r="AF69" s="630">
        <f>TREND(AF55:AF56,AD55:AD56,AD69)</f>
        <v>0</v>
      </c>
      <c r="AG69" s="633">
        <f>TREND(AG55:AG56,AD55:AD56,AD69)</f>
        <v>55</v>
      </c>
      <c r="AH69" s="374">
        <f>TREND(AH55:AH56,AD55:AD56,AD69)</f>
        <v>55</v>
      </c>
      <c r="AI69" s="521" t="e">
        <f t="shared" si="140"/>
        <v>#N/A</v>
      </c>
      <c r="AJ69" s="500" t="e">
        <f t="shared" si="141"/>
        <v>#N/A</v>
      </c>
      <c r="AK69" s="285" t="e">
        <f t="shared" si="113"/>
        <v>#N/A</v>
      </c>
      <c r="AL69" s="323" t="e">
        <f t="shared" si="114"/>
        <v>#N/A</v>
      </c>
      <c r="AM69" s="474"/>
      <c r="AN69" s="1038">
        <f t="shared" si="142"/>
        <v>0</v>
      </c>
      <c r="AO69" s="1324">
        <f t="shared" si="143"/>
        <v>0</v>
      </c>
      <c r="AP69" s="1324">
        <f t="shared" si="144"/>
        <v>0</v>
      </c>
      <c r="AQ69" s="1324">
        <f t="shared" si="145"/>
        <v>0</v>
      </c>
      <c r="AR69" s="1324">
        <f t="shared" si="146"/>
        <v>0</v>
      </c>
      <c r="AS69" s="1324">
        <f t="shared" si="147"/>
        <v>0</v>
      </c>
      <c r="AT69" s="1325">
        <f t="shared" si="148"/>
        <v>0</v>
      </c>
      <c r="AU69" s="521" t="e">
        <f t="shared" si="122"/>
        <v>#N/A</v>
      </c>
      <c r="AV69" s="1333" t="e">
        <f t="shared" si="123"/>
        <v>#N/A</v>
      </c>
      <c r="AW69" s="1333" t="e">
        <f t="shared" si="124"/>
        <v>#N/A</v>
      </c>
      <c r="AX69" s="1333" t="e">
        <f t="shared" si="125"/>
        <v>#N/A</v>
      </c>
      <c r="AY69" s="1333" t="e">
        <f t="shared" si="126"/>
        <v>#N/A</v>
      </c>
      <c r="AZ69" s="500" t="e">
        <f t="shared" si="127"/>
        <v>#N/A</v>
      </c>
    </row>
    <row r="70" spans="2:52" x14ac:dyDescent="0.25">
      <c r="B70" s="327">
        <v>14</v>
      </c>
      <c r="C70" s="347">
        <f>TREND(C55:C56,B55:B56,B70)</f>
        <v>0</v>
      </c>
      <c r="D70" s="372">
        <f>TREND(D55:D56,B55:B56,B70)</f>
        <v>0</v>
      </c>
      <c r="E70" s="373">
        <f>TREND(E55:E56,B55:B56,B70)</f>
        <v>55</v>
      </c>
      <c r="F70" s="374">
        <f>TREND(F55:F56,B55:B56,B70)</f>
        <v>55</v>
      </c>
      <c r="G70" s="339">
        <f t="shared" si="94"/>
        <v>0</v>
      </c>
      <c r="H70" s="436">
        <f t="shared" si="95"/>
        <v>0</v>
      </c>
      <c r="I70" s="521" t="e">
        <f t="shared" si="129"/>
        <v>#N/A</v>
      </c>
      <c r="J70" s="500" t="e">
        <f t="shared" si="130"/>
        <v>#N/A</v>
      </c>
      <c r="K70" s="521" t="e">
        <f t="shared" si="131"/>
        <v>#N/A</v>
      </c>
      <c r="L70" s="500" t="e">
        <f t="shared" si="132"/>
        <v>#N/A</v>
      </c>
      <c r="M70" s="285" t="e">
        <f t="shared" si="128"/>
        <v>#N/A</v>
      </c>
      <c r="N70" s="323" t="e">
        <f t="shared" si="98"/>
        <v>#N/A</v>
      </c>
      <c r="O70" s="474"/>
      <c r="P70" s="1038">
        <f t="shared" si="133"/>
        <v>0</v>
      </c>
      <c r="Q70" s="1324">
        <f t="shared" si="134"/>
        <v>0</v>
      </c>
      <c r="R70" s="1324">
        <f t="shared" si="135"/>
        <v>0</v>
      </c>
      <c r="S70" s="1324">
        <f t="shared" si="136"/>
        <v>0</v>
      </c>
      <c r="T70" s="1324">
        <f t="shared" si="137"/>
        <v>0</v>
      </c>
      <c r="U70" s="1324">
        <f t="shared" si="138"/>
        <v>0</v>
      </c>
      <c r="V70" s="1325">
        <f t="shared" si="139"/>
        <v>0</v>
      </c>
      <c r="W70" s="521" t="e">
        <f t="shared" si="106"/>
        <v>#N/A</v>
      </c>
      <c r="X70" s="1333" t="e">
        <f t="shared" si="107"/>
        <v>#N/A</v>
      </c>
      <c r="Y70" s="1333" t="e">
        <f t="shared" si="108"/>
        <v>#N/A</v>
      </c>
      <c r="Z70" s="1333" t="e">
        <f t="shared" si="109"/>
        <v>#N/A</v>
      </c>
      <c r="AA70" s="1333" t="e">
        <f t="shared" si="110"/>
        <v>#N/A</v>
      </c>
      <c r="AB70" s="500" t="e">
        <f t="shared" si="111"/>
        <v>#N/A</v>
      </c>
      <c r="AD70" s="327">
        <v>14</v>
      </c>
      <c r="AE70" s="347">
        <f>TREND(AE55:AE56,AD55:AD56,AD70)</f>
        <v>0</v>
      </c>
      <c r="AF70" s="630">
        <f>TREND(AF55:AF56,AD55:AD56,AD70)</f>
        <v>0</v>
      </c>
      <c r="AG70" s="633">
        <f>TREND(AG55:AG56,AD55:AD56,AD70)</f>
        <v>55</v>
      </c>
      <c r="AH70" s="374">
        <f>TREND(AH55:AH56,AD55:AD56,AD70)</f>
        <v>55</v>
      </c>
      <c r="AI70" s="521" t="e">
        <f t="shared" si="140"/>
        <v>#N/A</v>
      </c>
      <c r="AJ70" s="500" t="e">
        <f t="shared" si="141"/>
        <v>#N/A</v>
      </c>
      <c r="AK70" s="285" t="e">
        <f t="shared" si="113"/>
        <v>#N/A</v>
      </c>
      <c r="AL70" s="323" t="e">
        <f t="shared" si="114"/>
        <v>#N/A</v>
      </c>
      <c r="AM70" s="474"/>
      <c r="AN70" s="1038">
        <f t="shared" si="142"/>
        <v>0</v>
      </c>
      <c r="AO70" s="1324">
        <f t="shared" si="143"/>
        <v>0</v>
      </c>
      <c r="AP70" s="1324">
        <f t="shared" si="144"/>
        <v>0</v>
      </c>
      <c r="AQ70" s="1324">
        <f t="shared" si="145"/>
        <v>0</v>
      </c>
      <c r="AR70" s="1324">
        <f t="shared" si="146"/>
        <v>0</v>
      </c>
      <c r="AS70" s="1324">
        <f t="shared" si="147"/>
        <v>0</v>
      </c>
      <c r="AT70" s="1325">
        <f t="shared" si="148"/>
        <v>0</v>
      </c>
      <c r="AU70" s="521" t="e">
        <f t="shared" si="122"/>
        <v>#N/A</v>
      </c>
      <c r="AV70" s="1333" t="e">
        <f t="shared" si="123"/>
        <v>#N/A</v>
      </c>
      <c r="AW70" s="1333" t="e">
        <f t="shared" si="124"/>
        <v>#N/A</v>
      </c>
      <c r="AX70" s="1333" t="e">
        <f t="shared" si="125"/>
        <v>#N/A</v>
      </c>
      <c r="AY70" s="1333" t="e">
        <f t="shared" si="126"/>
        <v>#N/A</v>
      </c>
      <c r="AZ70" s="500" t="e">
        <f t="shared" si="127"/>
        <v>#N/A</v>
      </c>
    </row>
    <row r="71" spans="2:52" x14ac:dyDescent="0.25">
      <c r="B71" s="327">
        <v>15</v>
      </c>
      <c r="C71" s="347">
        <f>TREND(C55:C56,B55:B56,B71)</f>
        <v>0</v>
      </c>
      <c r="D71" s="372">
        <f>TREND(D55:D56,B55:B56,B71)</f>
        <v>0</v>
      </c>
      <c r="E71" s="373">
        <f>TREND(E55:E56,B55:B56,B71)</f>
        <v>55</v>
      </c>
      <c r="F71" s="374">
        <f>TREND(F55:F56,B55:B56,B71)</f>
        <v>55</v>
      </c>
      <c r="G71" s="339">
        <f t="shared" si="94"/>
        <v>0</v>
      </c>
      <c r="H71" s="436">
        <f t="shared" si="95"/>
        <v>0</v>
      </c>
      <c r="I71" s="521" t="e">
        <f t="shared" si="129"/>
        <v>#N/A</v>
      </c>
      <c r="J71" s="500" t="e">
        <f t="shared" si="130"/>
        <v>#N/A</v>
      </c>
      <c r="K71" s="521" t="e">
        <f t="shared" si="131"/>
        <v>#N/A</v>
      </c>
      <c r="L71" s="500" t="e">
        <f t="shared" si="132"/>
        <v>#N/A</v>
      </c>
      <c r="M71" s="285" t="e">
        <f t="shared" si="128"/>
        <v>#N/A</v>
      </c>
      <c r="N71" s="323" t="e">
        <f t="shared" si="98"/>
        <v>#N/A</v>
      </c>
      <c r="O71" s="474"/>
      <c r="P71" s="1038">
        <f t="shared" si="133"/>
        <v>0</v>
      </c>
      <c r="Q71" s="1324">
        <f t="shared" si="134"/>
        <v>0</v>
      </c>
      <c r="R71" s="1324">
        <f t="shared" si="135"/>
        <v>0</v>
      </c>
      <c r="S71" s="1324">
        <f t="shared" si="136"/>
        <v>0</v>
      </c>
      <c r="T71" s="1324">
        <f t="shared" si="137"/>
        <v>0</v>
      </c>
      <c r="U71" s="1324">
        <f t="shared" si="138"/>
        <v>0</v>
      </c>
      <c r="V71" s="1325">
        <f t="shared" si="139"/>
        <v>0</v>
      </c>
      <c r="W71" s="521" t="e">
        <f t="shared" si="106"/>
        <v>#N/A</v>
      </c>
      <c r="X71" s="1333" t="e">
        <f t="shared" si="107"/>
        <v>#N/A</v>
      </c>
      <c r="Y71" s="1333" t="e">
        <f t="shared" si="108"/>
        <v>#N/A</v>
      </c>
      <c r="Z71" s="1333" t="e">
        <f t="shared" si="109"/>
        <v>#N/A</v>
      </c>
      <c r="AA71" s="1333" t="e">
        <f t="shared" si="110"/>
        <v>#N/A</v>
      </c>
      <c r="AB71" s="500" t="e">
        <f t="shared" si="111"/>
        <v>#N/A</v>
      </c>
      <c r="AD71" s="327">
        <v>15</v>
      </c>
      <c r="AE71" s="347">
        <f>TREND(AE55:AE56,AD55:AD56,AD71)</f>
        <v>0</v>
      </c>
      <c r="AF71" s="630">
        <f>TREND(AF55:AF56,AD55:AD56,AD71)</f>
        <v>0</v>
      </c>
      <c r="AG71" s="633">
        <f>TREND(AG55:AG56,AD55:AD56,AD71)</f>
        <v>55</v>
      </c>
      <c r="AH71" s="374">
        <f>TREND(AH55:AH56,AD55:AD56,AD71)</f>
        <v>55</v>
      </c>
      <c r="AI71" s="521" t="e">
        <f t="shared" si="140"/>
        <v>#N/A</v>
      </c>
      <c r="AJ71" s="500" t="e">
        <f t="shared" si="141"/>
        <v>#N/A</v>
      </c>
      <c r="AK71" s="285" t="e">
        <f t="shared" si="113"/>
        <v>#N/A</v>
      </c>
      <c r="AL71" s="323" t="e">
        <f t="shared" si="114"/>
        <v>#N/A</v>
      </c>
      <c r="AM71" s="474"/>
      <c r="AN71" s="1038">
        <f t="shared" si="142"/>
        <v>0</v>
      </c>
      <c r="AO71" s="1324">
        <f t="shared" si="143"/>
        <v>0</v>
      </c>
      <c r="AP71" s="1324">
        <f t="shared" si="144"/>
        <v>0</v>
      </c>
      <c r="AQ71" s="1324">
        <f t="shared" si="145"/>
        <v>0</v>
      </c>
      <c r="AR71" s="1324">
        <f t="shared" si="146"/>
        <v>0</v>
      </c>
      <c r="AS71" s="1324">
        <f t="shared" si="147"/>
        <v>0</v>
      </c>
      <c r="AT71" s="1325">
        <f t="shared" si="148"/>
        <v>0</v>
      </c>
      <c r="AU71" s="521" t="e">
        <f t="shared" si="122"/>
        <v>#N/A</v>
      </c>
      <c r="AV71" s="1333" t="e">
        <f t="shared" si="123"/>
        <v>#N/A</v>
      </c>
      <c r="AW71" s="1333" t="e">
        <f t="shared" si="124"/>
        <v>#N/A</v>
      </c>
      <c r="AX71" s="1333" t="e">
        <f t="shared" si="125"/>
        <v>#N/A</v>
      </c>
      <c r="AY71" s="1333" t="e">
        <f t="shared" si="126"/>
        <v>#N/A</v>
      </c>
      <c r="AZ71" s="500" t="e">
        <f t="shared" si="127"/>
        <v>#N/A</v>
      </c>
    </row>
    <row r="72" spans="2:52" x14ac:dyDescent="0.25">
      <c r="B72" s="327">
        <v>16</v>
      </c>
      <c r="C72" s="347">
        <f>TREND(C55:C56,B55:B56,B72)</f>
        <v>0</v>
      </c>
      <c r="D72" s="372">
        <f>TREND(D55:D56,B55:B56,B72)</f>
        <v>0</v>
      </c>
      <c r="E72" s="373">
        <f>TREND(E55:E56,B55:B56,B72)</f>
        <v>55</v>
      </c>
      <c r="F72" s="374">
        <f>TREND(F55:F56,B55:B56,B72)</f>
        <v>55</v>
      </c>
      <c r="G72" s="339">
        <f t="shared" si="94"/>
        <v>0</v>
      </c>
      <c r="H72" s="436">
        <f t="shared" si="95"/>
        <v>0</v>
      </c>
      <c r="I72" s="521" t="e">
        <f t="shared" si="129"/>
        <v>#N/A</v>
      </c>
      <c r="J72" s="500" t="e">
        <f t="shared" si="130"/>
        <v>#N/A</v>
      </c>
      <c r="K72" s="521" t="e">
        <f t="shared" si="131"/>
        <v>#N/A</v>
      </c>
      <c r="L72" s="500" t="e">
        <f t="shared" si="132"/>
        <v>#N/A</v>
      </c>
      <c r="M72" s="285" t="e">
        <f t="shared" si="128"/>
        <v>#N/A</v>
      </c>
      <c r="N72" s="323" t="e">
        <f t="shared" si="98"/>
        <v>#N/A</v>
      </c>
      <c r="O72" s="474"/>
      <c r="P72" s="1038">
        <f t="shared" si="133"/>
        <v>0</v>
      </c>
      <c r="Q72" s="1324">
        <f t="shared" si="134"/>
        <v>0</v>
      </c>
      <c r="R72" s="1324">
        <f t="shared" si="135"/>
        <v>0</v>
      </c>
      <c r="S72" s="1324">
        <f t="shared" si="136"/>
        <v>0</v>
      </c>
      <c r="T72" s="1324">
        <f t="shared" si="137"/>
        <v>0</v>
      </c>
      <c r="U72" s="1324">
        <f t="shared" si="138"/>
        <v>0</v>
      </c>
      <c r="V72" s="1325">
        <f t="shared" si="139"/>
        <v>0</v>
      </c>
      <c r="W72" s="521" t="e">
        <f t="shared" si="106"/>
        <v>#N/A</v>
      </c>
      <c r="X72" s="1333" t="e">
        <f t="shared" si="107"/>
        <v>#N/A</v>
      </c>
      <c r="Y72" s="1333" t="e">
        <f t="shared" si="108"/>
        <v>#N/A</v>
      </c>
      <c r="Z72" s="1333" t="e">
        <f t="shared" si="109"/>
        <v>#N/A</v>
      </c>
      <c r="AA72" s="1333" t="e">
        <f t="shared" si="110"/>
        <v>#N/A</v>
      </c>
      <c r="AB72" s="500" t="e">
        <f t="shared" si="111"/>
        <v>#N/A</v>
      </c>
      <c r="AD72" s="327">
        <v>16</v>
      </c>
      <c r="AE72" s="347">
        <f>TREND(AE55:AE56,AD55:AD56,AD72)</f>
        <v>0</v>
      </c>
      <c r="AF72" s="630">
        <f>TREND(AF55:AF56,AD55:AD56,AD72)</f>
        <v>0</v>
      </c>
      <c r="AG72" s="633">
        <f>TREND(AG55:AG56,AD55:AD56,AD72)</f>
        <v>55</v>
      </c>
      <c r="AH72" s="374">
        <f>TREND(AH55:AH56,AD55:AD56,AD72)</f>
        <v>55</v>
      </c>
      <c r="AI72" s="521" t="e">
        <f t="shared" si="140"/>
        <v>#N/A</v>
      </c>
      <c r="AJ72" s="500" t="e">
        <f t="shared" si="141"/>
        <v>#N/A</v>
      </c>
      <c r="AK72" s="285" t="e">
        <f t="shared" si="113"/>
        <v>#N/A</v>
      </c>
      <c r="AL72" s="323" t="e">
        <f t="shared" si="114"/>
        <v>#N/A</v>
      </c>
      <c r="AM72" s="474"/>
      <c r="AN72" s="1038">
        <f t="shared" si="142"/>
        <v>0</v>
      </c>
      <c r="AO72" s="1324">
        <f t="shared" si="143"/>
        <v>0</v>
      </c>
      <c r="AP72" s="1324">
        <f t="shared" si="144"/>
        <v>0</v>
      </c>
      <c r="AQ72" s="1324">
        <f t="shared" si="145"/>
        <v>0</v>
      </c>
      <c r="AR72" s="1324">
        <f t="shared" si="146"/>
        <v>0</v>
      </c>
      <c r="AS72" s="1324">
        <f t="shared" si="147"/>
        <v>0</v>
      </c>
      <c r="AT72" s="1325">
        <f t="shared" si="148"/>
        <v>0</v>
      </c>
      <c r="AU72" s="521" t="e">
        <f t="shared" si="122"/>
        <v>#N/A</v>
      </c>
      <c r="AV72" s="1333" t="e">
        <f t="shared" si="123"/>
        <v>#N/A</v>
      </c>
      <c r="AW72" s="1333" t="e">
        <f t="shared" si="124"/>
        <v>#N/A</v>
      </c>
      <c r="AX72" s="1333" t="e">
        <f t="shared" si="125"/>
        <v>#N/A</v>
      </c>
      <c r="AY72" s="1333" t="e">
        <f t="shared" si="126"/>
        <v>#N/A</v>
      </c>
      <c r="AZ72" s="500" t="e">
        <f t="shared" si="127"/>
        <v>#N/A</v>
      </c>
    </row>
    <row r="73" spans="2:52" x14ac:dyDescent="0.25">
      <c r="B73" s="327">
        <v>17</v>
      </c>
      <c r="C73" s="347">
        <f>TREND(C55:C56,B55:B56,B73)</f>
        <v>0</v>
      </c>
      <c r="D73" s="372">
        <f>TREND(D55:D56,B55:B56,B73)</f>
        <v>0</v>
      </c>
      <c r="E73" s="373">
        <f>TREND(E55:E56,B55:B56,B73)</f>
        <v>55</v>
      </c>
      <c r="F73" s="374">
        <f>TREND(F55:F56,B55:B56,B73)</f>
        <v>55</v>
      </c>
      <c r="G73" s="339">
        <f t="shared" si="94"/>
        <v>0</v>
      </c>
      <c r="H73" s="436">
        <f t="shared" si="95"/>
        <v>0</v>
      </c>
      <c r="I73" s="521" t="e">
        <f t="shared" si="129"/>
        <v>#N/A</v>
      </c>
      <c r="J73" s="500" t="e">
        <f t="shared" si="130"/>
        <v>#N/A</v>
      </c>
      <c r="K73" s="521" t="e">
        <f t="shared" si="131"/>
        <v>#N/A</v>
      </c>
      <c r="L73" s="500" t="e">
        <f t="shared" si="132"/>
        <v>#N/A</v>
      </c>
      <c r="M73" s="285" t="e">
        <f t="shared" si="128"/>
        <v>#N/A</v>
      </c>
      <c r="N73" s="323" t="e">
        <f t="shared" si="98"/>
        <v>#N/A</v>
      </c>
      <c r="O73" s="474"/>
      <c r="P73" s="1038">
        <f t="shared" si="133"/>
        <v>0</v>
      </c>
      <c r="Q73" s="1324">
        <f t="shared" si="134"/>
        <v>0</v>
      </c>
      <c r="R73" s="1324">
        <f t="shared" si="135"/>
        <v>0</v>
      </c>
      <c r="S73" s="1324">
        <f t="shared" si="136"/>
        <v>0</v>
      </c>
      <c r="T73" s="1324">
        <f t="shared" si="137"/>
        <v>0</v>
      </c>
      <c r="U73" s="1324">
        <f t="shared" si="138"/>
        <v>0</v>
      </c>
      <c r="V73" s="1325">
        <f t="shared" si="139"/>
        <v>0</v>
      </c>
      <c r="W73" s="521" t="e">
        <f t="shared" si="106"/>
        <v>#N/A</v>
      </c>
      <c r="X73" s="1333" t="e">
        <f t="shared" si="107"/>
        <v>#N/A</v>
      </c>
      <c r="Y73" s="1333" t="e">
        <f t="shared" si="108"/>
        <v>#N/A</v>
      </c>
      <c r="Z73" s="1333" t="e">
        <f t="shared" si="109"/>
        <v>#N/A</v>
      </c>
      <c r="AA73" s="1333" t="e">
        <f t="shared" si="110"/>
        <v>#N/A</v>
      </c>
      <c r="AB73" s="500" t="e">
        <f t="shared" si="111"/>
        <v>#N/A</v>
      </c>
      <c r="AD73" s="327">
        <v>17</v>
      </c>
      <c r="AE73" s="347">
        <f>TREND(AE55:AE56,AD55:AD56,AD73)</f>
        <v>0</v>
      </c>
      <c r="AF73" s="630">
        <f>TREND(AF55:AF56,AD55:AD56,AD73)</f>
        <v>0</v>
      </c>
      <c r="AG73" s="633">
        <f>TREND(AG55:AG56,AD55:AD56,AD73)</f>
        <v>55</v>
      </c>
      <c r="AH73" s="374">
        <f>TREND(AH55:AH56,AD55:AD56,AD73)</f>
        <v>55</v>
      </c>
      <c r="AI73" s="521" t="e">
        <f t="shared" si="140"/>
        <v>#N/A</v>
      </c>
      <c r="AJ73" s="500" t="e">
        <f t="shared" si="141"/>
        <v>#N/A</v>
      </c>
      <c r="AK73" s="285" t="e">
        <f t="shared" si="113"/>
        <v>#N/A</v>
      </c>
      <c r="AL73" s="323" t="e">
        <f t="shared" si="114"/>
        <v>#N/A</v>
      </c>
      <c r="AM73" s="474"/>
      <c r="AN73" s="1038">
        <f t="shared" si="142"/>
        <v>0</v>
      </c>
      <c r="AO73" s="1324">
        <f t="shared" si="143"/>
        <v>0</v>
      </c>
      <c r="AP73" s="1324">
        <f t="shared" si="144"/>
        <v>0</v>
      </c>
      <c r="AQ73" s="1324">
        <f t="shared" si="145"/>
        <v>0</v>
      </c>
      <c r="AR73" s="1324">
        <f t="shared" si="146"/>
        <v>0</v>
      </c>
      <c r="AS73" s="1324">
        <f t="shared" si="147"/>
        <v>0</v>
      </c>
      <c r="AT73" s="1325">
        <f t="shared" si="148"/>
        <v>0</v>
      </c>
      <c r="AU73" s="521" t="e">
        <f t="shared" si="122"/>
        <v>#N/A</v>
      </c>
      <c r="AV73" s="1333" t="e">
        <f t="shared" si="123"/>
        <v>#N/A</v>
      </c>
      <c r="AW73" s="1333" t="e">
        <f t="shared" si="124"/>
        <v>#N/A</v>
      </c>
      <c r="AX73" s="1333" t="e">
        <f t="shared" si="125"/>
        <v>#N/A</v>
      </c>
      <c r="AY73" s="1333" t="e">
        <f t="shared" si="126"/>
        <v>#N/A</v>
      </c>
      <c r="AZ73" s="500" t="e">
        <f t="shared" si="127"/>
        <v>#N/A</v>
      </c>
    </row>
    <row r="74" spans="2:52" x14ac:dyDescent="0.25">
      <c r="B74" s="327">
        <v>18</v>
      </c>
      <c r="C74" s="347">
        <f>TREND(C55:C56,B55:B56,B74)</f>
        <v>0</v>
      </c>
      <c r="D74" s="372">
        <f>TREND(D55:D56,B55:B56,B74)</f>
        <v>0</v>
      </c>
      <c r="E74" s="373">
        <f>TREND(E55:E56,B55:B56,B74)</f>
        <v>55</v>
      </c>
      <c r="F74" s="374">
        <f>TREND(F55:F56,B55:B56,B74)</f>
        <v>55</v>
      </c>
      <c r="G74" s="339">
        <f t="shared" si="94"/>
        <v>0</v>
      </c>
      <c r="H74" s="436">
        <f t="shared" si="95"/>
        <v>0</v>
      </c>
      <c r="I74" s="521" t="e">
        <f t="shared" si="129"/>
        <v>#N/A</v>
      </c>
      <c r="J74" s="500" t="e">
        <f t="shared" si="130"/>
        <v>#N/A</v>
      </c>
      <c r="K74" s="521" t="e">
        <f t="shared" si="131"/>
        <v>#N/A</v>
      </c>
      <c r="L74" s="500" t="e">
        <f t="shared" si="132"/>
        <v>#N/A</v>
      </c>
      <c r="M74" s="285" t="e">
        <f t="shared" si="128"/>
        <v>#N/A</v>
      </c>
      <c r="N74" s="323" t="e">
        <f t="shared" si="98"/>
        <v>#N/A</v>
      </c>
      <c r="O74" s="474"/>
      <c r="P74" s="1038">
        <f t="shared" si="133"/>
        <v>0</v>
      </c>
      <c r="Q74" s="1324">
        <f t="shared" si="134"/>
        <v>0</v>
      </c>
      <c r="R74" s="1324">
        <f t="shared" si="135"/>
        <v>0</v>
      </c>
      <c r="S74" s="1324">
        <f t="shared" si="136"/>
        <v>0</v>
      </c>
      <c r="T74" s="1324">
        <f t="shared" si="137"/>
        <v>0</v>
      </c>
      <c r="U74" s="1324">
        <f t="shared" si="138"/>
        <v>0</v>
      </c>
      <c r="V74" s="1325">
        <f t="shared" si="139"/>
        <v>0</v>
      </c>
      <c r="W74" s="521" t="e">
        <f t="shared" si="106"/>
        <v>#N/A</v>
      </c>
      <c r="X74" s="1333" t="e">
        <f t="shared" si="107"/>
        <v>#N/A</v>
      </c>
      <c r="Y74" s="1333" t="e">
        <f t="shared" si="108"/>
        <v>#N/A</v>
      </c>
      <c r="Z74" s="1333" t="e">
        <f t="shared" si="109"/>
        <v>#N/A</v>
      </c>
      <c r="AA74" s="1333" t="e">
        <f t="shared" si="110"/>
        <v>#N/A</v>
      </c>
      <c r="AB74" s="500" t="e">
        <f t="shared" si="111"/>
        <v>#N/A</v>
      </c>
      <c r="AD74" s="327">
        <v>18</v>
      </c>
      <c r="AE74" s="347">
        <f>TREND(AE55:AE56,AD55:AD56,AD74)</f>
        <v>0</v>
      </c>
      <c r="AF74" s="630">
        <f>TREND(AF55:AF56,AD55:AD56,AD74)</f>
        <v>0</v>
      </c>
      <c r="AG74" s="633">
        <f>TREND(AG55:AG56,AD55:AD56,AD74)</f>
        <v>55</v>
      </c>
      <c r="AH74" s="374">
        <f>TREND(AH55:AH56,AD55:AD56,AD74)</f>
        <v>55</v>
      </c>
      <c r="AI74" s="521" t="e">
        <f t="shared" si="140"/>
        <v>#N/A</v>
      </c>
      <c r="AJ74" s="500" t="e">
        <f t="shared" si="141"/>
        <v>#N/A</v>
      </c>
      <c r="AK74" s="285" t="e">
        <f t="shared" si="113"/>
        <v>#N/A</v>
      </c>
      <c r="AL74" s="323" t="e">
        <f t="shared" si="114"/>
        <v>#N/A</v>
      </c>
      <c r="AM74" s="474"/>
      <c r="AN74" s="1038">
        <f t="shared" si="142"/>
        <v>0</v>
      </c>
      <c r="AO74" s="1324">
        <f t="shared" si="143"/>
        <v>0</v>
      </c>
      <c r="AP74" s="1324">
        <f t="shared" si="144"/>
        <v>0</v>
      </c>
      <c r="AQ74" s="1324">
        <f t="shared" si="145"/>
        <v>0</v>
      </c>
      <c r="AR74" s="1324">
        <f t="shared" si="146"/>
        <v>0</v>
      </c>
      <c r="AS74" s="1324">
        <f t="shared" si="147"/>
        <v>0</v>
      </c>
      <c r="AT74" s="1325">
        <f t="shared" si="148"/>
        <v>0</v>
      </c>
      <c r="AU74" s="521" t="e">
        <f t="shared" si="122"/>
        <v>#N/A</v>
      </c>
      <c r="AV74" s="1333" t="e">
        <f t="shared" si="123"/>
        <v>#N/A</v>
      </c>
      <c r="AW74" s="1333" t="e">
        <f t="shared" si="124"/>
        <v>#N/A</v>
      </c>
      <c r="AX74" s="1333" t="e">
        <f t="shared" si="125"/>
        <v>#N/A</v>
      </c>
      <c r="AY74" s="1333" t="e">
        <f t="shared" si="126"/>
        <v>#N/A</v>
      </c>
      <c r="AZ74" s="500" t="e">
        <f t="shared" si="127"/>
        <v>#N/A</v>
      </c>
    </row>
    <row r="75" spans="2:52" x14ac:dyDescent="0.25">
      <c r="B75" s="359">
        <v>19</v>
      </c>
      <c r="C75" s="360">
        <f>TREND(C55:C56,B55:B56,B75)</f>
        <v>0</v>
      </c>
      <c r="D75" s="375">
        <f>TREND(D55:D56,B55:B56,B75)</f>
        <v>0</v>
      </c>
      <c r="E75" s="376">
        <f>TREND(E55:E56,B55:B56,B75)</f>
        <v>55</v>
      </c>
      <c r="F75" s="377">
        <f>TREND(F55:F56,B55:B56,B75)</f>
        <v>55</v>
      </c>
      <c r="G75" s="339">
        <f t="shared" si="94"/>
        <v>0</v>
      </c>
      <c r="H75" s="435">
        <f t="shared" si="95"/>
        <v>0</v>
      </c>
      <c r="I75" s="520" t="e">
        <f t="shared" si="129"/>
        <v>#N/A</v>
      </c>
      <c r="J75" s="499" t="e">
        <f t="shared" si="130"/>
        <v>#N/A</v>
      </c>
      <c r="K75" s="520" t="e">
        <f t="shared" si="131"/>
        <v>#N/A</v>
      </c>
      <c r="L75" s="499" t="e">
        <f t="shared" si="132"/>
        <v>#N/A</v>
      </c>
      <c r="M75" s="285" t="e">
        <f t="shared" si="128"/>
        <v>#N/A</v>
      </c>
      <c r="N75" s="323" t="e">
        <f t="shared" si="98"/>
        <v>#N/A</v>
      </c>
      <c r="O75" s="474"/>
      <c r="P75" s="1037">
        <f t="shared" si="133"/>
        <v>0</v>
      </c>
      <c r="Q75" s="1322">
        <f t="shared" si="134"/>
        <v>0</v>
      </c>
      <c r="R75" s="1322">
        <f t="shared" si="135"/>
        <v>0</v>
      </c>
      <c r="S75" s="1322">
        <f t="shared" si="136"/>
        <v>0</v>
      </c>
      <c r="T75" s="1322">
        <f t="shared" si="137"/>
        <v>0</v>
      </c>
      <c r="U75" s="1322">
        <f t="shared" si="138"/>
        <v>0</v>
      </c>
      <c r="V75" s="1326">
        <f t="shared" si="139"/>
        <v>0</v>
      </c>
      <c r="W75" s="520" t="e">
        <f t="shared" si="106"/>
        <v>#N/A</v>
      </c>
      <c r="X75" s="1332" t="e">
        <f t="shared" si="107"/>
        <v>#N/A</v>
      </c>
      <c r="Y75" s="1332" t="e">
        <f t="shared" si="108"/>
        <v>#N/A</v>
      </c>
      <c r="Z75" s="1332" t="e">
        <f t="shared" si="109"/>
        <v>#N/A</v>
      </c>
      <c r="AA75" s="1332" t="e">
        <f t="shared" si="110"/>
        <v>#N/A</v>
      </c>
      <c r="AB75" s="499" t="e">
        <f t="shared" si="111"/>
        <v>#N/A</v>
      </c>
      <c r="AD75" s="359">
        <v>19</v>
      </c>
      <c r="AE75" s="360">
        <f>TREND(AE55:AE56,AD55:AD56,AD75)</f>
        <v>0</v>
      </c>
      <c r="AF75" s="631">
        <f>TREND(AF55:AF56,AD55:AD56,AD75)</f>
        <v>0</v>
      </c>
      <c r="AG75" s="634">
        <f>TREND(AG55:AG56,AD55:AD56,AD75)</f>
        <v>55</v>
      </c>
      <c r="AH75" s="377">
        <f>TREND(AH55:AH56,AD55:AD56,AD75)</f>
        <v>55</v>
      </c>
      <c r="AI75" s="520" t="e">
        <f t="shared" si="140"/>
        <v>#N/A</v>
      </c>
      <c r="AJ75" s="499" t="e">
        <f t="shared" si="141"/>
        <v>#N/A</v>
      </c>
      <c r="AK75" s="285" t="e">
        <f t="shared" si="113"/>
        <v>#N/A</v>
      </c>
      <c r="AL75" s="323" t="e">
        <f t="shared" si="114"/>
        <v>#N/A</v>
      </c>
      <c r="AM75" s="474"/>
      <c r="AN75" s="1037">
        <f t="shared" si="142"/>
        <v>0</v>
      </c>
      <c r="AO75" s="1322">
        <f t="shared" si="143"/>
        <v>0</v>
      </c>
      <c r="AP75" s="1322">
        <f t="shared" si="144"/>
        <v>0</v>
      </c>
      <c r="AQ75" s="1322">
        <f t="shared" si="145"/>
        <v>0</v>
      </c>
      <c r="AR75" s="1322">
        <f t="shared" si="146"/>
        <v>0</v>
      </c>
      <c r="AS75" s="1322">
        <f t="shared" si="147"/>
        <v>0</v>
      </c>
      <c r="AT75" s="1326">
        <f t="shared" si="148"/>
        <v>0</v>
      </c>
      <c r="AU75" s="520" t="e">
        <f t="shared" si="122"/>
        <v>#N/A</v>
      </c>
      <c r="AV75" s="1332" t="e">
        <f t="shared" si="123"/>
        <v>#N/A</v>
      </c>
      <c r="AW75" s="1332" t="e">
        <f t="shared" si="124"/>
        <v>#N/A</v>
      </c>
      <c r="AX75" s="1332" t="e">
        <f t="shared" si="125"/>
        <v>#N/A</v>
      </c>
      <c r="AY75" s="1332" t="e">
        <f t="shared" si="126"/>
        <v>#N/A</v>
      </c>
      <c r="AZ75" s="499" t="e">
        <f t="shared" si="127"/>
        <v>#N/A</v>
      </c>
    </row>
    <row r="76" spans="2:52" x14ac:dyDescent="0.25">
      <c r="B76" s="357"/>
      <c r="C76" s="355"/>
      <c r="D76" s="355"/>
      <c r="E76" s="355"/>
      <c r="F76" s="355"/>
      <c r="G76" s="356"/>
      <c r="H76" s="356"/>
      <c r="I76" s="356"/>
      <c r="J76" s="356"/>
      <c r="K76" s="356"/>
      <c r="L76" s="356"/>
      <c r="M76" s="356"/>
      <c r="N76" s="358"/>
      <c r="O76" s="475"/>
      <c r="P76" s="358"/>
      <c r="Q76" s="358"/>
      <c r="R76" s="358"/>
      <c r="S76" s="358"/>
      <c r="T76" s="358"/>
      <c r="U76" s="358"/>
      <c r="V76" s="358"/>
      <c r="W76" s="475"/>
      <c r="X76" s="475"/>
      <c r="Y76" s="475"/>
      <c r="Z76" s="475"/>
      <c r="AA76" s="475"/>
      <c r="AB76" s="475"/>
      <c r="AD76" s="357"/>
      <c r="AE76" s="355"/>
      <c r="AF76" s="355"/>
      <c r="AG76" s="355"/>
      <c r="AH76" s="355"/>
      <c r="AI76" s="356"/>
      <c r="AJ76" s="356"/>
      <c r="AK76" s="356"/>
      <c r="AL76" s="358"/>
      <c r="AM76" s="475"/>
      <c r="AN76" s="358"/>
      <c r="AO76" s="358"/>
      <c r="AP76" s="358"/>
      <c r="AQ76" s="358"/>
      <c r="AR76" s="358"/>
      <c r="AS76" s="358"/>
      <c r="AT76" s="358"/>
      <c r="AU76" s="475"/>
      <c r="AV76" s="475"/>
      <c r="AW76" s="475"/>
      <c r="AX76" s="475"/>
      <c r="AY76" s="475"/>
      <c r="AZ76" s="475"/>
    </row>
    <row r="77" spans="2:52" ht="13" x14ac:dyDescent="0.25">
      <c r="B77" s="329" t="s">
        <v>172</v>
      </c>
      <c r="C77" s="330"/>
      <c r="D77" s="331"/>
      <c r="E77" s="331"/>
      <c r="F77" s="331"/>
      <c r="G77" s="331"/>
      <c r="H77" s="331"/>
      <c r="I77" s="331"/>
      <c r="J77" s="332"/>
      <c r="K77" s="331"/>
      <c r="L77" s="332"/>
      <c r="M77" s="341"/>
      <c r="N77" s="342" t="e">
        <f>SUM(N55:N75)</f>
        <v>#N/A</v>
      </c>
      <c r="O77" s="477"/>
      <c r="P77" s="1039">
        <f>SUM(P55:P75)</f>
        <v>0</v>
      </c>
      <c r="Q77" s="1327">
        <f>SUM(Q55:Q75)</f>
        <v>0</v>
      </c>
      <c r="R77" s="1327">
        <f t="shared" ref="R77:V77" si="149">SUM(R55:R75)</f>
        <v>0</v>
      </c>
      <c r="S77" s="1327">
        <f t="shared" si="149"/>
        <v>0</v>
      </c>
      <c r="T77" s="1327">
        <f t="shared" si="149"/>
        <v>0</v>
      </c>
      <c r="U77" s="1327">
        <f t="shared" si="149"/>
        <v>0</v>
      </c>
      <c r="V77" s="1328">
        <f t="shared" si="149"/>
        <v>0</v>
      </c>
      <c r="W77" s="1334" t="e">
        <f>SUM(W55:W75)</f>
        <v>#N/A</v>
      </c>
      <c r="X77" s="1335" t="e">
        <f>SUM(X55:X75)</f>
        <v>#N/A</v>
      </c>
      <c r="Y77" s="1335" t="e">
        <f t="shared" ref="Y77:AB77" si="150">SUM(Y55:Y75)</f>
        <v>#N/A</v>
      </c>
      <c r="Z77" s="1335" t="e">
        <f t="shared" si="150"/>
        <v>#N/A</v>
      </c>
      <c r="AA77" s="1335" t="e">
        <f t="shared" si="150"/>
        <v>#N/A</v>
      </c>
      <c r="AB77" s="1040" t="e">
        <f t="shared" si="150"/>
        <v>#N/A</v>
      </c>
      <c r="AD77" s="329" t="s">
        <v>172</v>
      </c>
      <c r="AE77" s="330"/>
      <c r="AF77" s="331"/>
      <c r="AG77" s="331"/>
      <c r="AH77" s="331"/>
      <c r="AI77" s="331"/>
      <c r="AJ77" s="332"/>
      <c r="AK77" s="341"/>
      <c r="AL77" s="342" t="e">
        <f>SUM(AL55:AL75)</f>
        <v>#N/A</v>
      </c>
      <c r="AM77" s="477"/>
      <c r="AN77" s="1039">
        <f t="shared" ref="AN77" si="151">SUM(AN55:AN75)</f>
        <v>0</v>
      </c>
      <c r="AO77" s="1327">
        <f>SUM(AO55:AO75)</f>
        <v>0</v>
      </c>
      <c r="AP77" s="1327">
        <f t="shared" ref="AP77:AT77" si="152">SUM(AP55:AP75)</f>
        <v>0</v>
      </c>
      <c r="AQ77" s="1327">
        <f t="shared" si="152"/>
        <v>0</v>
      </c>
      <c r="AR77" s="1327">
        <f t="shared" si="152"/>
        <v>0</v>
      </c>
      <c r="AS77" s="1327">
        <f t="shared" si="152"/>
        <v>0</v>
      </c>
      <c r="AT77" s="1328">
        <f t="shared" si="152"/>
        <v>0</v>
      </c>
      <c r="AU77" s="1334" t="e">
        <f t="shared" ref="AU77:AZ77" si="153">SUM(AU55:AU75)</f>
        <v>#N/A</v>
      </c>
      <c r="AV77" s="1335" t="e">
        <f t="shared" si="153"/>
        <v>#N/A</v>
      </c>
      <c r="AW77" s="1335" t="e">
        <f t="shared" si="153"/>
        <v>#N/A</v>
      </c>
      <c r="AX77" s="1335" t="e">
        <f t="shared" si="153"/>
        <v>#N/A</v>
      </c>
      <c r="AY77" s="1335" t="e">
        <f t="shared" si="153"/>
        <v>#N/A</v>
      </c>
      <c r="AZ77" s="1040" t="e">
        <f t="shared" si="153"/>
        <v>#N/A</v>
      </c>
    </row>
    <row r="78" spans="2:52" x14ac:dyDescent="0.25">
      <c r="O78" s="450"/>
      <c r="P78" s="450"/>
      <c r="Q78" s="450"/>
      <c r="R78" s="450"/>
      <c r="S78" s="450"/>
      <c r="T78" s="450"/>
      <c r="U78" s="450"/>
      <c r="V78" s="450"/>
      <c r="W78" s="450"/>
      <c r="X78" s="450"/>
      <c r="Y78" s="450"/>
      <c r="Z78" s="450"/>
      <c r="AA78" s="450"/>
      <c r="AB78" s="450"/>
      <c r="AD78" s="448"/>
      <c r="AE78" s="448"/>
      <c r="AF78" s="449"/>
      <c r="AG78" s="449"/>
      <c r="AH78" s="449"/>
      <c r="AI78" s="450"/>
      <c r="AJ78" s="450"/>
      <c r="AK78" s="450"/>
      <c r="AL78" s="450"/>
      <c r="AM78" s="450"/>
      <c r="AN78" s="450"/>
      <c r="AO78" s="450"/>
      <c r="AP78" s="450"/>
      <c r="AQ78" s="450"/>
      <c r="AR78" s="450"/>
      <c r="AS78" s="450"/>
      <c r="AT78" s="450"/>
      <c r="AU78" s="450"/>
      <c r="AV78" s="450"/>
      <c r="AW78" s="450"/>
      <c r="AX78" s="450"/>
      <c r="AY78" s="450"/>
      <c r="AZ78" s="450"/>
    </row>
    <row r="79" spans="2:52" x14ac:dyDescent="0.25">
      <c r="O79" s="450"/>
      <c r="P79" s="450"/>
      <c r="Q79" s="450"/>
      <c r="R79" s="450"/>
      <c r="S79" s="450"/>
      <c r="T79" s="450"/>
      <c r="U79" s="450"/>
      <c r="V79" s="450"/>
      <c r="W79" s="450"/>
      <c r="X79" s="450"/>
      <c r="Y79" s="450"/>
      <c r="Z79" s="450"/>
      <c r="AA79" s="450"/>
      <c r="AB79" s="450"/>
      <c r="AD79" s="448"/>
      <c r="AE79" s="448"/>
      <c r="AF79" s="449"/>
      <c r="AG79" s="449"/>
      <c r="AH79" s="449"/>
      <c r="AI79" s="450"/>
      <c r="AJ79" s="450"/>
      <c r="AK79" s="450"/>
      <c r="AL79" s="450"/>
      <c r="AM79" s="450"/>
      <c r="AN79" s="450"/>
      <c r="AO79" s="450"/>
      <c r="AP79" s="450"/>
      <c r="AQ79" s="450"/>
      <c r="AR79" s="450"/>
      <c r="AS79" s="450"/>
      <c r="AT79" s="450"/>
      <c r="AU79" s="450"/>
      <c r="AV79" s="450"/>
      <c r="AW79" s="450"/>
      <c r="AX79" s="450"/>
      <c r="AY79" s="450"/>
      <c r="AZ79" s="450"/>
    </row>
    <row r="80" spans="2:52" ht="13" x14ac:dyDescent="0.25">
      <c r="B80" s="350" t="s">
        <v>505</v>
      </c>
      <c r="C80" s="88"/>
      <c r="D80" s="88"/>
      <c r="E80" s="88"/>
      <c r="F80" s="88"/>
      <c r="G80" s="88"/>
      <c r="H80" s="309"/>
      <c r="I80" s="309"/>
      <c r="J80" s="88"/>
      <c r="K80" s="309"/>
      <c r="L80" s="88"/>
      <c r="M80" s="88"/>
      <c r="N80" s="88"/>
      <c r="O80" s="273"/>
      <c r="P80" s="273"/>
      <c r="Q80" s="273"/>
      <c r="R80" s="273"/>
      <c r="S80" s="273"/>
      <c r="T80" s="273"/>
      <c r="U80" s="273"/>
      <c r="V80" s="273"/>
      <c r="W80" s="273"/>
      <c r="X80" s="273"/>
      <c r="Y80" s="273"/>
      <c r="Z80" s="273"/>
      <c r="AA80" s="273"/>
      <c r="AB80" s="273"/>
      <c r="AD80" s="350" t="s">
        <v>154</v>
      </c>
      <c r="AE80" s="88"/>
      <c r="AF80" s="88"/>
      <c r="AG80" s="88"/>
      <c r="AH80" s="88"/>
      <c r="AI80" s="636"/>
      <c r="AJ80" s="88"/>
      <c r="AK80" s="88"/>
      <c r="AL80" s="88"/>
      <c r="AM80" s="273"/>
      <c r="AN80" s="273"/>
      <c r="AO80" s="273"/>
      <c r="AP80" s="273"/>
      <c r="AQ80" s="273"/>
      <c r="AR80" s="273"/>
      <c r="AS80" s="273"/>
      <c r="AT80" s="273"/>
      <c r="AU80" s="273"/>
      <c r="AV80" s="273"/>
      <c r="AW80" s="273"/>
      <c r="AX80" s="273"/>
      <c r="AY80" s="273"/>
      <c r="AZ80" s="273"/>
    </row>
    <row r="81" spans="2:52" x14ac:dyDescent="0.25">
      <c r="B81" s="88"/>
      <c r="C81" s="88"/>
      <c r="D81" s="274"/>
      <c r="E81" s="274"/>
      <c r="F81" s="274"/>
      <c r="G81" s="88"/>
      <c r="H81" s="88"/>
      <c r="I81" s="88"/>
      <c r="J81" s="88"/>
      <c r="K81" s="88"/>
      <c r="L81" s="88"/>
      <c r="M81" s="88"/>
      <c r="N81" s="351"/>
      <c r="O81" s="1030"/>
      <c r="P81" s="1030"/>
      <c r="Q81" s="1030"/>
      <c r="R81" s="1030"/>
      <c r="S81" s="1030"/>
      <c r="T81" s="1030"/>
      <c r="U81" s="1030"/>
      <c r="V81" s="1030"/>
      <c r="W81" s="1030"/>
      <c r="X81" s="1030"/>
      <c r="Y81" s="1030"/>
      <c r="Z81" s="1030"/>
      <c r="AA81" s="1030"/>
      <c r="AB81" s="1030"/>
      <c r="AD81" s="88"/>
      <c r="AE81" s="88"/>
      <c r="AF81" s="274"/>
      <c r="AG81" s="274"/>
      <c r="AH81" s="274"/>
      <c r="AI81" s="88"/>
      <c r="AJ81" s="88"/>
      <c r="AK81" s="88"/>
      <c r="AL81" s="351"/>
      <c r="AM81" s="1030"/>
      <c r="AN81" s="1030"/>
      <c r="AO81" s="1030"/>
      <c r="AP81" s="1030"/>
      <c r="AQ81" s="1030"/>
      <c r="AR81" s="1030"/>
      <c r="AS81" s="1030"/>
      <c r="AT81" s="1030"/>
      <c r="AU81" s="1030"/>
      <c r="AV81" s="1030"/>
      <c r="AW81" s="1030"/>
      <c r="AX81" s="1030"/>
      <c r="AY81" s="1030"/>
      <c r="AZ81" s="1030"/>
    </row>
    <row r="82" spans="2:52" ht="15.5" x14ac:dyDescent="0.25">
      <c r="B82" s="317"/>
      <c r="C82" s="320" t="s">
        <v>230</v>
      </c>
      <c r="D82" s="361"/>
      <c r="E82" s="320" t="s">
        <v>231</v>
      </c>
      <c r="F82" s="333"/>
      <c r="G82" s="335" t="s">
        <v>272</v>
      </c>
      <c r="H82" s="321"/>
      <c r="I82" s="437" t="s">
        <v>510</v>
      </c>
      <c r="J82" s="438"/>
      <c r="K82" s="437" t="s">
        <v>511</v>
      </c>
      <c r="L82" s="438"/>
      <c r="M82" s="322"/>
      <c r="N82" s="343"/>
      <c r="O82" s="271"/>
      <c r="P82" s="437" t="s">
        <v>740</v>
      </c>
      <c r="Q82" s="437"/>
      <c r="R82" s="320"/>
      <c r="S82" s="320"/>
      <c r="T82" s="320"/>
      <c r="U82" s="320"/>
      <c r="V82" s="320"/>
      <c r="W82" s="437" t="s">
        <v>746</v>
      </c>
      <c r="X82" s="438"/>
      <c r="Y82" s="320"/>
      <c r="Z82" s="320"/>
      <c r="AA82" s="320"/>
      <c r="AB82" s="1315"/>
      <c r="AD82" s="317"/>
      <c r="AE82" s="320" t="s">
        <v>310</v>
      </c>
      <c r="AF82" s="361"/>
      <c r="AG82" s="623"/>
      <c r="AH82" s="321"/>
      <c r="AI82" s="437" t="s">
        <v>303</v>
      </c>
      <c r="AJ82" s="438"/>
      <c r="AK82" s="322"/>
      <c r="AL82" s="343"/>
      <c r="AM82" s="271"/>
      <c r="AN82" s="437" t="s">
        <v>740</v>
      </c>
      <c r="AO82" s="437"/>
      <c r="AP82" s="320"/>
      <c r="AQ82" s="320"/>
      <c r="AR82" s="320"/>
      <c r="AS82" s="320"/>
      <c r="AT82" s="320"/>
      <c r="AU82" s="437" t="s">
        <v>746</v>
      </c>
      <c r="AV82" s="438"/>
      <c r="AW82" s="320"/>
      <c r="AX82" s="320"/>
      <c r="AY82" s="320"/>
      <c r="AZ82" s="1315"/>
    </row>
    <row r="83" spans="2:52" ht="15" customHeight="1" x14ac:dyDescent="0.25">
      <c r="B83" s="318"/>
      <c r="C83" s="287" t="s">
        <v>237</v>
      </c>
      <c r="D83" s="362"/>
      <c r="E83" s="287" t="s">
        <v>238</v>
      </c>
      <c r="F83" s="334"/>
      <c r="G83" s="336" t="s">
        <v>274</v>
      </c>
      <c r="H83" s="288"/>
      <c r="I83" s="439" t="s">
        <v>275</v>
      </c>
      <c r="J83" s="440"/>
      <c r="K83" s="439" t="s">
        <v>275</v>
      </c>
      <c r="L83" s="440"/>
      <c r="M83" s="284"/>
      <c r="N83" s="344"/>
      <c r="O83" s="271"/>
      <c r="P83" s="1311" t="s">
        <v>748</v>
      </c>
      <c r="Q83" s="1311"/>
      <c r="R83" s="1312"/>
      <c r="S83" s="1312"/>
      <c r="T83" s="1312"/>
      <c r="U83" s="1312"/>
      <c r="V83" s="1316"/>
      <c r="W83" s="1311" t="s">
        <v>749</v>
      </c>
      <c r="X83" s="288"/>
      <c r="Y83" s="287"/>
      <c r="Z83" s="287"/>
      <c r="AA83" s="287"/>
      <c r="AB83" s="288"/>
      <c r="AD83" s="318"/>
      <c r="AE83" s="336" t="s">
        <v>311</v>
      </c>
      <c r="AF83" s="362"/>
      <c r="AG83" s="624"/>
      <c r="AH83" s="288"/>
      <c r="AI83" s="439" t="s">
        <v>275</v>
      </c>
      <c r="AJ83" s="440"/>
      <c r="AK83" s="284"/>
      <c r="AL83" s="344"/>
      <c r="AM83" s="271"/>
      <c r="AN83" s="1311" t="s">
        <v>748</v>
      </c>
      <c r="AO83" s="1311"/>
      <c r="AP83" s="1312"/>
      <c r="AQ83" s="1312"/>
      <c r="AR83" s="1312"/>
      <c r="AS83" s="1312"/>
      <c r="AT83" s="1316"/>
      <c r="AU83" s="1311" t="s">
        <v>749</v>
      </c>
      <c r="AV83" s="288"/>
      <c r="AW83" s="287"/>
      <c r="AX83" s="287"/>
      <c r="AY83" s="287"/>
      <c r="AZ83" s="288"/>
    </row>
    <row r="84" spans="2:52" ht="14" x14ac:dyDescent="0.25">
      <c r="B84" s="169" t="s">
        <v>135</v>
      </c>
      <c r="C84" s="316"/>
      <c r="D84" s="283"/>
      <c r="E84" s="316"/>
      <c r="F84" s="283"/>
      <c r="G84" s="316"/>
      <c r="H84" s="283"/>
      <c r="I84" s="316"/>
      <c r="J84" s="283"/>
      <c r="K84" s="316"/>
      <c r="L84" s="283"/>
      <c r="M84" s="286" t="s">
        <v>242</v>
      </c>
      <c r="N84" s="345" t="s">
        <v>139</v>
      </c>
      <c r="O84" s="465"/>
      <c r="P84" s="432"/>
      <c r="Q84" s="647"/>
      <c r="R84" s="647"/>
      <c r="S84" s="647"/>
      <c r="T84" s="647"/>
      <c r="U84" s="647"/>
      <c r="V84" s="1313"/>
      <c r="W84" s="432"/>
      <c r="X84" s="647"/>
      <c r="Y84" s="647"/>
      <c r="Z84" s="647"/>
      <c r="AA84" s="647"/>
      <c r="AB84" s="283"/>
      <c r="AD84" s="169" t="s">
        <v>135</v>
      </c>
      <c r="AE84" s="316"/>
      <c r="AF84" s="283"/>
      <c r="AG84" s="337"/>
      <c r="AH84" s="283"/>
      <c r="AI84" s="316"/>
      <c r="AJ84" s="283"/>
      <c r="AK84" s="286" t="s">
        <v>242</v>
      </c>
      <c r="AL84" s="345" t="s">
        <v>139</v>
      </c>
      <c r="AM84" s="465"/>
      <c r="AN84" s="432"/>
      <c r="AO84" s="647"/>
      <c r="AP84" s="647"/>
      <c r="AQ84" s="647"/>
      <c r="AR84" s="647"/>
      <c r="AS84" s="647"/>
      <c r="AT84" s="1313"/>
      <c r="AU84" s="432"/>
      <c r="AV84" s="647"/>
      <c r="AW84" s="647"/>
      <c r="AX84" s="647"/>
      <c r="AY84" s="647"/>
      <c r="AZ84" s="283"/>
    </row>
    <row r="85" spans="2:52" ht="17" x14ac:dyDescent="0.25">
      <c r="B85" s="319"/>
      <c r="C85" s="324" t="s">
        <v>0</v>
      </c>
      <c r="D85" s="325" t="s">
        <v>1</v>
      </c>
      <c r="E85" s="324" t="s">
        <v>0</v>
      </c>
      <c r="F85" s="325" t="s">
        <v>1</v>
      </c>
      <c r="G85" s="324" t="s">
        <v>0</v>
      </c>
      <c r="H85" s="325" t="s">
        <v>1</v>
      </c>
      <c r="I85" s="324" t="s">
        <v>0</v>
      </c>
      <c r="J85" s="325" t="s">
        <v>1</v>
      </c>
      <c r="K85" s="324" t="s">
        <v>0</v>
      </c>
      <c r="L85" s="325" t="s">
        <v>1</v>
      </c>
      <c r="M85" s="326" t="s">
        <v>148</v>
      </c>
      <c r="N85" s="346" t="s">
        <v>149</v>
      </c>
      <c r="O85" s="465"/>
      <c r="P85" s="441" t="s">
        <v>380</v>
      </c>
      <c r="Q85" s="648" t="s">
        <v>741</v>
      </c>
      <c r="R85" s="648" t="s">
        <v>742</v>
      </c>
      <c r="S85" s="648" t="s">
        <v>743</v>
      </c>
      <c r="T85" s="648" t="s">
        <v>745</v>
      </c>
      <c r="U85" s="648" t="s">
        <v>384</v>
      </c>
      <c r="V85" s="1314" t="s">
        <v>744</v>
      </c>
      <c r="W85" s="441" t="s">
        <v>380</v>
      </c>
      <c r="X85" s="648" t="s">
        <v>741</v>
      </c>
      <c r="Y85" s="648" t="s">
        <v>742</v>
      </c>
      <c r="Z85" s="648" t="s">
        <v>743</v>
      </c>
      <c r="AA85" s="648" t="s">
        <v>745</v>
      </c>
      <c r="AB85" s="325" t="s">
        <v>384</v>
      </c>
      <c r="AD85" s="319"/>
      <c r="AE85" s="324" t="s">
        <v>0</v>
      </c>
      <c r="AF85" s="325" t="s">
        <v>1</v>
      </c>
      <c r="AG85" s="338"/>
      <c r="AH85" s="325"/>
      <c r="AI85" s="324" t="s">
        <v>0</v>
      </c>
      <c r="AJ85" s="325" t="s">
        <v>1</v>
      </c>
      <c r="AK85" s="326" t="s">
        <v>148</v>
      </c>
      <c r="AL85" s="346" t="s">
        <v>149</v>
      </c>
      <c r="AM85" s="465"/>
      <c r="AN85" s="441" t="s">
        <v>380</v>
      </c>
      <c r="AO85" s="648" t="s">
        <v>741</v>
      </c>
      <c r="AP85" s="648" t="s">
        <v>742</v>
      </c>
      <c r="AQ85" s="648" t="s">
        <v>743</v>
      </c>
      <c r="AR85" s="648" t="s">
        <v>745</v>
      </c>
      <c r="AS85" s="648" t="s">
        <v>384</v>
      </c>
      <c r="AT85" s="1314" t="s">
        <v>744</v>
      </c>
      <c r="AU85" s="441" t="s">
        <v>380</v>
      </c>
      <c r="AV85" s="648" t="s">
        <v>741</v>
      </c>
      <c r="AW85" s="648" t="s">
        <v>742</v>
      </c>
      <c r="AX85" s="648" t="s">
        <v>743</v>
      </c>
      <c r="AY85" s="648" t="s">
        <v>745</v>
      </c>
      <c r="AZ85" s="325" t="s">
        <v>384</v>
      </c>
    </row>
    <row r="86" spans="2:52" x14ac:dyDescent="0.25">
      <c r="B86" s="327">
        <v>1</v>
      </c>
      <c r="C86" s="348">
        <f>PWV1NB*AnnualFactor</f>
        <v>0</v>
      </c>
      <c r="D86" s="349">
        <f>PWV1B*AnnualFactor</f>
        <v>0</v>
      </c>
      <c r="E86" s="363">
        <f>ROUND(PWS1NB,1)</f>
        <v>55</v>
      </c>
      <c r="F86" s="364">
        <f>ROUND(PWS1B,1)</f>
        <v>55</v>
      </c>
      <c r="G86" s="339">
        <f>ImpactedNB*C86</f>
        <v>0</v>
      </c>
      <c r="H86" s="434">
        <f>ImpactedB*D86</f>
        <v>0</v>
      </c>
      <c r="I86" s="515" t="e">
        <f>G86*0.00000110231131*(VLOOKUP(E86,EmAuto1,2)*VLOOKUP(ProjLoc,EmCost,2)+VLOOKUP(E86,EmAuto1,3)*VLOOKUP(ProjLoc,EmCost,3)*(1+CO2Uprater)^($B86+Construct-1)+VLOOKUP(E86,EmAuto1,4)*VLOOKUP(ProjLoc,EmCost,4)+VLOOKUP(E86,EmAuto1,5)*VLOOKUP(ProjLoc,EmCost,5)+VLOOKUP(E86,EmAuto1,6)*VLOOKUP(ProjLoc,EmCost,6)+VLOOKUP(E86,EmAuto1,7)*VLOOKUP(ProjLoc,EmCost,7))*IF(UserAdjInputs,1,VLOOKUP(TMSLookup,TMSAdj,9))</f>
        <v>#N/A</v>
      </c>
      <c r="J86" s="498" t="e">
        <f>H86*0.00000110231131*(VLOOKUP(F86,EmAuto1,2)*VLOOKUP(ProjLoc,EmCost,2)+VLOOKUP(F86,EmAuto1,3)*VLOOKUP(ProjLoc,EmCost,3)*(1+CO2Uprater)^($B86+Construct-1)+VLOOKUP(F86,EmAuto1,4)*VLOOKUP(ProjLoc,EmCost,4)+VLOOKUP(F86,EmAuto1,5)*VLOOKUP(ProjLoc,EmCost,5)+VLOOKUP(F86,EmAuto1,6)*VLOOKUP(ProjLoc,EmCost,6)+VLOOKUP(F86,EmAuto1,7)*VLOOKUP(ProjLoc,EmCost,7))*IF(UserAdjInputs,1,VLOOKUP(TMSLookup,TMSAdj,9))</f>
        <v>#N/A</v>
      </c>
      <c r="K86" s="515" t="e">
        <f>C86*0.00000110231131*(VLOOKUP(0,EmAuto1,2)*VLOOKUP(ProjLoc,EmCost,2)+VLOOKUP(0,EmAuto1,3)*VLOOKUP(ProjLoc,EmCost,3)*(1+CO2Uprater)^($B86+Construct-1)+VLOOKUP(0,EmAuto1,4)*VLOOKUP(ProjLoc,EmCost,4)+VLOOKUP(0,EmAuto1,5)*VLOOKUP(ProjLoc,EmCost,5)+VLOOKUP(0,EmAuto1,6)*VLOOKUP(ProjLoc,EmCost,6)+VLOOKUP(0,EmAuto1,7)*VLOOKUP(ProjLoc,EmCost,7))*IF(UserAdjInputs,1,VLOOKUP(TMSLookup,TMSAdj,9))</f>
        <v>#N/A</v>
      </c>
      <c r="L86" s="498" t="e">
        <f>D86*0.00000110231131*(VLOOKUP(0,EmAuto1,2)*VLOOKUP(ProjLoc,EmCost,2)+VLOOKUP(0,EmAuto1,3)*VLOOKUP(ProjLoc,EmCost,3)*(1+CO2Uprater)^($B86+Construct-1)+VLOOKUP(0,EmAuto1,4)*VLOOKUP(ProjLoc,EmCost,4)+VLOOKUP(0,EmAuto1,5)*VLOOKUP(ProjLoc,EmCost,5)+VLOOKUP(0,EmAuto1,6)*VLOOKUP(ProjLoc,EmCost,6)+VLOOKUP(0,EmAuto1,7)*VLOOKUP(ProjLoc,EmCost,7))*IF(UserAdjInputs,1,VLOOKUP(TMSLookup,TMSAdj,9))</f>
        <v>#N/A</v>
      </c>
      <c r="M86" s="285" t="e">
        <f>(I86+K86)-(J86+L86)</f>
        <v>#N/A</v>
      </c>
      <c r="N86" s="323" t="e">
        <f>$M86/(1+DiscRate)^($B86+Construct-1)</f>
        <v>#N/A</v>
      </c>
      <c r="O86" s="474"/>
      <c r="P86" s="1036">
        <f>0.00000110231131*(G86*VLOOKUP(E86,EmAuto1,2)-H86*VLOOKUP(F86,EmAuto1,2)+(C86-D86)*VLOOKUP(0,EmAuto1,2))*IF(UserAdjInputs,1,VLOOKUP(TMSLookup,TMSAdj,9))</f>
        <v>0</v>
      </c>
      <c r="Q86" s="1321">
        <f t="shared" ref="Q86" si="154">0.00000110231131*(G86*VLOOKUP(E86,EmAuto1,3)-H86*VLOOKUP(F86,EmAuto1,3)+(C86-D86)*VLOOKUP(0,EmAuto1,3))*IF(UserAdjInputs,1,VLOOKUP(TMSLookup,TMSAdj,9))</f>
        <v>0</v>
      </c>
      <c r="R86" s="1321">
        <f>0.00000110231131*(G86*VLOOKUP(E86,EmAuto1,4)-H86*VLOOKUP(F86,EmAuto1,4)+(C86-D86)*VLOOKUP(0,EmAuto1,4))*IF(UserAdjInputs,1,VLOOKUP(TMSLookup,TMSAdj,9))</f>
        <v>0</v>
      </c>
      <c r="S86" s="1321">
        <f>0.00000110231131*(G86*VLOOKUP(E86,EmAuto1,5)-H86*VLOOKUP(F86,EmAuto1,5)+(C86-D86)*VLOOKUP(0,EmAuto1,5))*IF(UserAdjInputs,1,VLOOKUP(TMSLookup,TMSAdj,9))</f>
        <v>0</v>
      </c>
      <c r="T86" s="1321">
        <f>0.00000110231131*(G86*VLOOKUP(E86,EmAuto1,6)-H86*VLOOKUP(F86,EmAuto1,6)+(C86-D86)*VLOOKUP(0,EmAuto1,6))*IF(UserAdjInputs,1,VLOOKUP(TMSLookup,TMSAdj,9))</f>
        <v>0</v>
      </c>
      <c r="U86" s="1321">
        <f>0.00000110231131*(G86*VLOOKUP(E86,EmAuto1,7)-H86*VLOOKUP(F86,EmAuto1,7)+(C86-D86)*VLOOKUP(0,EmAuto1,7))*IF(UserAdjInputs,1,VLOOKUP(TMSLookup,TMSAdj,9))</f>
        <v>0</v>
      </c>
      <c r="V86" s="1329">
        <f>0.00000110231131*(G86*VLOOKUP(E86,EmAuto1,8)-H86*VLOOKUP(F86,EmAuto1,8)+(C86-D86)*VLOOKUP(0,EmAuto1,8))*IF(UserAdjInputs,1,VLOOKUP(TMSLookup,TMSAdj,9))</f>
        <v>0</v>
      </c>
      <c r="W86" s="515" t="e">
        <f>P86*VLOOKUP(ProjLoc,EmCost,2)/(1+DiscRate)^($B86+Construct-1)</f>
        <v>#N/A</v>
      </c>
      <c r="X86" s="1331" t="e">
        <f>Q86*VLOOKUP(ProjLoc,EmCost,3)*(1+CO2Uprater)^($B86+Construct-1)/(1+DiscRate)^($B86+Construct-1)</f>
        <v>#N/A</v>
      </c>
      <c r="Y86" s="1331" t="e">
        <f>R86*VLOOKUP(ProjLoc,EmCost,4)/(1+DiscRate)^($B86+Construct-1)</f>
        <v>#N/A</v>
      </c>
      <c r="Z86" s="1331" t="e">
        <f>S86*VLOOKUP(ProjLoc,EmCost,5)/(1+DiscRate)^($B86+Construct-1)</f>
        <v>#N/A</v>
      </c>
      <c r="AA86" s="1331" t="e">
        <f>T86*VLOOKUP(ProjLoc,EmCost,6)/(1+DiscRate)^($B86+Construct-1)</f>
        <v>#N/A</v>
      </c>
      <c r="AB86" s="498" t="e">
        <f>U86*VLOOKUP(ProjLoc,EmCost,7)/(1+DiscRate)^($B86+Construct-1)</f>
        <v>#N/A</v>
      </c>
      <c r="AD86" s="327">
        <v>1</v>
      </c>
      <c r="AE86" s="348">
        <f>IF(PassRail,TVehMi1NB/TVehPerTrainNB,0)</f>
        <v>0</v>
      </c>
      <c r="AF86" s="349">
        <f>IF(PassRail,TVehMi1B/TVehPerTrainB,0)</f>
        <v>0</v>
      </c>
      <c r="AG86" s="428"/>
      <c r="AH86" s="429"/>
      <c r="AI86" s="515" t="e">
        <f>AE86*0.00000110231131*(VLOOKUP(2010,EmPassTrain,2)*VLOOKUP(ProjLoc,EmCost,2)+VLOOKUP(2010,EmPassTrain,3)*VLOOKUP(ProjLoc,EmCost,3)*(1+CO2Uprater)^($AD86+Construct-1)+VLOOKUP(2010,EmPassTrain,4)*VLOOKUP(ProjLoc,EmCost,4)+VLOOKUP(2010,EmPassTrain,5)*VLOOKUP(ProjLoc,EmCost,5)+VLOOKUP(2010,EmPassTrain,6)*VLOOKUP(ProjLoc,EmCost,6)+VLOOKUP(2010,EmPassTrain,7)*VLOOKUP(ProjLoc,EmCost,7))</f>
        <v>#N/A</v>
      </c>
      <c r="AJ86" s="498" t="e">
        <f>AF86*0.00000110231131*(VLOOKUP(2010,EmPassTrain,2)*VLOOKUP(ProjLoc,EmCost,2)+VLOOKUP(2010,EmPassTrain,3)*VLOOKUP(ProjLoc,EmCost,3)*(1+CO2Uprater)^($AD86+Construct-1)+VLOOKUP(2010,EmPassTrain,4)*VLOOKUP(ProjLoc,EmCost,4)+VLOOKUP(2010,EmPassTrain,5)*VLOOKUP(ProjLoc,EmCost,5)+VLOOKUP(2010,EmPassTrain,6)*VLOOKUP(ProjLoc,EmCost,6)+VLOOKUP(2010,EmPassTrain,7)*VLOOKUP(ProjLoc,EmCost,7))</f>
        <v>#N/A</v>
      </c>
      <c r="AK86" s="285" t="e">
        <f>AI86-AJ86</f>
        <v>#N/A</v>
      </c>
      <c r="AL86" s="323" t="e">
        <f>$AK86/(1+DiscRate)^($AD86+Construct-1)</f>
        <v>#N/A</v>
      </c>
      <c r="AM86" s="474"/>
      <c r="AN86" s="1036">
        <f>0.00000110231131*(AE86-AF86)*VLOOKUP(2010,EmPassTrain,2)</f>
        <v>0</v>
      </c>
      <c r="AO86" s="1321">
        <f>0.00000110231131*(AE86-AF86)*VLOOKUP(2010,EmPassTrain,3)</f>
        <v>0</v>
      </c>
      <c r="AP86" s="1321">
        <f>0.00000110231131*(AE86-AF86)*VLOOKUP(2010,EmPassTrain,4)</f>
        <v>0</v>
      </c>
      <c r="AQ86" s="1321">
        <f>0.00000110231131*(AE86-AF86)*VLOOKUP(2010,EmPassTrain,5)</f>
        <v>0</v>
      </c>
      <c r="AR86" s="1321">
        <f>0.00000110231131*(AE86-AF86)*VLOOKUP(2010,EmPassTrain,6)</f>
        <v>0</v>
      </c>
      <c r="AS86" s="1321">
        <f>0.00000110231131*(AE86-AF86)*VLOOKUP(2010,EmPassTrain,7)</f>
        <v>0</v>
      </c>
      <c r="AT86" s="1329">
        <f>0.00000110231131*(AE86-AF86)*VLOOKUP(2010,EmPassTrain,8)</f>
        <v>0</v>
      </c>
      <c r="AU86" s="515" t="e">
        <f>AN86*VLOOKUP(ProjLoc,EmCost,2)/(1+DiscRate)^($AD86+Construct-1)</f>
        <v>#N/A</v>
      </c>
      <c r="AV86" s="1331" t="e">
        <f>AO86*VLOOKUP(ProjLoc,EmCost,3)*(1+CO2Uprater)^($AD86+Construct-1)/(1+DiscRate)^($AD86+Construct-1)</f>
        <v>#N/A</v>
      </c>
      <c r="AW86" s="1331" t="e">
        <f>AP86*VLOOKUP(ProjLoc,EmCost,4)/(1+DiscRate)^($AD86+Construct-1)</f>
        <v>#N/A</v>
      </c>
      <c r="AX86" s="1331" t="e">
        <f>AQ86*VLOOKUP(ProjLoc,EmCost,5)/(1+DiscRate)^($AD86+Construct-1)</f>
        <v>#N/A</v>
      </c>
      <c r="AY86" s="1331" t="e">
        <f>AR86*VLOOKUP(ProjLoc,EmCost,6)/(1+DiscRate)^($AD86+Construct-1)</f>
        <v>#N/A</v>
      </c>
      <c r="AZ86" s="498" t="e">
        <f>AS86*VLOOKUP(ProjLoc,EmCost,7)/(1+DiscRate)^($AD86+Construct-1)</f>
        <v>#N/A</v>
      </c>
    </row>
    <row r="87" spans="2:52" x14ac:dyDescent="0.25">
      <c r="B87" s="328">
        <v>20</v>
      </c>
      <c r="C87" s="353">
        <f>PWV20NB*AnnualFactor</f>
        <v>0</v>
      </c>
      <c r="D87" s="354">
        <f>PWV20B*AnnualFactor</f>
        <v>0</v>
      </c>
      <c r="E87" s="365">
        <f>ROUND(PWS20NB,1)</f>
        <v>55</v>
      </c>
      <c r="F87" s="366">
        <f>ROUND(PWS20B,1)</f>
        <v>55</v>
      </c>
      <c r="G87" s="339">
        <f>ImpactedNB*C87</f>
        <v>0</v>
      </c>
      <c r="H87" s="435">
        <f>ImpactedB*D87</f>
        <v>0</v>
      </c>
      <c r="I87" s="520" t="e">
        <f>G87*0.00000110231131*(VLOOKUP(E87,EmAuto20,2)*VLOOKUP(ProjLoc,EmCost,2)+VLOOKUP(E87,EmAuto20,3)*VLOOKUP(ProjLoc,EmCost,3)*(1+CO2Uprater)^($B87+Construct-1)+VLOOKUP(E87,EmAuto20,4)*VLOOKUP(ProjLoc,EmCost,4)+VLOOKUP(E87,EmAuto20,5)*VLOOKUP(ProjLoc,EmCost,5)+VLOOKUP(E87,EmAuto20,6)*VLOOKUP(ProjLoc,EmCost,6)+VLOOKUP(E87,EmAuto20,7)*VLOOKUP(ProjLoc,EmCost,7))*IF(UserAdjInputs,1,VLOOKUP(TMSLookup,TMSAdj,9))</f>
        <v>#N/A</v>
      </c>
      <c r="J87" s="499" t="e">
        <f>H87*0.00000110231131*(VLOOKUP(F87,EmAuto20,2)*VLOOKUP(ProjLoc,EmCost,2)+VLOOKUP(F87,EmAuto20,3)*VLOOKUP(ProjLoc,EmCost,3)*(1+CO2Uprater)^($B87+Construct-1)+VLOOKUP(F87,EmAuto20,4)*VLOOKUP(ProjLoc,EmCost,4)+VLOOKUP(F87,EmAuto20,5)*VLOOKUP(ProjLoc,EmCost,5)+VLOOKUP(F87,EmAuto20,6)*VLOOKUP(ProjLoc,EmCost,6)+VLOOKUP(F87,EmAuto20,7)*VLOOKUP(ProjLoc,EmCost,7))*IF(UserAdjInputs,1,VLOOKUP(TMSLookup,TMSAdj,9))</f>
        <v>#N/A</v>
      </c>
      <c r="K87" s="520" t="e">
        <f>C87*0.00000110231131*(VLOOKUP(0,EmAuto20,2)*VLOOKUP(ProjLoc,EmCost,2)+VLOOKUP(0,EmAuto20,3)*VLOOKUP(ProjLoc,EmCost,3)*(1+CO2Uprater)^($B87+Construct-1)+VLOOKUP(0,EmAuto20,4)*VLOOKUP(ProjLoc,EmCost,4)+VLOOKUP(0,EmAuto20,5)*VLOOKUP(ProjLoc,EmCost,5)+VLOOKUP(0,EmAuto20,6)*VLOOKUP(ProjLoc,EmCost,6)+VLOOKUP(0,EmAuto20,7)*VLOOKUP(ProjLoc,EmCost,7))*IF(UserAdjInputs,1,VLOOKUP(TMSLookup,TMSAdj,9))</f>
        <v>#N/A</v>
      </c>
      <c r="L87" s="499" t="e">
        <f>D87*0.00000110231131*(VLOOKUP(0,EmAuto20,2)*VLOOKUP(ProjLoc,EmCost,2)+VLOOKUP(0,EmAuto20,3)*VLOOKUP(ProjLoc,EmCost,3)*(1+CO2Uprater)^($B87+Construct-1)+VLOOKUP(0,EmAuto20,4)*VLOOKUP(ProjLoc,EmCost,4)+VLOOKUP(0,EmAuto20,5)*VLOOKUP(ProjLoc,EmCost,5)+VLOOKUP(0,EmAuto20,6)*VLOOKUP(ProjLoc,EmCost,6)+VLOOKUP(0,EmAuto20,7)*VLOOKUP(ProjLoc,EmCost,7))*IF(UserAdjInputs,1,VLOOKUP(TMSLookup,TMSAdj,9))</f>
        <v>#N/A</v>
      </c>
      <c r="M87" s="285" t="e">
        <f>(I87+K87)-(J87+L87)</f>
        <v>#N/A</v>
      </c>
      <c r="N87" s="323" t="e">
        <f>$M87/(1+DiscRate)^($B87+Construct-1)</f>
        <v>#N/A</v>
      </c>
      <c r="O87" s="474"/>
      <c r="P87" s="1037">
        <f>0.00000110231131*(G87*VLOOKUP(E87,EmAuto20,2)-H87*VLOOKUP(F87,EmAuto20,2)+(C87-D87)*VLOOKUP(0,EmAuto20,2))*IF(UserAdjInputs,1,VLOOKUP(TMSLookup,TMSAdj,9))</f>
        <v>0</v>
      </c>
      <c r="Q87" s="1322">
        <f t="shared" ref="Q87" si="155">0.00000110231131*(G87*VLOOKUP(E87,EmAuto20,3)-H87*VLOOKUP(F87,EmAuto20,3)+(C87-D87)*VLOOKUP(0,EmAuto20,3))*IF(UserAdjInputs,1,VLOOKUP(TMSLookup,TMSAdj,9))</f>
        <v>0</v>
      </c>
      <c r="R87" s="1322">
        <f>0.00000110231131*(G87*VLOOKUP(E87,EmAuto20,4)-H87*VLOOKUP(F87,EmAuto20,4)+(C87-D87)*VLOOKUP(0,EmAuto20,4))*IF(UserAdjInputs,1,VLOOKUP(TMSLookup,TMSAdj,9))</f>
        <v>0</v>
      </c>
      <c r="S87" s="1322">
        <f>0.00000110231131*(G87*VLOOKUP(E87,EmAuto20,5)-H87*VLOOKUP(F87,EmAuto20,5)+(C87-D87)*VLOOKUP(0,EmAuto20,5))*IF(UserAdjInputs,1,VLOOKUP(TMSLookup,TMSAdj,9))</f>
        <v>0</v>
      </c>
      <c r="T87" s="1322">
        <f>0.00000110231131*(G87*VLOOKUP(E87,EmAuto20,6)-H87*VLOOKUP(F87,EmAuto20,6)+(C87-D87)*VLOOKUP(0,EmAuto20,6))*IF(UserAdjInputs,1,VLOOKUP(TMSLookup,TMSAdj,9))</f>
        <v>0</v>
      </c>
      <c r="U87" s="1322">
        <f>0.00000110231131*(G87*VLOOKUP(E87,EmAuto20,7)-H87*VLOOKUP(F87,EmAuto20,7)+(C87-D87)*VLOOKUP(0,EmAuto20,7))*IF(UserAdjInputs,1,VLOOKUP(TMSLookup,TMSAdj,9))</f>
        <v>0</v>
      </c>
      <c r="V87" s="1330">
        <f>0.00000110231131*(G87*VLOOKUP(E87,EmAuto20,8)-H87*VLOOKUP(F87,EmAuto20,8)+(C87-D87)*VLOOKUP(0,EmAuto20,8))*IF(UserAdjInputs,1,VLOOKUP(TMSLookup,TMSAdj,9))</f>
        <v>0</v>
      </c>
      <c r="W87" s="520" t="e">
        <f>P87*VLOOKUP(ProjLoc,EmCost,2)/(1+DiscRate)^($B87+Construct-1)</f>
        <v>#N/A</v>
      </c>
      <c r="X87" s="1332" t="e">
        <f>Q87*VLOOKUP(ProjLoc,EmCost,3)*(1+CO2Uprater)^($B87+Construct-1)/(1+DiscRate)^($B87+Construct-1)</f>
        <v>#N/A</v>
      </c>
      <c r="Y87" s="1332" t="e">
        <f>R87*VLOOKUP(ProjLoc,EmCost,4)/(1+DiscRate)^($B87+Construct-1)</f>
        <v>#N/A</v>
      </c>
      <c r="Z87" s="1332" t="e">
        <f>S87*VLOOKUP(ProjLoc,EmCost,5)/(1+DiscRate)^($B87+Construct-1)</f>
        <v>#N/A</v>
      </c>
      <c r="AA87" s="1332" t="e">
        <f>T87*VLOOKUP(ProjLoc,EmCost,6)/(1+DiscRate)^($B87+Construct-1)</f>
        <v>#N/A</v>
      </c>
      <c r="AB87" s="499" t="e">
        <f>U87*VLOOKUP(ProjLoc,EmCost,7)/(1+DiscRate)^($B87+Construct-1)</f>
        <v>#N/A</v>
      </c>
      <c r="AD87" s="328">
        <v>20</v>
      </c>
      <c r="AE87" s="353">
        <f>IF(PassRail,TVehMi20NB/TVehPerTrainNB,0)</f>
        <v>0</v>
      </c>
      <c r="AF87" s="354">
        <f>IF(PassRail,TVehMi20B/TVehPerTrainB,0)</f>
        <v>0</v>
      </c>
      <c r="AG87" s="428"/>
      <c r="AH87" s="430"/>
      <c r="AI87" s="520" t="e">
        <f>AE87*0.00000110231131*(VLOOKUP(2040,EmPassTrain,2)*VLOOKUP(ProjLoc,EmCost,2)+VLOOKUP(2040,EmPassTrain,3)*VLOOKUP(ProjLoc,EmCost,3)*(1+CO2Uprater)^($AD87+Construct-1)+VLOOKUP(2040,EmPassTrain,4)*VLOOKUP(ProjLoc,EmCost,4)+VLOOKUP(2040,EmPassTrain,5)*VLOOKUP(ProjLoc,EmCost,5)+VLOOKUP(2040,EmPassTrain,6)*VLOOKUP(ProjLoc,EmCost,6)+VLOOKUP(2040,EmPassTrain,7)*VLOOKUP(ProjLoc,EmCost,7))</f>
        <v>#N/A</v>
      </c>
      <c r="AJ87" s="499" t="e">
        <f>AF87*0.00000110231131*(VLOOKUP(2040,EmPassTrain,2)*VLOOKUP(ProjLoc,EmCost,2)+VLOOKUP(2040,EmPassTrain,3)*VLOOKUP(ProjLoc,EmCost,3)*(1+CO2Uprater)^($AD87+Construct-1)+VLOOKUP(2040,EmPassTrain,4)*VLOOKUP(ProjLoc,EmCost,4)+VLOOKUP(2040,EmPassTrain,5)*VLOOKUP(ProjLoc,EmCost,5)+VLOOKUP(2040,EmPassTrain,6)*VLOOKUP(ProjLoc,EmCost,6)+VLOOKUP(2040,EmPassTrain,7)*VLOOKUP(ProjLoc,EmCost,7))</f>
        <v>#N/A</v>
      </c>
      <c r="AK87" s="285" t="e">
        <f>AI87-AJ87</f>
        <v>#N/A</v>
      </c>
      <c r="AL87" s="323" t="e">
        <f>$AK87/(1+DiscRate)^($AD87+Construct-1)</f>
        <v>#N/A</v>
      </c>
      <c r="AM87" s="474"/>
      <c r="AN87" s="1037">
        <f>0.00000110231131*(AE87-AF87)*VLOOKUP(2040,EmPassTrain,2)</f>
        <v>0</v>
      </c>
      <c r="AO87" s="1322">
        <f>0.00000110231131*(AE87-AF87)*VLOOKUP(2040,EmPassTrain,3)</f>
        <v>0</v>
      </c>
      <c r="AP87" s="1322">
        <f>0.00000110231131*(AE87-AF87)*VLOOKUP(2040,EmPassTrain,4)</f>
        <v>0</v>
      </c>
      <c r="AQ87" s="1322">
        <f>0.00000110231131*(AE87-AF87)*VLOOKUP(2040,EmPassTrain,5)</f>
        <v>0</v>
      </c>
      <c r="AR87" s="1322">
        <f>0.00000110231131*(AE87-AF87)*VLOOKUP(2040,EmPassTrain,6)</f>
        <v>0</v>
      </c>
      <c r="AS87" s="1322">
        <f>0.00000110231131*(AE87-AF87)*VLOOKUP(2040,EmPassTrain,7)</f>
        <v>0</v>
      </c>
      <c r="AT87" s="1330">
        <f>0.00000110231131*(AE87-AF87)*VLOOKUP(2040,EmPassTrain,8)</f>
        <v>0</v>
      </c>
      <c r="AU87" s="520" t="e">
        <f>AN87*VLOOKUP(ProjLoc,EmCost,2)/(1+DiscRate)^($AD87+Construct-1)</f>
        <v>#N/A</v>
      </c>
      <c r="AV87" s="1332" t="e">
        <f>AO87*VLOOKUP(ProjLoc,EmCost,3)*(1+CO2Uprater)^($AD87+Construct-1)/(1+DiscRate)^($AD87+Construct-1)</f>
        <v>#N/A</v>
      </c>
      <c r="AW87" s="1332" t="e">
        <f>AP87*VLOOKUP(ProjLoc,EmCost,4)/(1+DiscRate)^($AD87+Construct-1)</f>
        <v>#N/A</v>
      </c>
      <c r="AX87" s="1332" t="e">
        <f>AQ87*VLOOKUP(ProjLoc,EmCost,5)/(1+DiscRate)^($AD87+Construct-1)</f>
        <v>#N/A</v>
      </c>
      <c r="AY87" s="1332" t="e">
        <f>AR87*VLOOKUP(ProjLoc,EmCost,6)/(1+DiscRate)^($AD87+Construct-1)</f>
        <v>#N/A</v>
      </c>
      <c r="AZ87" s="499" t="e">
        <f>AS87*VLOOKUP(ProjLoc,EmCost,7)/(1+DiscRate)^($AD87+Construct-1)</f>
        <v>#N/A</v>
      </c>
    </row>
    <row r="88" spans="2:52" x14ac:dyDescent="0.25">
      <c r="B88" s="357"/>
      <c r="C88" s="355"/>
      <c r="D88" s="355"/>
      <c r="E88" s="367"/>
      <c r="F88" s="367"/>
      <c r="G88" s="356"/>
      <c r="H88" s="356"/>
      <c r="I88" s="356"/>
      <c r="J88" s="356"/>
      <c r="K88" s="356"/>
      <c r="L88" s="356"/>
      <c r="M88" s="356"/>
      <c r="N88" s="358"/>
      <c r="O88" s="475"/>
      <c r="P88" s="358"/>
      <c r="Q88" s="358"/>
      <c r="R88" s="358"/>
      <c r="S88" s="358"/>
      <c r="T88" s="358"/>
      <c r="U88" s="358"/>
      <c r="V88" s="358"/>
      <c r="W88" s="358"/>
      <c r="X88" s="356"/>
      <c r="Y88" s="358"/>
      <c r="Z88" s="358"/>
      <c r="AA88" s="358"/>
      <c r="AB88" s="358"/>
      <c r="AD88" s="357"/>
      <c r="AE88" s="355"/>
      <c r="AF88" s="355"/>
      <c r="AG88" s="356"/>
      <c r="AH88" s="356"/>
      <c r="AI88" s="356"/>
      <c r="AJ88" s="356"/>
      <c r="AK88" s="356"/>
      <c r="AL88" s="358"/>
      <c r="AM88" s="475"/>
      <c r="AN88" s="358"/>
      <c r="AO88" s="358"/>
      <c r="AP88" s="358"/>
      <c r="AQ88" s="358"/>
      <c r="AR88" s="358"/>
      <c r="AS88" s="358"/>
      <c r="AT88" s="358"/>
      <c r="AU88" s="358"/>
      <c r="AV88" s="356"/>
      <c r="AW88" s="358"/>
      <c r="AX88" s="358"/>
      <c r="AY88" s="358"/>
      <c r="AZ88" s="358"/>
    </row>
    <row r="89" spans="2:52" x14ac:dyDescent="0.25">
      <c r="B89" s="352">
        <v>2</v>
      </c>
      <c r="C89" s="368">
        <f>TREND(C86:C87,B86:B87,B89)</f>
        <v>0</v>
      </c>
      <c r="D89" s="369">
        <f>TREND(D86:D87,B86:B87,B89)</f>
        <v>0</v>
      </c>
      <c r="E89" s="370">
        <f>TREND(E86:E87,B86:B87,B89)</f>
        <v>55</v>
      </c>
      <c r="F89" s="371">
        <f>TREND(F86:F87,B86:B87,B89)</f>
        <v>55</v>
      </c>
      <c r="G89" s="339">
        <f t="shared" ref="G89:G106" si="156">ImpactedNB*C89</f>
        <v>0</v>
      </c>
      <c r="H89" s="434">
        <f t="shared" ref="H89:H106" si="157">ImpactedB*D89</f>
        <v>0</v>
      </c>
      <c r="I89" s="515" t="e">
        <f t="shared" ref="I89:J94" si="158">G89*0.00000110231131*(VLOOKUP(E89,EmAuto1,2)*VLOOKUP(ProjLoc,EmCost,2)+VLOOKUP(E89,EmAuto1,3)*VLOOKUP(ProjLoc,EmCost,3)*(1+CO2Uprater)^($B89+Construct-1)+VLOOKUP(E89,EmAuto1,4)*VLOOKUP(ProjLoc,EmCost,4)+VLOOKUP(E89,EmAuto1,5)*VLOOKUP(ProjLoc,EmCost,5)+VLOOKUP(E89,EmAuto1,6)*VLOOKUP(ProjLoc,EmCost,6)+VLOOKUP(E89,EmAuto1,7)*VLOOKUP(ProjLoc,EmCost,7))*IF(UserAdjInputs,1,VLOOKUP(TMSLookup,TMSAdj,9))</f>
        <v>#N/A</v>
      </c>
      <c r="J89" s="498" t="e">
        <f t="shared" si="158"/>
        <v>#N/A</v>
      </c>
      <c r="K89" s="515" t="e">
        <f t="shared" ref="K89:L94" si="159">C89*0.00000110231131*(VLOOKUP(0,EmAuto1,2)*VLOOKUP(ProjLoc,EmCost,2)+VLOOKUP(0,EmAuto1,3)*VLOOKUP(ProjLoc,EmCost,3)*(1+CO2Uprater)^($B89+Construct-1)+VLOOKUP(0,EmAuto1,4)*VLOOKUP(ProjLoc,EmCost,4)+VLOOKUP(0,EmAuto1,5)*VLOOKUP(ProjLoc,EmCost,5)+VLOOKUP(0,EmAuto1,6)*VLOOKUP(ProjLoc,EmCost,6)+VLOOKUP(0,EmAuto1,7)*VLOOKUP(ProjLoc,EmCost,7))*IF(UserAdjInputs,1,VLOOKUP(TMSLookup,TMSAdj,9))</f>
        <v>#N/A</v>
      </c>
      <c r="L89" s="498" t="e">
        <f t="shared" si="159"/>
        <v>#N/A</v>
      </c>
      <c r="M89" s="285" t="e">
        <f>(I89+K89)-(J89+L89)</f>
        <v>#N/A</v>
      </c>
      <c r="N89" s="323" t="e">
        <f t="shared" ref="N89:N106" si="160">$M89/(1+DiscRate)^($B89+Construct-1)</f>
        <v>#N/A</v>
      </c>
      <c r="O89" s="474"/>
      <c r="P89" s="1036">
        <f t="shared" ref="P89:P94" si="161">0.00000110231131*(G89*VLOOKUP(E89,EmAuto1,2)-H89*VLOOKUP(F89,EmAuto1,2)+(C89-D89)*VLOOKUP(0,EmAuto1,2))*IF(UserAdjInputs,1,VLOOKUP(TMSLookup,TMSAdj,9))</f>
        <v>0</v>
      </c>
      <c r="Q89" s="1321">
        <f t="shared" ref="Q89:Q94" si="162">0.00000110231131*(G89*VLOOKUP(E89,EmAuto1,3)-H89*VLOOKUP(F89,EmAuto1,3)+(C89-D89)*VLOOKUP(0,EmAuto1,3))*IF(UserAdjInputs,1,VLOOKUP(TMSLookup,TMSAdj,9))</f>
        <v>0</v>
      </c>
      <c r="R89" s="1321">
        <f t="shared" ref="R89:R94" si="163">0.00000110231131*(G89*VLOOKUP(E89,EmAuto1,4)-H89*VLOOKUP(F89,EmAuto1,4)+(C89-D89)*VLOOKUP(0,EmAuto1,4))*IF(UserAdjInputs,1,VLOOKUP(TMSLookup,TMSAdj,9))</f>
        <v>0</v>
      </c>
      <c r="S89" s="1321">
        <f t="shared" ref="S89:S94" si="164">0.00000110231131*(G89*VLOOKUP(E89,EmAuto1,5)-H89*VLOOKUP(F89,EmAuto1,5)+(C89-D89)*VLOOKUP(0,EmAuto1,5))*IF(UserAdjInputs,1,VLOOKUP(TMSLookup,TMSAdj,9))</f>
        <v>0</v>
      </c>
      <c r="T89" s="1321">
        <f t="shared" ref="T89:T94" si="165">0.00000110231131*(G89*VLOOKUP(E89,EmAuto1,6)-H89*VLOOKUP(F89,EmAuto1,6)+(C89-D89)*VLOOKUP(0,EmAuto1,6))*IF(UserAdjInputs,1,VLOOKUP(TMSLookup,TMSAdj,9))</f>
        <v>0</v>
      </c>
      <c r="U89" s="1321">
        <f t="shared" ref="U89:U94" si="166">0.00000110231131*(G89*VLOOKUP(E89,EmAuto1,7)-H89*VLOOKUP(F89,EmAuto1,7)+(C89-D89)*VLOOKUP(0,EmAuto1,7))*IF(UserAdjInputs,1,VLOOKUP(TMSLookup,TMSAdj,9))</f>
        <v>0</v>
      </c>
      <c r="V89" s="1323">
        <f t="shared" ref="V89:V94" si="167">0.00000110231131*(G89*VLOOKUP(E89,EmAuto1,8)-H89*VLOOKUP(F89,EmAuto1,8)+(C89-D89)*VLOOKUP(0,EmAuto1,8))*IF(UserAdjInputs,1,VLOOKUP(TMSLookup,TMSAdj,9))</f>
        <v>0</v>
      </c>
      <c r="W89" s="515" t="e">
        <f t="shared" ref="W89:W106" si="168">P89*VLOOKUP(ProjLoc,EmCost,2)/(1+DiscRate)^($B89+Construct-1)</f>
        <v>#N/A</v>
      </c>
      <c r="X89" s="1331" t="e">
        <f t="shared" ref="X89:X106" si="169">Q89*VLOOKUP(ProjLoc,EmCost,3)*(1+CO2Uprater)^($B89+Construct-1)/(1+DiscRate)^($B89+Construct-1)</f>
        <v>#N/A</v>
      </c>
      <c r="Y89" s="1331" t="e">
        <f t="shared" ref="Y89:Y106" si="170">R89*VLOOKUP(ProjLoc,EmCost,4)/(1+DiscRate)^($B89+Construct-1)</f>
        <v>#N/A</v>
      </c>
      <c r="Z89" s="1331" t="e">
        <f t="shared" ref="Z89:Z106" si="171">S89*VLOOKUP(ProjLoc,EmCost,5)/(1+DiscRate)^($B89+Construct-1)</f>
        <v>#N/A</v>
      </c>
      <c r="AA89" s="1331" t="e">
        <f t="shared" ref="AA89:AA106" si="172">T89*VLOOKUP(ProjLoc,EmCost,6)/(1+DiscRate)^($B89+Construct-1)</f>
        <v>#N/A</v>
      </c>
      <c r="AB89" s="498" t="e">
        <f t="shared" ref="AB89:AB106" si="173">U89*VLOOKUP(ProjLoc,EmCost,7)/(1+DiscRate)^($B89+Construct-1)</f>
        <v>#N/A</v>
      </c>
      <c r="AD89" s="352">
        <v>2</v>
      </c>
      <c r="AE89" s="368">
        <f>TREND(AE86:AE87,AD86:AD87,AD89)</f>
        <v>0</v>
      </c>
      <c r="AF89" s="629">
        <f>TREND(AF86:AF87,AD86:AD87,AD89)</f>
        <v>0</v>
      </c>
      <c r="AG89" s="428"/>
      <c r="AH89" s="429"/>
      <c r="AI89" s="515" t="e">
        <f t="shared" ref="AI89:AJ94" si="174">AE89*0.00000110231131*(VLOOKUP(2010,EmPassTrain,2)*VLOOKUP(ProjLoc,EmCost,2)+VLOOKUP(2010,EmPassTrain,3)*VLOOKUP(ProjLoc,EmCost,3)*(1+CO2Uprater)^($AD89+Construct-1)+VLOOKUP(2010,EmPassTrain,4)*VLOOKUP(ProjLoc,EmCost,4)+VLOOKUP(2010,EmPassTrain,5)*VLOOKUP(ProjLoc,EmCost,5)+VLOOKUP(2010,EmPassTrain,6)*VLOOKUP(ProjLoc,EmCost,6)+VLOOKUP(2010,EmPassTrain,7)*VLOOKUP(ProjLoc,EmCost,7))</f>
        <v>#N/A</v>
      </c>
      <c r="AJ89" s="498" t="e">
        <f t="shared" si="174"/>
        <v>#N/A</v>
      </c>
      <c r="AK89" s="285" t="e">
        <f t="shared" ref="AK89:AK106" si="175">AI89-AJ89</f>
        <v>#N/A</v>
      </c>
      <c r="AL89" s="323" t="e">
        <f t="shared" ref="AL89:AL106" si="176">$AK89/(1+DiscRate)^($AD89+Construct-1)</f>
        <v>#N/A</v>
      </c>
      <c r="AM89" s="474"/>
      <c r="AN89" s="1036">
        <f t="shared" ref="AN89:AN94" si="177">0.00000110231131*(AE89-AF89)*VLOOKUP(2010,EmPassTrain,2)</f>
        <v>0</v>
      </c>
      <c r="AO89" s="1321">
        <f t="shared" ref="AO89:AO94" si="178">0.00000110231131*(AE89-AF89)*VLOOKUP(2010,EmPassTrain,3)</f>
        <v>0</v>
      </c>
      <c r="AP89" s="1321">
        <f t="shared" ref="AP89:AP94" si="179">0.00000110231131*(AE89-AF89)*VLOOKUP(2010,EmPassTrain,4)</f>
        <v>0</v>
      </c>
      <c r="AQ89" s="1321">
        <f t="shared" ref="AQ89:AQ94" si="180">0.00000110231131*(AE89-AF89)*VLOOKUP(2010,EmPassTrain,5)</f>
        <v>0</v>
      </c>
      <c r="AR89" s="1321">
        <f t="shared" ref="AR89:AR94" si="181">0.00000110231131*(AE89-AF89)*VLOOKUP(2010,EmPassTrain,6)</f>
        <v>0</v>
      </c>
      <c r="AS89" s="1321">
        <f t="shared" ref="AS89:AS94" si="182">0.00000110231131*(AE89-AF89)*VLOOKUP(2010,EmPassTrain,7)</f>
        <v>0</v>
      </c>
      <c r="AT89" s="1323">
        <f t="shared" ref="AT89:AT94" si="183">0.00000110231131*(AE89-AF89)*VLOOKUP(2010,EmPassTrain,8)</f>
        <v>0</v>
      </c>
      <c r="AU89" s="515" t="e">
        <f t="shared" ref="AU89:AU106" si="184">AN89*VLOOKUP(ProjLoc,EmCost,2)/(1+DiscRate)^($AD89+Construct-1)</f>
        <v>#N/A</v>
      </c>
      <c r="AV89" s="1331" t="e">
        <f t="shared" ref="AV89:AV106" si="185">AO89*VLOOKUP(ProjLoc,EmCost,3)*(1+CO2Uprater)^($AD89+Construct-1)/(1+DiscRate)^($AD89+Construct-1)</f>
        <v>#N/A</v>
      </c>
      <c r="AW89" s="1331" t="e">
        <f t="shared" ref="AW89:AW106" si="186">AP89*VLOOKUP(ProjLoc,EmCost,4)/(1+DiscRate)^($AD89+Construct-1)</f>
        <v>#N/A</v>
      </c>
      <c r="AX89" s="1331" t="e">
        <f t="shared" ref="AX89:AX106" si="187">AQ89*VLOOKUP(ProjLoc,EmCost,5)/(1+DiscRate)^($AD89+Construct-1)</f>
        <v>#N/A</v>
      </c>
      <c r="AY89" s="1331" t="e">
        <f t="shared" ref="AY89:AY106" si="188">AR89*VLOOKUP(ProjLoc,EmCost,6)/(1+DiscRate)^($AD89+Construct-1)</f>
        <v>#N/A</v>
      </c>
      <c r="AZ89" s="498" t="e">
        <f t="shared" ref="AZ89:AZ106" si="189">AS89*VLOOKUP(ProjLoc,EmCost,7)/(1+DiscRate)^($AD89+Construct-1)</f>
        <v>#N/A</v>
      </c>
    </row>
    <row r="90" spans="2:52" x14ac:dyDescent="0.25">
      <c r="B90" s="327">
        <v>3</v>
      </c>
      <c r="C90" s="347">
        <f>TREND(C86:C87,B86:B87,B90)</f>
        <v>0</v>
      </c>
      <c r="D90" s="372">
        <f>TREND(D86:D87,B86:B87,B90)</f>
        <v>0</v>
      </c>
      <c r="E90" s="373">
        <f>TREND(E86:E87,B86:B87,B90)</f>
        <v>55</v>
      </c>
      <c r="F90" s="374">
        <f>TREND(F86:F87,B86:B87,B90)</f>
        <v>55</v>
      </c>
      <c r="G90" s="339">
        <f t="shared" si="156"/>
        <v>0</v>
      </c>
      <c r="H90" s="436">
        <f t="shared" si="157"/>
        <v>0</v>
      </c>
      <c r="I90" s="521" t="e">
        <f t="shared" si="158"/>
        <v>#N/A</v>
      </c>
      <c r="J90" s="500" t="e">
        <f t="shared" si="158"/>
        <v>#N/A</v>
      </c>
      <c r="K90" s="521" t="e">
        <f t="shared" si="159"/>
        <v>#N/A</v>
      </c>
      <c r="L90" s="500" t="e">
        <f t="shared" si="159"/>
        <v>#N/A</v>
      </c>
      <c r="M90" s="285" t="e">
        <f t="shared" ref="M90:M106" si="190">(I90+K90)-(J90+L90)</f>
        <v>#N/A</v>
      </c>
      <c r="N90" s="323" t="e">
        <f t="shared" si="160"/>
        <v>#N/A</v>
      </c>
      <c r="O90" s="474"/>
      <c r="P90" s="1038">
        <f t="shared" si="161"/>
        <v>0</v>
      </c>
      <c r="Q90" s="1324">
        <f t="shared" si="162"/>
        <v>0</v>
      </c>
      <c r="R90" s="1324">
        <f t="shared" si="163"/>
        <v>0</v>
      </c>
      <c r="S90" s="1324">
        <f t="shared" si="164"/>
        <v>0</v>
      </c>
      <c r="T90" s="1324">
        <f t="shared" si="165"/>
        <v>0</v>
      </c>
      <c r="U90" s="1324">
        <f t="shared" si="166"/>
        <v>0</v>
      </c>
      <c r="V90" s="1325">
        <f t="shared" si="167"/>
        <v>0</v>
      </c>
      <c r="W90" s="521" t="e">
        <f t="shared" si="168"/>
        <v>#N/A</v>
      </c>
      <c r="X90" s="1333" t="e">
        <f t="shared" si="169"/>
        <v>#N/A</v>
      </c>
      <c r="Y90" s="1333" t="e">
        <f t="shared" si="170"/>
        <v>#N/A</v>
      </c>
      <c r="Z90" s="1333" t="e">
        <f t="shared" si="171"/>
        <v>#N/A</v>
      </c>
      <c r="AA90" s="1333" t="e">
        <f t="shared" si="172"/>
        <v>#N/A</v>
      </c>
      <c r="AB90" s="500" t="e">
        <f t="shared" si="173"/>
        <v>#N/A</v>
      </c>
      <c r="AD90" s="327">
        <v>3</v>
      </c>
      <c r="AE90" s="347">
        <f>TREND(AE86:AE87,AD86:AD87,AD90)</f>
        <v>0</v>
      </c>
      <c r="AF90" s="630">
        <f>TREND(AF86:AF87,AD86:AD87,AD90)</f>
        <v>0</v>
      </c>
      <c r="AG90" s="428"/>
      <c r="AH90" s="431"/>
      <c r="AI90" s="521" t="e">
        <f t="shared" si="174"/>
        <v>#N/A</v>
      </c>
      <c r="AJ90" s="500" t="e">
        <f t="shared" si="174"/>
        <v>#N/A</v>
      </c>
      <c r="AK90" s="285" t="e">
        <f t="shared" si="175"/>
        <v>#N/A</v>
      </c>
      <c r="AL90" s="323" t="e">
        <f t="shared" si="176"/>
        <v>#N/A</v>
      </c>
      <c r="AM90" s="474"/>
      <c r="AN90" s="1038">
        <f t="shared" si="177"/>
        <v>0</v>
      </c>
      <c r="AO90" s="1324">
        <f t="shared" si="178"/>
        <v>0</v>
      </c>
      <c r="AP90" s="1324">
        <f t="shared" si="179"/>
        <v>0</v>
      </c>
      <c r="AQ90" s="1324">
        <f t="shared" si="180"/>
        <v>0</v>
      </c>
      <c r="AR90" s="1324">
        <f t="shared" si="181"/>
        <v>0</v>
      </c>
      <c r="AS90" s="1324">
        <f t="shared" si="182"/>
        <v>0</v>
      </c>
      <c r="AT90" s="1325">
        <f t="shared" si="183"/>
        <v>0</v>
      </c>
      <c r="AU90" s="521" t="e">
        <f t="shared" si="184"/>
        <v>#N/A</v>
      </c>
      <c r="AV90" s="1333" t="e">
        <f t="shared" si="185"/>
        <v>#N/A</v>
      </c>
      <c r="AW90" s="1333" t="e">
        <f t="shared" si="186"/>
        <v>#N/A</v>
      </c>
      <c r="AX90" s="1333" t="e">
        <f t="shared" si="187"/>
        <v>#N/A</v>
      </c>
      <c r="AY90" s="1333" t="e">
        <f t="shared" si="188"/>
        <v>#N/A</v>
      </c>
      <c r="AZ90" s="500" t="e">
        <f t="shared" si="189"/>
        <v>#N/A</v>
      </c>
    </row>
    <row r="91" spans="2:52" x14ac:dyDescent="0.25">
      <c r="B91" s="327">
        <v>4</v>
      </c>
      <c r="C91" s="347">
        <f>TREND(C86:C87,B86:B87,B91)</f>
        <v>0</v>
      </c>
      <c r="D91" s="372">
        <f>TREND(D86:D87,B86:B87,B91)</f>
        <v>0</v>
      </c>
      <c r="E91" s="373">
        <f>TREND(E86:E87,B86:B87,B91)</f>
        <v>55</v>
      </c>
      <c r="F91" s="374">
        <f>TREND(F86:F87,B86:B87,B91)</f>
        <v>55</v>
      </c>
      <c r="G91" s="339">
        <f t="shared" si="156"/>
        <v>0</v>
      </c>
      <c r="H91" s="436">
        <f t="shared" si="157"/>
        <v>0</v>
      </c>
      <c r="I91" s="521" t="e">
        <f t="shared" si="158"/>
        <v>#N/A</v>
      </c>
      <c r="J91" s="500" t="e">
        <f t="shared" si="158"/>
        <v>#N/A</v>
      </c>
      <c r="K91" s="521" t="e">
        <f t="shared" si="159"/>
        <v>#N/A</v>
      </c>
      <c r="L91" s="500" t="e">
        <f t="shared" si="159"/>
        <v>#N/A</v>
      </c>
      <c r="M91" s="285" t="e">
        <f t="shared" si="190"/>
        <v>#N/A</v>
      </c>
      <c r="N91" s="323" t="e">
        <f t="shared" si="160"/>
        <v>#N/A</v>
      </c>
      <c r="O91" s="474"/>
      <c r="P91" s="1038">
        <f t="shared" si="161"/>
        <v>0</v>
      </c>
      <c r="Q91" s="1324">
        <f t="shared" si="162"/>
        <v>0</v>
      </c>
      <c r="R91" s="1324">
        <f t="shared" si="163"/>
        <v>0</v>
      </c>
      <c r="S91" s="1324">
        <f t="shared" si="164"/>
        <v>0</v>
      </c>
      <c r="T91" s="1324">
        <f t="shared" si="165"/>
        <v>0</v>
      </c>
      <c r="U91" s="1324">
        <f t="shared" si="166"/>
        <v>0</v>
      </c>
      <c r="V91" s="1325">
        <f t="shared" si="167"/>
        <v>0</v>
      </c>
      <c r="W91" s="521" t="e">
        <f t="shared" si="168"/>
        <v>#N/A</v>
      </c>
      <c r="X91" s="1333" t="e">
        <f t="shared" si="169"/>
        <v>#N/A</v>
      </c>
      <c r="Y91" s="1333" t="e">
        <f t="shared" si="170"/>
        <v>#N/A</v>
      </c>
      <c r="Z91" s="1333" t="e">
        <f t="shared" si="171"/>
        <v>#N/A</v>
      </c>
      <c r="AA91" s="1333" t="e">
        <f t="shared" si="172"/>
        <v>#N/A</v>
      </c>
      <c r="AB91" s="500" t="e">
        <f t="shared" si="173"/>
        <v>#N/A</v>
      </c>
      <c r="AD91" s="327">
        <v>4</v>
      </c>
      <c r="AE91" s="347">
        <f>TREND(AE86:AE87,AD86:AD87,AD91)</f>
        <v>0</v>
      </c>
      <c r="AF91" s="630">
        <f>TREND(AF86:AF87,AD86:AD87,AD91)</f>
        <v>0</v>
      </c>
      <c r="AG91" s="428"/>
      <c r="AH91" s="431"/>
      <c r="AI91" s="521" t="e">
        <f t="shared" si="174"/>
        <v>#N/A</v>
      </c>
      <c r="AJ91" s="500" t="e">
        <f t="shared" si="174"/>
        <v>#N/A</v>
      </c>
      <c r="AK91" s="285" t="e">
        <f t="shared" si="175"/>
        <v>#N/A</v>
      </c>
      <c r="AL91" s="323" t="e">
        <f t="shared" si="176"/>
        <v>#N/A</v>
      </c>
      <c r="AM91" s="474"/>
      <c r="AN91" s="1038">
        <f t="shared" si="177"/>
        <v>0</v>
      </c>
      <c r="AO91" s="1324">
        <f t="shared" si="178"/>
        <v>0</v>
      </c>
      <c r="AP91" s="1324">
        <f t="shared" si="179"/>
        <v>0</v>
      </c>
      <c r="AQ91" s="1324">
        <f t="shared" si="180"/>
        <v>0</v>
      </c>
      <c r="AR91" s="1324">
        <f t="shared" si="181"/>
        <v>0</v>
      </c>
      <c r="AS91" s="1324">
        <f t="shared" si="182"/>
        <v>0</v>
      </c>
      <c r="AT91" s="1325">
        <f t="shared" si="183"/>
        <v>0</v>
      </c>
      <c r="AU91" s="521" t="e">
        <f t="shared" si="184"/>
        <v>#N/A</v>
      </c>
      <c r="AV91" s="1333" t="e">
        <f t="shared" si="185"/>
        <v>#N/A</v>
      </c>
      <c r="AW91" s="1333" t="e">
        <f t="shared" si="186"/>
        <v>#N/A</v>
      </c>
      <c r="AX91" s="1333" t="e">
        <f t="shared" si="187"/>
        <v>#N/A</v>
      </c>
      <c r="AY91" s="1333" t="e">
        <f t="shared" si="188"/>
        <v>#N/A</v>
      </c>
      <c r="AZ91" s="500" t="e">
        <f t="shared" si="189"/>
        <v>#N/A</v>
      </c>
    </row>
    <row r="92" spans="2:52" x14ac:dyDescent="0.25">
      <c r="B92" s="327">
        <v>5</v>
      </c>
      <c r="C92" s="347">
        <f>TREND(C86:C87,B86:B87,B92)</f>
        <v>0</v>
      </c>
      <c r="D92" s="372">
        <f>TREND(D86:D87,B86:B87,B92)</f>
        <v>0</v>
      </c>
      <c r="E92" s="373">
        <f>TREND(E86:E87,B86:B87,B92)</f>
        <v>55</v>
      </c>
      <c r="F92" s="374">
        <f>TREND(F86:F87,B86:B87,B92)</f>
        <v>55</v>
      </c>
      <c r="G92" s="339">
        <f t="shared" si="156"/>
        <v>0</v>
      </c>
      <c r="H92" s="436">
        <f t="shared" si="157"/>
        <v>0</v>
      </c>
      <c r="I92" s="521" t="e">
        <f t="shared" si="158"/>
        <v>#N/A</v>
      </c>
      <c r="J92" s="500" t="e">
        <f t="shared" si="158"/>
        <v>#N/A</v>
      </c>
      <c r="K92" s="521" t="e">
        <f t="shared" si="159"/>
        <v>#N/A</v>
      </c>
      <c r="L92" s="500" t="e">
        <f t="shared" si="159"/>
        <v>#N/A</v>
      </c>
      <c r="M92" s="285" t="e">
        <f t="shared" si="190"/>
        <v>#N/A</v>
      </c>
      <c r="N92" s="323" t="e">
        <f t="shared" si="160"/>
        <v>#N/A</v>
      </c>
      <c r="O92" s="474"/>
      <c r="P92" s="1038">
        <f t="shared" si="161"/>
        <v>0</v>
      </c>
      <c r="Q92" s="1324">
        <f t="shared" si="162"/>
        <v>0</v>
      </c>
      <c r="R92" s="1324">
        <f t="shared" si="163"/>
        <v>0</v>
      </c>
      <c r="S92" s="1324">
        <f t="shared" si="164"/>
        <v>0</v>
      </c>
      <c r="T92" s="1324">
        <f t="shared" si="165"/>
        <v>0</v>
      </c>
      <c r="U92" s="1324">
        <f t="shared" si="166"/>
        <v>0</v>
      </c>
      <c r="V92" s="1325">
        <f t="shared" si="167"/>
        <v>0</v>
      </c>
      <c r="W92" s="521" t="e">
        <f t="shared" si="168"/>
        <v>#N/A</v>
      </c>
      <c r="X92" s="1333" t="e">
        <f t="shared" si="169"/>
        <v>#N/A</v>
      </c>
      <c r="Y92" s="1333" t="e">
        <f t="shared" si="170"/>
        <v>#N/A</v>
      </c>
      <c r="Z92" s="1333" t="e">
        <f t="shared" si="171"/>
        <v>#N/A</v>
      </c>
      <c r="AA92" s="1333" t="e">
        <f t="shared" si="172"/>
        <v>#N/A</v>
      </c>
      <c r="AB92" s="500" t="e">
        <f t="shared" si="173"/>
        <v>#N/A</v>
      </c>
      <c r="AD92" s="327">
        <v>5</v>
      </c>
      <c r="AE92" s="347">
        <f>TREND(AE86:AE87,AD86:AD87,AD92)</f>
        <v>0</v>
      </c>
      <c r="AF92" s="630">
        <f>TREND(AF86:AF87,AD86:AD87,AD92)</f>
        <v>0</v>
      </c>
      <c r="AG92" s="428"/>
      <c r="AH92" s="431"/>
      <c r="AI92" s="521" t="e">
        <f t="shared" si="174"/>
        <v>#N/A</v>
      </c>
      <c r="AJ92" s="500" t="e">
        <f t="shared" si="174"/>
        <v>#N/A</v>
      </c>
      <c r="AK92" s="285" t="e">
        <f t="shared" si="175"/>
        <v>#N/A</v>
      </c>
      <c r="AL92" s="323" t="e">
        <f t="shared" si="176"/>
        <v>#N/A</v>
      </c>
      <c r="AM92" s="474"/>
      <c r="AN92" s="1038">
        <f t="shared" si="177"/>
        <v>0</v>
      </c>
      <c r="AO92" s="1324">
        <f t="shared" si="178"/>
        <v>0</v>
      </c>
      <c r="AP92" s="1324">
        <f t="shared" si="179"/>
        <v>0</v>
      </c>
      <c r="AQ92" s="1324">
        <f t="shared" si="180"/>
        <v>0</v>
      </c>
      <c r="AR92" s="1324">
        <f t="shared" si="181"/>
        <v>0</v>
      </c>
      <c r="AS92" s="1324">
        <f t="shared" si="182"/>
        <v>0</v>
      </c>
      <c r="AT92" s="1325">
        <f t="shared" si="183"/>
        <v>0</v>
      </c>
      <c r="AU92" s="521" t="e">
        <f t="shared" si="184"/>
        <v>#N/A</v>
      </c>
      <c r="AV92" s="1333" t="e">
        <f t="shared" si="185"/>
        <v>#N/A</v>
      </c>
      <c r="AW92" s="1333" t="e">
        <f t="shared" si="186"/>
        <v>#N/A</v>
      </c>
      <c r="AX92" s="1333" t="e">
        <f t="shared" si="187"/>
        <v>#N/A</v>
      </c>
      <c r="AY92" s="1333" t="e">
        <f t="shared" si="188"/>
        <v>#N/A</v>
      </c>
      <c r="AZ92" s="500" t="e">
        <f t="shared" si="189"/>
        <v>#N/A</v>
      </c>
    </row>
    <row r="93" spans="2:52" x14ac:dyDescent="0.25">
      <c r="B93" s="327">
        <v>6</v>
      </c>
      <c r="C93" s="347">
        <f>TREND(C86:C87,B86:B87,B93)</f>
        <v>0</v>
      </c>
      <c r="D93" s="372">
        <f>TREND(D86:D87,B86:B87,B93)</f>
        <v>0</v>
      </c>
      <c r="E93" s="373">
        <f>TREND(E86:E87,B86:B87,B93)</f>
        <v>55</v>
      </c>
      <c r="F93" s="374">
        <f>TREND(F86:F87,B86:B87,B93)</f>
        <v>55</v>
      </c>
      <c r="G93" s="339">
        <f t="shared" si="156"/>
        <v>0</v>
      </c>
      <c r="H93" s="436">
        <f t="shared" si="157"/>
        <v>0</v>
      </c>
      <c r="I93" s="521" t="e">
        <f t="shared" si="158"/>
        <v>#N/A</v>
      </c>
      <c r="J93" s="500" t="e">
        <f t="shared" si="158"/>
        <v>#N/A</v>
      </c>
      <c r="K93" s="521" t="e">
        <f t="shared" si="159"/>
        <v>#N/A</v>
      </c>
      <c r="L93" s="500" t="e">
        <f t="shared" si="159"/>
        <v>#N/A</v>
      </c>
      <c r="M93" s="285" t="e">
        <f t="shared" si="190"/>
        <v>#N/A</v>
      </c>
      <c r="N93" s="323" t="e">
        <f t="shared" si="160"/>
        <v>#N/A</v>
      </c>
      <c r="O93" s="474"/>
      <c r="P93" s="1038">
        <f t="shared" si="161"/>
        <v>0</v>
      </c>
      <c r="Q93" s="1324">
        <f t="shared" si="162"/>
        <v>0</v>
      </c>
      <c r="R93" s="1324">
        <f t="shared" si="163"/>
        <v>0</v>
      </c>
      <c r="S93" s="1324">
        <f t="shared" si="164"/>
        <v>0</v>
      </c>
      <c r="T93" s="1324">
        <f t="shared" si="165"/>
        <v>0</v>
      </c>
      <c r="U93" s="1324">
        <f t="shared" si="166"/>
        <v>0</v>
      </c>
      <c r="V93" s="1325">
        <f t="shared" si="167"/>
        <v>0</v>
      </c>
      <c r="W93" s="521" t="e">
        <f t="shared" si="168"/>
        <v>#N/A</v>
      </c>
      <c r="X93" s="1333" t="e">
        <f t="shared" si="169"/>
        <v>#N/A</v>
      </c>
      <c r="Y93" s="1333" t="e">
        <f t="shared" si="170"/>
        <v>#N/A</v>
      </c>
      <c r="Z93" s="1333" t="e">
        <f t="shared" si="171"/>
        <v>#N/A</v>
      </c>
      <c r="AA93" s="1333" t="e">
        <f t="shared" si="172"/>
        <v>#N/A</v>
      </c>
      <c r="AB93" s="500" t="e">
        <f t="shared" si="173"/>
        <v>#N/A</v>
      </c>
      <c r="AD93" s="327">
        <v>6</v>
      </c>
      <c r="AE93" s="347">
        <f>TREND(AE86:AE87,AD86:AD87,AD93)</f>
        <v>0</v>
      </c>
      <c r="AF93" s="630">
        <f>TREND(AF86:AF87,AD86:AD87,AD93)</f>
        <v>0</v>
      </c>
      <c r="AG93" s="428"/>
      <c r="AH93" s="431"/>
      <c r="AI93" s="521" t="e">
        <f t="shared" si="174"/>
        <v>#N/A</v>
      </c>
      <c r="AJ93" s="500" t="e">
        <f t="shared" si="174"/>
        <v>#N/A</v>
      </c>
      <c r="AK93" s="285" t="e">
        <f t="shared" si="175"/>
        <v>#N/A</v>
      </c>
      <c r="AL93" s="323" t="e">
        <f t="shared" si="176"/>
        <v>#N/A</v>
      </c>
      <c r="AM93" s="474"/>
      <c r="AN93" s="1038">
        <f t="shared" si="177"/>
        <v>0</v>
      </c>
      <c r="AO93" s="1324">
        <f t="shared" si="178"/>
        <v>0</v>
      </c>
      <c r="AP93" s="1324">
        <f t="shared" si="179"/>
        <v>0</v>
      </c>
      <c r="AQ93" s="1324">
        <f t="shared" si="180"/>
        <v>0</v>
      </c>
      <c r="AR93" s="1324">
        <f t="shared" si="181"/>
        <v>0</v>
      </c>
      <c r="AS93" s="1324">
        <f t="shared" si="182"/>
        <v>0</v>
      </c>
      <c r="AT93" s="1325">
        <f t="shared" si="183"/>
        <v>0</v>
      </c>
      <c r="AU93" s="521" t="e">
        <f t="shared" si="184"/>
        <v>#N/A</v>
      </c>
      <c r="AV93" s="1333" t="e">
        <f t="shared" si="185"/>
        <v>#N/A</v>
      </c>
      <c r="AW93" s="1333" t="e">
        <f t="shared" si="186"/>
        <v>#N/A</v>
      </c>
      <c r="AX93" s="1333" t="e">
        <f t="shared" si="187"/>
        <v>#N/A</v>
      </c>
      <c r="AY93" s="1333" t="e">
        <f t="shared" si="188"/>
        <v>#N/A</v>
      </c>
      <c r="AZ93" s="500" t="e">
        <f t="shared" si="189"/>
        <v>#N/A</v>
      </c>
    </row>
    <row r="94" spans="2:52" x14ac:dyDescent="0.25">
      <c r="B94" s="327">
        <v>7</v>
      </c>
      <c r="C94" s="347">
        <f>TREND(C86:C87,B86:B87,B94)</f>
        <v>0</v>
      </c>
      <c r="D94" s="372">
        <f>TREND(D86:D87,B86:B87,B94)</f>
        <v>0</v>
      </c>
      <c r="E94" s="373">
        <f>TREND(E86:E87,B86:B87,B94)</f>
        <v>55</v>
      </c>
      <c r="F94" s="374">
        <f>TREND(F86:F87,B86:B87,B94)</f>
        <v>55</v>
      </c>
      <c r="G94" s="339">
        <f t="shared" si="156"/>
        <v>0</v>
      </c>
      <c r="H94" s="436">
        <f t="shared" si="157"/>
        <v>0</v>
      </c>
      <c r="I94" s="521" t="e">
        <f t="shared" si="158"/>
        <v>#N/A</v>
      </c>
      <c r="J94" s="500" t="e">
        <f t="shared" si="158"/>
        <v>#N/A</v>
      </c>
      <c r="K94" s="521" t="e">
        <f t="shared" si="159"/>
        <v>#N/A</v>
      </c>
      <c r="L94" s="500" t="e">
        <f t="shared" si="159"/>
        <v>#N/A</v>
      </c>
      <c r="M94" s="285" t="e">
        <f t="shared" si="190"/>
        <v>#N/A</v>
      </c>
      <c r="N94" s="323" t="e">
        <f t="shared" si="160"/>
        <v>#N/A</v>
      </c>
      <c r="O94" s="474"/>
      <c r="P94" s="1038">
        <f t="shared" si="161"/>
        <v>0</v>
      </c>
      <c r="Q94" s="1324">
        <f t="shared" si="162"/>
        <v>0</v>
      </c>
      <c r="R94" s="1324">
        <f t="shared" si="163"/>
        <v>0</v>
      </c>
      <c r="S94" s="1324">
        <f t="shared" si="164"/>
        <v>0</v>
      </c>
      <c r="T94" s="1324">
        <f t="shared" si="165"/>
        <v>0</v>
      </c>
      <c r="U94" s="1324">
        <f t="shared" si="166"/>
        <v>0</v>
      </c>
      <c r="V94" s="1325">
        <f t="shared" si="167"/>
        <v>0</v>
      </c>
      <c r="W94" s="521" t="e">
        <f t="shared" si="168"/>
        <v>#N/A</v>
      </c>
      <c r="X94" s="1333" t="e">
        <f t="shared" si="169"/>
        <v>#N/A</v>
      </c>
      <c r="Y94" s="1333" t="e">
        <f t="shared" si="170"/>
        <v>#N/A</v>
      </c>
      <c r="Z94" s="1333" t="e">
        <f t="shared" si="171"/>
        <v>#N/A</v>
      </c>
      <c r="AA94" s="1333" t="e">
        <f t="shared" si="172"/>
        <v>#N/A</v>
      </c>
      <c r="AB94" s="500" t="e">
        <f t="shared" si="173"/>
        <v>#N/A</v>
      </c>
      <c r="AD94" s="327">
        <v>7</v>
      </c>
      <c r="AE94" s="347">
        <f>TREND(AE86:AE87,AD86:AD87,AD94)</f>
        <v>0</v>
      </c>
      <c r="AF94" s="630">
        <f>TREND(AF86:AF87,AD86:AD87,AD94)</f>
        <v>0</v>
      </c>
      <c r="AG94" s="428"/>
      <c r="AH94" s="431"/>
      <c r="AI94" s="521" t="e">
        <f t="shared" si="174"/>
        <v>#N/A</v>
      </c>
      <c r="AJ94" s="500" t="e">
        <f t="shared" si="174"/>
        <v>#N/A</v>
      </c>
      <c r="AK94" s="285" t="e">
        <f t="shared" si="175"/>
        <v>#N/A</v>
      </c>
      <c r="AL94" s="323" t="e">
        <f t="shared" si="176"/>
        <v>#N/A</v>
      </c>
      <c r="AM94" s="474"/>
      <c r="AN94" s="1038">
        <f t="shared" si="177"/>
        <v>0</v>
      </c>
      <c r="AO94" s="1324">
        <f t="shared" si="178"/>
        <v>0</v>
      </c>
      <c r="AP94" s="1324">
        <f t="shared" si="179"/>
        <v>0</v>
      </c>
      <c r="AQ94" s="1324">
        <f t="shared" si="180"/>
        <v>0</v>
      </c>
      <c r="AR94" s="1324">
        <f t="shared" si="181"/>
        <v>0</v>
      </c>
      <c r="AS94" s="1324">
        <f t="shared" si="182"/>
        <v>0</v>
      </c>
      <c r="AT94" s="1325">
        <f t="shared" si="183"/>
        <v>0</v>
      </c>
      <c r="AU94" s="521" t="e">
        <f t="shared" si="184"/>
        <v>#N/A</v>
      </c>
      <c r="AV94" s="1333" t="e">
        <f t="shared" si="185"/>
        <v>#N/A</v>
      </c>
      <c r="AW94" s="1333" t="e">
        <f t="shared" si="186"/>
        <v>#N/A</v>
      </c>
      <c r="AX94" s="1333" t="e">
        <f t="shared" si="187"/>
        <v>#N/A</v>
      </c>
      <c r="AY94" s="1333" t="e">
        <f t="shared" si="188"/>
        <v>#N/A</v>
      </c>
      <c r="AZ94" s="500" t="e">
        <f t="shared" si="189"/>
        <v>#N/A</v>
      </c>
    </row>
    <row r="95" spans="2:52" x14ac:dyDescent="0.25">
      <c r="B95" s="327">
        <v>8</v>
      </c>
      <c r="C95" s="347">
        <f>TREND(C86:C87,B86:B87,B95)</f>
        <v>0</v>
      </c>
      <c r="D95" s="372">
        <f>TREND(D86:D87,B86:B87,B95)</f>
        <v>0</v>
      </c>
      <c r="E95" s="373">
        <f>TREND(E86:E87,B86:B87,B95)</f>
        <v>55</v>
      </c>
      <c r="F95" s="374">
        <f>TREND(F86:F87,B86:B87,B95)</f>
        <v>55</v>
      </c>
      <c r="G95" s="339">
        <f t="shared" si="156"/>
        <v>0</v>
      </c>
      <c r="H95" s="436">
        <f t="shared" si="157"/>
        <v>0</v>
      </c>
      <c r="I95" s="521" t="e">
        <f t="shared" ref="I95:I106" si="191">G95*0.00000110231131*(VLOOKUP(E95,EmAuto20,2)*VLOOKUP(ProjLoc,EmCost,2)+VLOOKUP(E95,EmAuto20,3)*VLOOKUP(ProjLoc,EmCost,3)*(1+CO2Uprater)^($B95+Construct-1)+VLOOKUP(E95,EmAuto20,4)*VLOOKUP(ProjLoc,EmCost,4)+VLOOKUP(E95,EmAuto20,5)*VLOOKUP(ProjLoc,EmCost,5)+VLOOKUP(E95,EmAuto20,6)*VLOOKUP(ProjLoc,EmCost,6)+VLOOKUP(E95,EmAuto20,7)*VLOOKUP(ProjLoc,EmCost,7))*IF(UserAdjInputs,1,VLOOKUP(TMSLookup,TMSAdj,9))</f>
        <v>#N/A</v>
      </c>
      <c r="J95" s="500" t="e">
        <f t="shared" ref="J95:J106" si="192">H95*0.00000110231131*(VLOOKUP(F95,EmAuto20,2)*VLOOKUP(ProjLoc,EmCost,2)+VLOOKUP(F95,EmAuto20,3)*VLOOKUP(ProjLoc,EmCost,3)*(1+CO2Uprater)^($B95+Construct-1)+VLOOKUP(F95,EmAuto20,4)*VLOOKUP(ProjLoc,EmCost,4)+VLOOKUP(F95,EmAuto20,5)*VLOOKUP(ProjLoc,EmCost,5)+VLOOKUP(F95,EmAuto20,6)*VLOOKUP(ProjLoc,EmCost,6)+VLOOKUP(F95,EmAuto20,7)*VLOOKUP(ProjLoc,EmCost,7))*IF(UserAdjInputs,1,VLOOKUP(TMSLookup,TMSAdj,9))</f>
        <v>#N/A</v>
      </c>
      <c r="K95" s="521" t="e">
        <f t="shared" ref="K95:K106" si="193">C95*0.00000110231131*(VLOOKUP(0,EmAuto20,2)*VLOOKUP(ProjLoc,EmCost,2)+VLOOKUP(0,EmAuto20,3)*VLOOKUP(ProjLoc,EmCost,3)*(1+CO2Uprater)^($B95+Construct-1)+VLOOKUP(0,EmAuto20,4)*VLOOKUP(ProjLoc,EmCost,4)+VLOOKUP(0,EmAuto20,5)*VLOOKUP(ProjLoc,EmCost,5)+VLOOKUP(0,EmAuto20,6)*VLOOKUP(ProjLoc,EmCost,6)+VLOOKUP(0,EmAuto20,7)*VLOOKUP(ProjLoc,EmCost,7))*IF(UserAdjInputs,1,VLOOKUP(TMSLookup,TMSAdj,9))</f>
        <v>#N/A</v>
      </c>
      <c r="L95" s="500" t="e">
        <f t="shared" ref="L95:L106" si="194">D95*0.00000110231131*(VLOOKUP(0,EmAuto20,2)*VLOOKUP(ProjLoc,EmCost,2)+VLOOKUP(0,EmAuto20,3)*VLOOKUP(ProjLoc,EmCost,3)*(1+CO2Uprater)^($B95+Construct-1)+VLOOKUP(0,EmAuto20,4)*VLOOKUP(ProjLoc,EmCost,4)+VLOOKUP(0,EmAuto20,5)*VLOOKUP(ProjLoc,EmCost,5)+VLOOKUP(0,EmAuto20,6)*VLOOKUP(ProjLoc,EmCost,6)+VLOOKUP(0,EmAuto20,7)*VLOOKUP(ProjLoc,EmCost,7))*IF(UserAdjInputs,1,VLOOKUP(TMSLookup,TMSAdj,9))</f>
        <v>#N/A</v>
      </c>
      <c r="M95" s="285" t="e">
        <f t="shared" si="190"/>
        <v>#N/A</v>
      </c>
      <c r="N95" s="323" t="e">
        <f t="shared" si="160"/>
        <v>#N/A</v>
      </c>
      <c r="O95" s="474"/>
      <c r="P95" s="1038">
        <f t="shared" ref="P95:P106" si="195">0.00000110231131*(G95*VLOOKUP(E95,EmAuto20,2)-H95*VLOOKUP(F95,EmAuto20,2)+(C95-D95)*VLOOKUP(0,EmAuto20,2))*IF(UserAdjInputs,1,VLOOKUP(TMSLookup,TMSAdj,9))</f>
        <v>0</v>
      </c>
      <c r="Q95" s="1324">
        <f t="shared" ref="Q95:Q106" si="196">0.00000110231131*(G95*VLOOKUP(E95,EmAuto20,3)-H95*VLOOKUP(F95,EmAuto20,3)+(C95-D95)*VLOOKUP(0,EmAuto20,3))*IF(UserAdjInputs,1,VLOOKUP(TMSLookup,TMSAdj,9))</f>
        <v>0</v>
      </c>
      <c r="R95" s="1324">
        <f t="shared" ref="R95:R106" si="197">0.00000110231131*(G95*VLOOKUP(E95,EmAuto20,4)-H95*VLOOKUP(F95,EmAuto20,4)+(C95-D95)*VLOOKUP(0,EmAuto20,4))*IF(UserAdjInputs,1,VLOOKUP(TMSLookup,TMSAdj,9))</f>
        <v>0</v>
      </c>
      <c r="S95" s="1324">
        <f t="shared" ref="S95:S106" si="198">0.00000110231131*(G95*VLOOKUP(E95,EmAuto20,5)-H95*VLOOKUP(F95,EmAuto20,5)+(C95-D95)*VLOOKUP(0,EmAuto20,5))*IF(UserAdjInputs,1,VLOOKUP(TMSLookup,TMSAdj,9))</f>
        <v>0</v>
      </c>
      <c r="T95" s="1324">
        <f t="shared" ref="T95:T106" si="199">0.00000110231131*(G95*VLOOKUP(E95,EmAuto20,6)-H95*VLOOKUP(F95,EmAuto20,6)+(C95-D95)*VLOOKUP(0,EmAuto20,6))*IF(UserAdjInputs,1,VLOOKUP(TMSLookup,TMSAdj,9))</f>
        <v>0</v>
      </c>
      <c r="U95" s="1324">
        <f t="shared" ref="U95:U106" si="200">0.00000110231131*(G95*VLOOKUP(E95,EmAuto20,7)-H95*VLOOKUP(F95,EmAuto20,7)+(C95-D95)*VLOOKUP(0,EmAuto20,7))*IF(UserAdjInputs,1,VLOOKUP(TMSLookup,TMSAdj,9))</f>
        <v>0</v>
      </c>
      <c r="V95" s="1325">
        <f t="shared" ref="V95:V106" si="201">0.00000110231131*(G95*VLOOKUP(E95,EmAuto20,8)-H95*VLOOKUP(F95,EmAuto20,8)+(C95-D95)*VLOOKUP(0,EmAuto20,8))*IF(UserAdjInputs,1,VLOOKUP(TMSLookup,TMSAdj,9))</f>
        <v>0</v>
      </c>
      <c r="W95" s="521" t="e">
        <f t="shared" si="168"/>
        <v>#N/A</v>
      </c>
      <c r="X95" s="1333" t="e">
        <f t="shared" si="169"/>
        <v>#N/A</v>
      </c>
      <c r="Y95" s="1333" t="e">
        <f t="shared" si="170"/>
        <v>#N/A</v>
      </c>
      <c r="Z95" s="1333" t="e">
        <f t="shared" si="171"/>
        <v>#N/A</v>
      </c>
      <c r="AA95" s="1333" t="e">
        <f t="shared" si="172"/>
        <v>#N/A</v>
      </c>
      <c r="AB95" s="500" t="e">
        <f t="shared" si="173"/>
        <v>#N/A</v>
      </c>
      <c r="AD95" s="327">
        <v>8</v>
      </c>
      <c r="AE95" s="347">
        <f>TREND(AE86:AE87,AD86:AD87,AD95)</f>
        <v>0</v>
      </c>
      <c r="AF95" s="630">
        <f>TREND(AF86:AF87,AD86:AD87,AD95)</f>
        <v>0</v>
      </c>
      <c r="AG95" s="428"/>
      <c r="AH95" s="431"/>
      <c r="AI95" s="521" t="e">
        <f t="shared" ref="AI95:AI106" si="202">AE95*0.00000110231131*(VLOOKUP(2040,EmPassTrain,2)*VLOOKUP(ProjLoc,EmCost,2)+VLOOKUP(2040,EmPassTrain,3)*VLOOKUP(ProjLoc,EmCost,3)*(1+CO2Uprater)^($AD95+Construct-1)+VLOOKUP(2040,EmPassTrain,4)*VLOOKUP(ProjLoc,EmCost,4)+VLOOKUP(2040,EmPassTrain,5)*VLOOKUP(ProjLoc,EmCost,5)+VLOOKUP(2040,EmPassTrain,6)*VLOOKUP(ProjLoc,EmCost,6)+VLOOKUP(2040,EmPassTrain,7)*VLOOKUP(ProjLoc,EmCost,7))</f>
        <v>#N/A</v>
      </c>
      <c r="AJ95" s="500" t="e">
        <f t="shared" ref="AJ95:AJ106" si="203">AF95*0.00000110231131*(VLOOKUP(2040,EmPassTrain,2)*VLOOKUP(ProjLoc,EmCost,2)+VLOOKUP(2040,EmPassTrain,3)*VLOOKUP(ProjLoc,EmCost,3)*(1+CO2Uprater)^($AD95+Construct-1)+VLOOKUP(2040,EmPassTrain,4)*VLOOKUP(ProjLoc,EmCost,4)+VLOOKUP(2040,EmPassTrain,5)*VLOOKUP(ProjLoc,EmCost,5)+VLOOKUP(2040,EmPassTrain,6)*VLOOKUP(ProjLoc,EmCost,6)+VLOOKUP(2040,EmPassTrain,7)*VLOOKUP(ProjLoc,EmCost,7))</f>
        <v>#N/A</v>
      </c>
      <c r="AK95" s="285" t="e">
        <f t="shared" si="175"/>
        <v>#N/A</v>
      </c>
      <c r="AL95" s="323" t="e">
        <f t="shared" si="176"/>
        <v>#N/A</v>
      </c>
      <c r="AM95" s="474"/>
      <c r="AN95" s="1038">
        <f t="shared" ref="AN95:AN106" si="204">0.00000110231131*(AE95-AF95)*VLOOKUP(2040,EmPassTrain,2)</f>
        <v>0</v>
      </c>
      <c r="AO95" s="1324">
        <f t="shared" ref="AO95:AO106" si="205">0.00000110231131*(AE95-AF95)*VLOOKUP(2040,EmPassTrain,3)</f>
        <v>0</v>
      </c>
      <c r="AP95" s="1324">
        <f t="shared" ref="AP95:AP106" si="206">0.00000110231131*(AE95-AF95)*VLOOKUP(2040,EmPassTrain,4)</f>
        <v>0</v>
      </c>
      <c r="AQ95" s="1324">
        <f t="shared" ref="AQ95:AQ106" si="207">0.00000110231131*(AE95-AF95)*VLOOKUP(2040,EmPassTrain,5)</f>
        <v>0</v>
      </c>
      <c r="AR95" s="1324">
        <f t="shared" ref="AR95:AR106" si="208">0.00000110231131*(AE95-AF95)*VLOOKUP(2040,EmPassTrain,6)</f>
        <v>0</v>
      </c>
      <c r="AS95" s="1324">
        <f t="shared" ref="AS95:AS106" si="209">0.00000110231131*(AE95-AF95)*VLOOKUP(2040,EmPassTrain,7)</f>
        <v>0</v>
      </c>
      <c r="AT95" s="1325">
        <f t="shared" ref="AT95:AT106" si="210">0.00000110231131*(AE95-AF95)*VLOOKUP(2040,EmPassTrain,8)</f>
        <v>0</v>
      </c>
      <c r="AU95" s="521" t="e">
        <f t="shared" si="184"/>
        <v>#N/A</v>
      </c>
      <c r="AV95" s="1333" t="e">
        <f t="shared" si="185"/>
        <v>#N/A</v>
      </c>
      <c r="AW95" s="1333" t="e">
        <f t="shared" si="186"/>
        <v>#N/A</v>
      </c>
      <c r="AX95" s="1333" t="e">
        <f t="shared" si="187"/>
        <v>#N/A</v>
      </c>
      <c r="AY95" s="1333" t="e">
        <f t="shared" si="188"/>
        <v>#N/A</v>
      </c>
      <c r="AZ95" s="500" t="e">
        <f t="shared" si="189"/>
        <v>#N/A</v>
      </c>
    </row>
    <row r="96" spans="2:52" x14ac:dyDescent="0.25">
      <c r="B96" s="327">
        <v>9</v>
      </c>
      <c r="C96" s="347">
        <f>TREND(C86:C87,B86:B87,B96)</f>
        <v>0</v>
      </c>
      <c r="D96" s="372">
        <f>TREND(D86:D87,B86:B87,B96)</f>
        <v>0</v>
      </c>
      <c r="E96" s="373">
        <f>TREND(E86:E87,B86:B87,B96)</f>
        <v>55</v>
      </c>
      <c r="F96" s="374">
        <f>TREND(F86:F87,B86:B87,B96)</f>
        <v>55</v>
      </c>
      <c r="G96" s="339">
        <f t="shared" si="156"/>
        <v>0</v>
      </c>
      <c r="H96" s="436">
        <f t="shared" si="157"/>
        <v>0</v>
      </c>
      <c r="I96" s="521" t="e">
        <f t="shared" si="191"/>
        <v>#N/A</v>
      </c>
      <c r="J96" s="500" t="e">
        <f t="shared" si="192"/>
        <v>#N/A</v>
      </c>
      <c r="K96" s="521" t="e">
        <f t="shared" si="193"/>
        <v>#N/A</v>
      </c>
      <c r="L96" s="500" t="e">
        <f t="shared" si="194"/>
        <v>#N/A</v>
      </c>
      <c r="M96" s="285" t="e">
        <f t="shared" si="190"/>
        <v>#N/A</v>
      </c>
      <c r="N96" s="323" t="e">
        <f t="shared" si="160"/>
        <v>#N/A</v>
      </c>
      <c r="O96" s="474"/>
      <c r="P96" s="1038">
        <f t="shared" si="195"/>
        <v>0</v>
      </c>
      <c r="Q96" s="1324">
        <f t="shared" si="196"/>
        <v>0</v>
      </c>
      <c r="R96" s="1324">
        <f t="shared" si="197"/>
        <v>0</v>
      </c>
      <c r="S96" s="1324">
        <f t="shared" si="198"/>
        <v>0</v>
      </c>
      <c r="T96" s="1324">
        <f t="shared" si="199"/>
        <v>0</v>
      </c>
      <c r="U96" s="1324">
        <f t="shared" si="200"/>
        <v>0</v>
      </c>
      <c r="V96" s="1325">
        <f t="shared" si="201"/>
        <v>0</v>
      </c>
      <c r="W96" s="521" t="e">
        <f t="shared" si="168"/>
        <v>#N/A</v>
      </c>
      <c r="X96" s="1333" t="e">
        <f t="shared" si="169"/>
        <v>#N/A</v>
      </c>
      <c r="Y96" s="1333" t="e">
        <f t="shared" si="170"/>
        <v>#N/A</v>
      </c>
      <c r="Z96" s="1333" t="e">
        <f t="shared" si="171"/>
        <v>#N/A</v>
      </c>
      <c r="AA96" s="1333" t="e">
        <f t="shared" si="172"/>
        <v>#N/A</v>
      </c>
      <c r="AB96" s="500" t="e">
        <f t="shared" si="173"/>
        <v>#N/A</v>
      </c>
      <c r="AD96" s="327">
        <v>9</v>
      </c>
      <c r="AE96" s="347">
        <f>TREND(AE86:AE87,AD86:AD87,AD96)</f>
        <v>0</v>
      </c>
      <c r="AF96" s="630">
        <f>TREND(AF86:AF87,AD86:AD87,AD96)</f>
        <v>0</v>
      </c>
      <c r="AG96" s="428"/>
      <c r="AH96" s="431"/>
      <c r="AI96" s="521" t="e">
        <f t="shared" si="202"/>
        <v>#N/A</v>
      </c>
      <c r="AJ96" s="500" t="e">
        <f t="shared" si="203"/>
        <v>#N/A</v>
      </c>
      <c r="AK96" s="285" t="e">
        <f t="shared" si="175"/>
        <v>#N/A</v>
      </c>
      <c r="AL96" s="323" t="e">
        <f t="shared" si="176"/>
        <v>#N/A</v>
      </c>
      <c r="AM96" s="474"/>
      <c r="AN96" s="1038">
        <f t="shared" si="204"/>
        <v>0</v>
      </c>
      <c r="AO96" s="1324">
        <f t="shared" si="205"/>
        <v>0</v>
      </c>
      <c r="AP96" s="1324">
        <f t="shared" si="206"/>
        <v>0</v>
      </c>
      <c r="AQ96" s="1324">
        <f t="shared" si="207"/>
        <v>0</v>
      </c>
      <c r="AR96" s="1324">
        <f t="shared" si="208"/>
        <v>0</v>
      </c>
      <c r="AS96" s="1324">
        <f t="shared" si="209"/>
        <v>0</v>
      </c>
      <c r="AT96" s="1325">
        <f t="shared" si="210"/>
        <v>0</v>
      </c>
      <c r="AU96" s="521" t="e">
        <f t="shared" si="184"/>
        <v>#N/A</v>
      </c>
      <c r="AV96" s="1333" t="e">
        <f t="shared" si="185"/>
        <v>#N/A</v>
      </c>
      <c r="AW96" s="1333" t="e">
        <f t="shared" si="186"/>
        <v>#N/A</v>
      </c>
      <c r="AX96" s="1333" t="e">
        <f t="shared" si="187"/>
        <v>#N/A</v>
      </c>
      <c r="AY96" s="1333" t="e">
        <f t="shared" si="188"/>
        <v>#N/A</v>
      </c>
      <c r="AZ96" s="500" t="e">
        <f t="shared" si="189"/>
        <v>#N/A</v>
      </c>
    </row>
    <row r="97" spans="2:52" x14ac:dyDescent="0.25">
      <c r="B97" s="327">
        <v>10</v>
      </c>
      <c r="C97" s="347">
        <f>TREND(C86:C87,B86:B87,B97)</f>
        <v>0</v>
      </c>
      <c r="D97" s="372">
        <f>TREND(D86:D87,B86:B87,B97)</f>
        <v>0</v>
      </c>
      <c r="E97" s="373">
        <f>TREND(E86:E87,B86:B87,B97)</f>
        <v>55</v>
      </c>
      <c r="F97" s="374">
        <f>TREND(F86:F87,B86:B87,B97)</f>
        <v>55</v>
      </c>
      <c r="G97" s="339">
        <f t="shared" si="156"/>
        <v>0</v>
      </c>
      <c r="H97" s="436">
        <f t="shared" si="157"/>
        <v>0</v>
      </c>
      <c r="I97" s="521" t="e">
        <f t="shared" si="191"/>
        <v>#N/A</v>
      </c>
      <c r="J97" s="500" t="e">
        <f t="shared" si="192"/>
        <v>#N/A</v>
      </c>
      <c r="K97" s="521" t="e">
        <f t="shared" si="193"/>
        <v>#N/A</v>
      </c>
      <c r="L97" s="500" t="e">
        <f t="shared" si="194"/>
        <v>#N/A</v>
      </c>
      <c r="M97" s="285" t="e">
        <f t="shared" si="190"/>
        <v>#N/A</v>
      </c>
      <c r="N97" s="323" t="e">
        <f t="shared" si="160"/>
        <v>#N/A</v>
      </c>
      <c r="O97" s="474"/>
      <c r="P97" s="1038">
        <f t="shared" si="195"/>
        <v>0</v>
      </c>
      <c r="Q97" s="1324">
        <f t="shared" si="196"/>
        <v>0</v>
      </c>
      <c r="R97" s="1324">
        <f t="shared" si="197"/>
        <v>0</v>
      </c>
      <c r="S97" s="1324">
        <f t="shared" si="198"/>
        <v>0</v>
      </c>
      <c r="T97" s="1324">
        <f t="shared" si="199"/>
        <v>0</v>
      </c>
      <c r="U97" s="1324">
        <f t="shared" si="200"/>
        <v>0</v>
      </c>
      <c r="V97" s="1325">
        <f t="shared" si="201"/>
        <v>0</v>
      </c>
      <c r="W97" s="521" t="e">
        <f t="shared" si="168"/>
        <v>#N/A</v>
      </c>
      <c r="X97" s="1333" t="e">
        <f t="shared" si="169"/>
        <v>#N/A</v>
      </c>
      <c r="Y97" s="1333" t="e">
        <f t="shared" si="170"/>
        <v>#N/A</v>
      </c>
      <c r="Z97" s="1333" t="e">
        <f t="shared" si="171"/>
        <v>#N/A</v>
      </c>
      <c r="AA97" s="1333" t="e">
        <f t="shared" si="172"/>
        <v>#N/A</v>
      </c>
      <c r="AB97" s="500" t="e">
        <f t="shared" si="173"/>
        <v>#N/A</v>
      </c>
      <c r="AD97" s="327">
        <v>10</v>
      </c>
      <c r="AE97" s="347">
        <f>TREND(AE86:AE87,AD86:AD87,AD97)</f>
        <v>0</v>
      </c>
      <c r="AF97" s="630">
        <f>TREND(AF86:AF87,AD86:AD87,AD97)</f>
        <v>0</v>
      </c>
      <c r="AG97" s="428"/>
      <c r="AH97" s="431"/>
      <c r="AI97" s="521" t="e">
        <f t="shared" si="202"/>
        <v>#N/A</v>
      </c>
      <c r="AJ97" s="500" t="e">
        <f t="shared" si="203"/>
        <v>#N/A</v>
      </c>
      <c r="AK97" s="285" t="e">
        <f t="shared" si="175"/>
        <v>#N/A</v>
      </c>
      <c r="AL97" s="323" t="e">
        <f t="shared" si="176"/>
        <v>#N/A</v>
      </c>
      <c r="AM97" s="474"/>
      <c r="AN97" s="1038">
        <f t="shared" si="204"/>
        <v>0</v>
      </c>
      <c r="AO97" s="1324">
        <f t="shared" si="205"/>
        <v>0</v>
      </c>
      <c r="AP97" s="1324">
        <f t="shared" si="206"/>
        <v>0</v>
      </c>
      <c r="AQ97" s="1324">
        <f t="shared" si="207"/>
        <v>0</v>
      </c>
      <c r="AR97" s="1324">
        <f t="shared" si="208"/>
        <v>0</v>
      </c>
      <c r="AS97" s="1324">
        <f t="shared" si="209"/>
        <v>0</v>
      </c>
      <c r="AT97" s="1325">
        <f t="shared" si="210"/>
        <v>0</v>
      </c>
      <c r="AU97" s="521" t="e">
        <f t="shared" si="184"/>
        <v>#N/A</v>
      </c>
      <c r="AV97" s="1333" t="e">
        <f t="shared" si="185"/>
        <v>#N/A</v>
      </c>
      <c r="AW97" s="1333" t="e">
        <f t="shared" si="186"/>
        <v>#N/A</v>
      </c>
      <c r="AX97" s="1333" t="e">
        <f t="shared" si="187"/>
        <v>#N/A</v>
      </c>
      <c r="AY97" s="1333" t="e">
        <f t="shared" si="188"/>
        <v>#N/A</v>
      </c>
      <c r="AZ97" s="500" t="e">
        <f t="shared" si="189"/>
        <v>#N/A</v>
      </c>
    </row>
    <row r="98" spans="2:52" x14ac:dyDescent="0.25">
      <c r="B98" s="327">
        <v>11</v>
      </c>
      <c r="C98" s="347">
        <f>TREND(C86:C87,B86:B87,B98)</f>
        <v>0</v>
      </c>
      <c r="D98" s="372">
        <f>TREND(D86:D87,B86:B87,B98)</f>
        <v>0</v>
      </c>
      <c r="E98" s="373">
        <f>TREND(E86:E87,B86:B87,B98)</f>
        <v>55</v>
      </c>
      <c r="F98" s="374">
        <f>TREND(F86:F87,B86:B87,B98)</f>
        <v>55</v>
      </c>
      <c r="G98" s="339">
        <f t="shared" si="156"/>
        <v>0</v>
      </c>
      <c r="H98" s="436">
        <f t="shared" si="157"/>
        <v>0</v>
      </c>
      <c r="I98" s="521" t="e">
        <f t="shared" si="191"/>
        <v>#N/A</v>
      </c>
      <c r="J98" s="500" t="e">
        <f t="shared" si="192"/>
        <v>#N/A</v>
      </c>
      <c r="K98" s="521" t="e">
        <f t="shared" si="193"/>
        <v>#N/A</v>
      </c>
      <c r="L98" s="500" t="e">
        <f t="shared" si="194"/>
        <v>#N/A</v>
      </c>
      <c r="M98" s="285" t="e">
        <f t="shared" si="190"/>
        <v>#N/A</v>
      </c>
      <c r="N98" s="323" t="e">
        <f t="shared" si="160"/>
        <v>#N/A</v>
      </c>
      <c r="O98" s="474"/>
      <c r="P98" s="1038">
        <f t="shared" si="195"/>
        <v>0</v>
      </c>
      <c r="Q98" s="1324">
        <f t="shared" si="196"/>
        <v>0</v>
      </c>
      <c r="R98" s="1324">
        <f t="shared" si="197"/>
        <v>0</v>
      </c>
      <c r="S98" s="1324">
        <f t="shared" si="198"/>
        <v>0</v>
      </c>
      <c r="T98" s="1324">
        <f t="shared" si="199"/>
        <v>0</v>
      </c>
      <c r="U98" s="1324">
        <f t="shared" si="200"/>
        <v>0</v>
      </c>
      <c r="V98" s="1325">
        <f t="shared" si="201"/>
        <v>0</v>
      </c>
      <c r="W98" s="521" t="e">
        <f t="shared" si="168"/>
        <v>#N/A</v>
      </c>
      <c r="X98" s="1333" t="e">
        <f t="shared" si="169"/>
        <v>#N/A</v>
      </c>
      <c r="Y98" s="1333" t="e">
        <f t="shared" si="170"/>
        <v>#N/A</v>
      </c>
      <c r="Z98" s="1333" t="e">
        <f t="shared" si="171"/>
        <v>#N/A</v>
      </c>
      <c r="AA98" s="1333" t="e">
        <f t="shared" si="172"/>
        <v>#N/A</v>
      </c>
      <c r="AB98" s="500" t="e">
        <f t="shared" si="173"/>
        <v>#N/A</v>
      </c>
      <c r="AD98" s="327">
        <v>11</v>
      </c>
      <c r="AE98" s="347">
        <f>TREND(AE86:AE87,AD86:AD87,AD98)</f>
        <v>0</v>
      </c>
      <c r="AF98" s="630">
        <f>TREND(AF86:AF87,AD86:AD87,AD98)</f>
        <v>0</v>
      </c>
      <c r="AG98" s="428"/>
      <c r="AH98" s="431"/>
      <c r="AI98" s="521" t="e">
        <f t="shared" si="202"/>
        <v>#N/A</v>
      </c>
      <c r="AJ98" s="500" t="e">
        <f t="shared" si="203"/>
        <v>#N/A</v>
      </c>
      <c r="AK98" s="285" t="e">
        <f t="shared" si="175"/>
        <v>#N/A</v>
      </c>
      <c r="AL98" s="323" t="e">
        <f t="shared" si="176"/>
        <v>#N/A</v>
      </c>
      <c r="AM98" s="474"/>
      <c r="AN98" s="1038">
        <f t="shared" si="204"/>
        <v>0</v>
      </c>
      <c r="AO98" s="1324">
        <f t="shared" si="205"/>
        <v>0</v>
      </c>
      <c r="AP98" s="1324">
        <f t="shared" si="206"/>
        <v>0</v>
      </c>
      <c r="AQ98" s="1324">
        <f t="shared" si="207"/>
        <v>0</v>
      </c>
      <c r="AR98" s="1324">
        <f t="shared" si="208"/>
        <v>0</v>
      </c>
      <c r="AS98" s="1324">
        <f t="shared" si="209"/>
        <v>0</v>
      </c>
      <c r="AT98" s="1325">
        <f t="shared" si="210"/>
        <v>0</v>
      </c>
      <c r="AU98" s="521" t="e">
        <f t="shared" si="184"/>
        <v>#N/A</v>
      </c>
      <c r="AV98" s="1333" t="e">
        <f t="shared" si="185"/>
        <v>#N/A</v>
      </c>
      <c r="AW98" s="1333" t="e">
        <f t="shared" si="186"/>
        <v>#N/A</v>
      </c>
      <c r="AX98" s="1333" t="e">
        <f t="shared" si="187"/>
        <v>#N/A</v>
      </c>
      <c r="AY98" s="1333" t="e">
        <f t="shared" si="188"/>
        <v>#N/A</v>
      </c>
      <c r="AZ98" s="500" t="e">
        <f t="shared" si="189"/>
        <v>#N/A</v>
      </c>
    </row>
    <row r="99" spans="2:52" x14ac:dyDescent="0.25">
      <c r="B99" s="327">
        <v>12</v>
      </c>
      <c r="C99" s="347">
        <f>TREND(C86:C87,B86:B87,B99)</f>
        <v>0</v>
      </c>
      <c r="D99" s="372">
        <f>TREND(D86:D87,B86:B87,B99)</f>
        <v>0</v>
      </c>
      <c r="E99" s="373">
        <f>TREND(E86:E87,B86:B87,B99)</f>
        <v>55</v>
      </c>
      <c r="F99" s="374">
        <f>TREND(F86:F87,B86:B87,B99)</f>
        <v>55</v>
      </c>
      <c r="G99" s="339">
        <f t="shared" si="156"/>
        <v>0</v>
      </c>
      <c r="H99" s="436">
        <f t="shared" si="157"/>
        <v>0</v>
      </c>
      <c r="I99" s="521" t="e">
        <f t="shared" si="191"/>
        <v>#N/A</v>
      </c>
      <c r="J99" s="500" t="e">
        <f t="shared" si="192"/>
        <v>#N/A</v>
      </c>
      <c r="K99" s="521" t="e">
        <f t="shared" si="193"/>
        <v>#N/A</v>
      </c>
      <c r="L99" s="500" t="e">
        <f t="shared" si="194"/>
        <v>#N/A</v>
      </c>
      <c r="M99" s="285" t="e">
        <f t="shared" si="190"/>
        <v>#N/A</v>
      </c>
      <c r="N99" s="323" t="e">
        <f t="shared" si="160"/>
        <v>#N/A</v>
      </c>
      <c r="O99" s="474"/>
      <c r="P99" s="1038">
        <f t="shared" si="195"/>
        <v>0</v>
      </c>
      <c r="Q99" s="1324">
        <f t="shared" si="196"/>
        <v>0</v>
      </c>
      <c r="R99" s="1324">
        <f t="shared" si="197"/>
        <v>0</v>
      </c>
      <c r="S99" s="1324">
        <f t="shared" si="198"/>
        <v>0</v>
      </c>
      <c r="T99" s="1324">
        <f t="shared" si="199"/>
        <v>0</v>
      </c>
      <c r="U99" s="1324">
        <f t="shared" si="200"/>
        <v>0</v>
      </c>
      <c r="V99" s="1325">
        <f t="shared" si="201"/>
        <v>0</v>
      </c>
      <c r="W99" s="521" t="e">
        <f t="shared" si="168"/>
        <v>#N/A</v>
      </c>
      <c r="X99" s="1333" t="e">
        <f t="shared" si="169"/>
        <v>#N/A</v>
      </c>
      <c r="Y99" s="1333" t="e">
        <f t="shared" si="170"/>
        <v>#N/A</v>
      </c>
      <c r="Z99" s="1333" t="e">
        <f t="shared" si="171"/>
        <v>#N/A</v>
      </c>
      <c r="AA99" s="1333" t="e">
        <f t="shared" si="172"/>
        <v>#N/A</v>
      </c>
      <c r="AB99" s="500" t="e">
        <f t="shared" si="173"/>
        <v>#N/A</v>
      </c>
      <c r="AD99" s="327">
        <v>12</v>
      </c>
      <c r="AE99" s="347">
        <f>TREND(AE86:AE87,AD86:AD87,AD99)</f>
        <v>0</v>
      </c>
      <c r="AF99" s="630">
        <f>TREND(AF86:AF87,AD86:AD87,AD99)</f>
        <v>0</v>
      </c>
      <c r="AG99" s="428"/>
      <c r="AH99" s="431"/>
      <c r="AI99" s="521" t="e">
        <f t="shared" si="202"/>
        <v>#N/A</v>
      </c>
      <c r="AJ99" s="500" t="e">
        <f t="shared" si="203"/>
        <v>#N/A</v>
      </c>
      <c r="AK99" s="285" t="e">
        <f t="shared" si="175"/>
        <v>#N/A</v>
      </c>
      <c r="AL99" s="323" t="e">
        <f t="shared" si="176"/>
        <v>#N/A</v>
      </c>
      <c r="AM99" s="474"/>
      <c r="AN99" s="1038">
        <f t="shared" si="204"/>
        <v>0</v>
      </c>
      <c r="AO99" s="1324">
        <f t="shared" si="205"/>
        <v>0</v>
      </c>
      <c r="AP99" s="1324">
        <f t="shared" si="206"/>
        <v>0</v>
      </c>
      <c r="AQ99" s="1324">
        <f t="shared" si="207"/>
        <v>0</v>
      </c>
      <c r="AR99" s="1324">
        <f t="shared" si="208"/>
        <v>0</v>
      </c>
      <c r="AS99" s="1324">
        <f t="shared" si="209"/>
        <v>0</v>
      </c>
      <c r="AT99" s="1325">
        <f t="shared" si="210"/>
        <v>0</v>
      </c>
      <c r="AU99" s="521" t="e">
        <f t="shared" si="184"/>
        <v>#N/A</v>
      </c>
      <c r="AV99" s="1333" t="e">
        <f t="shared" si="185"/>
        <v>#N/A</v>
      </c>
      <c r="AW99" s="1333" t="e">
        <f t="shared" si="186"/>
        <v>#N/A</v>
      </c>
      <c r="AX99" s="1333" t="e">
        <f t="shared" si="187"/>
        <v>#N/A</v>
      </c>
      <c r="AY99" s="1333" t="e">
        <f t="shared" si="188"/>
        <v>#N/A</v>
      </c>
      <c r="AZ99" s="500" t="e">
        <f t="shared" si="189"/>
        <v>#N/A</v>
      </c>
    </row>
    <row r="100" spans="2:52" x14ac:dyDescent="0.25">
      <c r="B100" s="327">
        <v>13</v>
      </c>
      <c r="C100" s="347">
        <f>TREND(C86:C87,B86:B87,B100)</f>
        <v>0</v>
      </c>
      <c r="D100" s="372">
        <f>TREND(D86:D87,B86:B87,B100)</f>
        <v>0</v>
      </c>
      <c r="E100" s="373">
        <f>TREND(E86:E87,B86:B87,B100)</f>
        <v>55</v>
      </c>
      <c r="F100" s="374">
        <f>TREND(F86:F87,B86:B87,B100)</f>
        <v>55</v>
      </c>
      <c r="G100" s="339">
        <f t="shared" si="156"/>
        <v>0</v>
      </c>
      <c r="H100" s="436">
        <f t="shared" si="157"/>
        <v>0</v>
      </c>
      <c r="I100" s="521" t="e">
        <f t="shared" si="191"/>
        <v>#N/A</v>
      </c>
      <c r="J100" s="500" t="e">
        <f t="shared" si="192"/>
        <v>#N/A</v>
      </c>
      <c r="K100" s="521" t="e">
        <f t="shared" si="193"/>
        <v>#N/A</v>
      </c>
      <c r="L100" s="500" t="e">
        <f t="shared" si="194"/>
        <v>#N/A</v>
      </c>
      <c r="M100" s="285" t="e">
        <f t="shared" si="190"/>
        <v>#N/A</v>
      </c>
      <c r="N100" s="323" t="e">
        <f t="shared" si="160"/>
        <v>#N/A</v>
      </c>
      <c r="O100" s="474"/>
      <c r="P100" s="1038">
        <f t="shared" si="195"/>
        <v>0</v>
      </c>
      <c r="Q100" s="1324">
        <f t="shared" si="196"/>
        <v>0</v>
      </c>
      <c r="R100" s="1324">
        <f t="shared" si="197"/>
        <v>0</v>
      </c>
      <c r="S100" s="1324">
        <f t="shared" si="198"/>
        <v>0</v>
      </c>
      <c r="T100" s="1324">
        <f t="shared" si="199"/>
        <v>0</v>
      </c>
      <c r="U100" s="1324">
        <f t="shared" si="200"/>
        <v>0</v>
      </c>
      <c r="V100" s="1325">
        <f t="shared" si="201"/>
        <v>0</v>
      </c>
      <c r="W100" s="521" t="e">
        <f t="shared" si="168"/>
        <v>#N/A</v>
      </c>
      <c r="X100" s="1333" t="e">
        <f t="shared" si="169"/>
        <v>#N/A</v>
      </c>
      <c r="Y100" s="1333" t="e">
        <f t="shared" si="170"/>
        <v>#N/A</v>
      </c>
      <c r="Z100" s="1333" t="e">
        <f t="shared" si="171"/>
        <v>#N/A</v>
      </c>
      <c r="AA100" s="1333" t="e">
        <f t="shared" si="172"/>
        <v>#N/A</v>
      </c>
      <c r="AB100" s="500" t="e">
        <f t="shared" si="173"/>
        <v>#N/A</v>
      </c>
      <c r="AD100" s="327">
        <v>13</v>
      </c>
      <c r="AE100" s="347">
        <f>TREND(AE86:AE87,AD86:AD87,AD100)</f>
        <v>0</v>
      </c>
      <c r="AF100" s="630">
        <f>TREND(AF86:AF87,AD86:AD87,AD100)</f>
        <v>0</v>
      </c>
      <c r="AG100" s="428"/>
      <c r="AH100" s="431"/>
      <c r="AI100" s="521" t="e">
        <f t="shared" si="202"/>
        <v>#N/A</v>
      </c>
      <c r="AJ100" s="500" t="e">
        <f t="shared" si="203"/>
        <v>#N/A</v>
      </c>
      <c r="AK100" s="285" t="e">
        <f t="shared" si="175"/>
        <v>#N/A</v>
      </c>
      <c r="AL100" s="323" t="e">
        <f t="shared" si="176"/>
        <v>#N/A</v>
      </c>
      <c r="AM100" s="474"/>
      <c r="AN100" s="1038">
        <f t="shared" si="204"/>
        <v>0</v>
      </c>
      <c r="AO100" s="1324">
        <f t="shared" si="205"/>
        <v>0</v>
      </c>
      <c r="AP100" s="1324">
        <f t="shared" si="206"/>
        <v>0</v>
      </c>
      <c r="AQ100" s="1324">
        <f t="shared" si="207"/>
        <v>0</v>
      </c>
      <c r="AR100" s="1324">
        <f t="shared" si="208"/>
        <v>0</v>
      </c>
      <c r="AS100" s="1324">
        <f t="shared" si="209"/>
        <v>0</v>
      </c>
      <c r="AT100" s="1325">
        <f t="shared" si="210"/>
        <v>0</v>
      </c>
      <c r="AU100" s="521" t="e">
        <f t="shared" si="184"/>
        <v>#N/A</v>
      </c>
      <c r="AV100" s="1333" t="e">
        <f t="shared" si="185"/>
        <v>#N/A</v>
      </c>
      <c r="AW100" s="1333" t="e">
        <f t="shared" si="186"/>
        <v>#N/A</v>
      </c>
      <c r="AX100" s="1333" t="e">
        <f t="shared" si="187"/>
        <v>#N/A</v>
      </c>
      <c r="AY100" s="1333" t="e">
        <f t="shared" si="188"/>
        <v>#N/A</v>
      </c>
      <c r="AZ100" s="500" t="e">
        <f t="shared" si="189"/>
        <v>#N/A</v>
      </c>
    </row>
    <row r="101" spans="2:52" x14ac:dyDescent="0.25">
      <c r="B101" s="327">
        <v>14</v>
      </c>
      <c r="C101" s="347">
        <f>TREND(C86:C87,B86:B87,B101)</f>
        <v>0</v>
      </c>
      <c r="D101" s="372">
        <f>TREND(D86:D87,B86:B87,B101)</f>
        <v>0</v>
      </c>
      <c r="E101" s="373">
        <f>TREND(E86:E87,B86:B87,B101)</f>
        <v>55</v>
      </c>
      <c r="F101" s="374">
        <f>TREND(F86:F87,B86:B87,B101)</f>
        <v>55</v>
      </c>
      <c r="G101" s="339">
        <f t="shared" si="156"/>
        <v>0</v>
      </c>
      <c r="H101" s="436">
        <f t="shared" si="157"/>
        <v>0</v>
      </c>
      <c r="I101" s="521" t="e">
        <f t="shared" si="191"/>
        <v>#N/A</v>
      </c>
      <c r="J101" s="500" t="e">
        <f t="shared" si="192"/>
        <v>#N/A</v>
      </c>
      <c r="K101" s="521" t="e">
        <f t="shared" si="193"/>
        <v>#N/A</v>
      </c>
      <c r="L101" s="500" t="e">
        <f t="shared" si="194"/>
        <v>#N/A</v>
      </c>
      <c r="M101" s="285" t="e">
        <f t="shared" si="190"/>
        <v>#N/A</v>
      </c>
      <c r="N101" s="323" t="e">
        <f t="shared" si="160"/>
        <v>#N/A</v>
      </c>
      <c r="O101" s="474"/>
      <c r="P101" s="1038">
        <f t="shared" si="195"/>
        <v>0</v>
      </c>
      <c r="Q101" s="1324">
        <f t="shared" si="196"/>
        <v>0</v>
      </c>
      <c r="R101" s="1324">
        <f t="shared" si="197"/>
        <v>0</v>
      </c>
      <c r="S101" s="1324">
        <f t="shared" si="198"/>
        <v>0</v>
      </c>
      <c r="T101" s="1324">
        <f t="shared" si="199"/>
        <v>0</v>
      </c>
      <c r="U101" s="1324">
        <f t="shared" si="200"/>
        <v>0</v>
      </c>
      <c r="V101" s="1325">
        <f t="shared" si="201"/>
        <v>0</v>
      </c>
      <c r="W101" s="521" t="e">
        <f t="shared" si="168"/>
        <v>#N/A</v>
      </c>
      <c r="X101" s="1333" t="e">
        <f t="shared" si="169"/>
        <v>#N/A</v>
      </c>
      <c r="Y101" s="1333" t="e">
        <f t="shared" si="170"/>
        <v>#N/A</v>
      </c>
      <c r="Z101" s="1333" t="e">
        <f t="shared" si="171"/>
        <v>#N/A</v>
      </c>
      <c r="AA101" s="1333" t="e">
        <f t="shared" si="172"/>
        <v>#N/A</v>
      </c>
      <c r="AB101" s="500" t="e">
        <f t="shared" si="173"/>
        <v>#N/A</v>
      </c>
      <c r="AD101" s="327">
        <v>14</v>
      </c>
      <c r="AE101" s="347">
        <f>TREND(AE86:AE87,AD86:AD87,AD101)</f>
        <v>0</v>
      </c>
      <c r="AF101" s="630">
        <f>TREND(AF86:AF87,AD86:AD87,AD101)</f>
        <v>0</v>
      </c>
      <c r="AG101" s="428"/>
      <c r="AH101" s="431"/>
      <c r="AI101" s="521" t="e">
        <f t="shared" si="202"/>
        <v>#N/A</v>
      </c>
      <c r="AJ101" s="500" t="e">
        <f t="shared" si="203"/>
        <v>#N/A</v>
      </c>
      <c r="AK101" s="285" t="e">
        <f t="shared" si="175"/>
        <v>#N/A</v>
      </c>
      <c r="AL101" s="323" t="e">
        <f t="shared" si="176"/>
        <v>#N/A</v>
      </c>
      <c r="AM101" s="474"/>
      <c r="AN101" s="1038">
        <f t="shared" si="204"/>
        <v>0</v>
      </c>
      <c r="AO101" s="1324">
        <f t="shared" si="205"/>
        <v>0</v>
      </c>
      <c r="AP101" s="1324">
        <f t="shared" si="206"/>
        <v>0</v>
      </c>
      <c r="AQ101" s="1324">
        <f t="shared" si="207"/>
        <v>0</v>
      </c>
      <c r="AR101" s="1324">
        <f t="shared" si="208"/>
        <v>0</v>
      </c>
      <c r="AS101" s="1324">
        <f t="shared" si="209"/>
        <v>0</v>
      </c>
      <c r="AT101" s="1325">
        <f t="shared" si="210"/>
        <v>0</v>
      </c>
      <c r="AU101" s="521" t="e">
        <f t="shared" si="184"/>
        <v>#N/A</v>
      </c>
      <c r="AV101" s="1333" t="e">
        <f t="shared" si="185"/>
        <v>#N/A</v>
      </c>
      <c r="AW101" s="1333" t="e">
        <f t="shared" si="186"/>
        <v>#N/A</v>
      </c>
      <c r="AX101" s="1333" t="e">
        <f t="shared" si="187"/>
        <v>#N/A</v>
      </c>
      <c r="AY101" s="1333" t="e">
        <f t="shared" si="188"/>
        <v>#N/A</v>
      </c>
      <c r="AZ101" s="500" t="e">
        <f t="shared" si="189"/>
        <v>#N/A</v>
      </c>
    </row>
    <row r="102" spans="2:52" x14ac:dyDescent="0.25">
      <c r="B102" s="327">
        <v>15</v>
      </c>
      <c r="C102" s="347">
        <f>TREND(C86:C87,B86:B87,B102)</f>
        <v>0</v>
      </c>
      <c r="D102" s="372">
        <f>TREND(D86:D87,B86:B87,B102)</f>
        <v>0</v>
      </c>
      <c r="E102" s="373">
        <f>TREND(E86:E87,B86:B87,B102)</f>
        <v>55</v>
      </c>
      <c r="F102" s="374">
        <f>TREND(F86:F87,B86:B87,B102)</f>
        <v>55</v>
      </c>
      <c r="G102" s="339">
        <f t="shared" si="156"/>
        <v>0</v>
      </c>
      <c r="H102" s="436">
        <f t="shared" si="157"/>
        <v>0</v>
      </c>
      <c r="I102" s="521" t="e">
        <f t="shared" si="191"/>
        <v>#N/A</v>
      </c>
      <c r="J102" s="500" t="e">
        <f t="shared" si="192"/>
        <v>#N/A</v>
      </c>
      <c r="K102" s="521" t="e">
        <f t="shared" si="193"/>
        <v>#N/A</v>
      </c>
      <c r="L102" s="500" t="e">
        <f t="shared" si="194"/>
        <v>#N/A</v>
      </c>
      <c r="M102" s="285" t="e">
        <f t="shared" si="190"/>
        <v>#N/A</v>
      </c>
      <c r="N102" s="323" t="e">
        <f t="shared" si="160"/>
        <v>#N/A</v>
      </c>
      <c r="O102" s="474"/>
      <c r="P102" s="1038">
        <f t="shared" si="195"/>
        <v>0</v>
      </c>
      <c r="Q102" s="1324">
        <f t="shared" si="196"/>
        <v>0</v>
      </c>
      <c r="R102" s="1324">
        <f t="shared" si="197"/>
        <v>0</v>
      </c>
      <c r="S102" s="1324">
        <f t="shared" si="198"/>
        <v>0</v>
      </c>
      <c r="T102" s="1324">
        <f t="shared" si="199"/>
        <v>0</v>
      </c>
      <c r="U102" s="1324">
        <f t="shared" si="200"/>
        <v>0</v>
      </c>
      <c r="V102" s="1325">
        <f t="shared" si="201"/>
        <v>0</v>
      </c>
      <c r="W102" s="521" t="e">
        <f t="shared" si="168"/>
        <v>#N/A</v>
      </c>
      <c r="X102" s="1333" t="e">
        <f t="shared" si="169"/>
        <v>#N/A</v>
      </c>
      <c r="Y102" s="1333" t="e">
        <f t="shared" si="170"/>
        <v>#N/A</v>
      </c>
      <c r="Z102" s="1333" t="e">
        <f t="shared" si="171"/>
        <v>#N/A</v>
      </c>
      <c r="AA102" s="1333" t="e">
        <f t="shared" si="172"/>
        <v>#N/A</v>
      </c>
      <c r="AB102" s="500" t="e">
        <f t="shared" si="173"/>
        <v>#N/A</v>
      </c>
      <c r="AD102" s="327">
        <v>15</v>
      </c>
      <c r="AE102" s="347">
        <f>TREND(AE86:AE87,AD86:AD87,AD102)</f>
        <v>0</v>
      </c>
      <c r="AF102" s="630">
        <f>TREND(AF86:AF87,AD86:AD87,AD102)</f>
        <v>0</v>
      </c>
      <c r="AG102" s="428"/>
      <c r="AH102" s="431"/>
      <c r="AI102" s="521" t="e">
        <f t="shared" si="202"/>
        <v>#N/A</v>
      </c>
      <c r="AJ102" s="500" t="e">
        <f t="shared" si="203"/>
        <v>#N/A</v>
      </c>
      <c r="AK102" s="285" t="e">
        <f t="shared" si="175"/>
        <v>#N/A</v>
      </c>
      <c r="AL102" s="323" t="e">
        <f t="shared" si="176"/>
        <v>#N/A</v>
      </c>
      <c r="AM102" s="474"/>
      <c r="AN102" s="1038">
        <f t="shared" si="204"/>
        <v>0</v>
      </c>
      <c r="AO102" s="1324">
        <f t="shared" si="205"/>
        <v>0</v>
      </c>
      <c r="AP102" s="1324">
        <f t="shared" si="206"/>
        <v>0</v>
      </c>
      <c r="AQ102" s="1324">
        <f t="shared" si="207"/>
        <v>0</v>
      </c>
      <c r="AR102" s="1324">
        <f t="shared" si="208"/>
        <v>0</v>
      </c>
      <c r="AS102" s="1324">
        <f t="shared" si="209"/>
        <v>0</v>
      </c>
      <c r="AT102" s="1325">
        <f t="shared" si="210"/>
        <v>0</v>
      </c>
      <c r="AU102" s="521" t="e">
        <f t="shared" si="184"/>
        <v>#N/A</v>
      </c>
      <c r="AV102" s="1333" t="e">
        <f t="shared" si="185"/>
        <v>#N/A</v>
      </c>
      <c r="AW102" s="1333" t="e">
        <f t="shared" si="186"/>
        <v>#N/A</v>
      </c>
      <c r="AX102" s="1333" t="e">
        <f t="shared" si="187"/>
        <v>#N/A</v>
      </c>
      <c r="AY102" s="1333" t="e">
        <f t="shared" si="188"/>
        <v>#N/A</v>
      </c>
      <c r="AZ102" s="500" t="e">
        <f t="shared" si="189"/>
        <v>#N/A</v>
      </c>
    </row>
    <row r="103" spans="2:52" x14ac:dyDescent="0.25">
      <c r="B103" s="327">
        <v>16</v>
      </c>
      <c r="C103" s="347">
        <f>TREND(C86:C87,B86:B87,B103)</f>
        <v>0</v>
      </c>
      <c r="D103" s="372">
        <f>TREND(D86:D87,B86:B87,B103)</f>
        <v>0</v>
      </c>
      <c r="E103" s="373">
        <f>TREND(E86:E87,B86:B87,B103)</f>
        <v>55</v>
      </c>
      <c r="F103" s="374">
        <f>TREND(F86:F87,B86:B87,B103)</f>
        <v>55</v>
      </c>
      <c r="G103" s="339">
        <f t="shared" si="156"/>
        <v>0</v>
      </c>
      <c r="H103" s="436">
        <f t="shared" si="157"/>
        <v>0</v>
      </c>
      <c r="I103" s="521" t="e">
        <f t="shared" si="191"/>
        <v>#N/A</v>
      </c>
      <c r="J103" s="500" t="e">
        <f t="shared" si="192"/>
        <v>#N/A</v>
      </c>
      <c r="K103" s="521" t="e">
        <f t="shared" si="193"/>
        <v>#N/A</v>
      </c>
      <c r="L103" s="500" t="e">
        <f t="shared" si="194"/>
        <v>#N/A</v>
      </c>
      <c r="M103" s="285" t="e">
        <f t="shared" si="190"/>
        <v>#N/A</v>
      </c>
      <c r="N103" s="323" t="e">
        <f t="shared" si="160"/>
        <v>#N/A</v>
      </c>
      <c r="O103" s="474"/>
      <c r="P103" s="1038">
        <f t="shared" si="195"/>
        <v>0</v>
      </c>
      <c r="Q103" s="1324">
        <f t="shared" si="196"/>
        <v>0</v>
      </c>
      <c r="R103" s="1324">
        <f t="shared" si="197"/>
        <v>0</v>
      </c>
      <c r="S103" s="1324">
        <f t="shared" si="198"/>
        <v>0</v>
      </c>
      <c r="T103" s="1324">
        <f t="shared" si="199"/>
        <v>0</v>
      </c>
      <c r="U103" s="1324">
        <f t="shared" si="200"/>
        <v>0</v>
      </c>
      <c r="V103" s="1325">
        <f t="shared" si="201"/>
        <v>0</v>
      </c>
      <c r="W103" s="521" t="e">
        <f t="shared" si="168"/>
        <v>#N/A</v>
      </c>
      <c r="X103" s="1333" t="e">
        <f t="shared" si="169"/>
        <v>#N/A</v>
      </c>
      <c r="Y103" s="1333" t="e">
        <f t="shared" si="170"/>
        <v>#N/A</v>
      </c>
      <c r="Z103" s="1333" t="e">
        <f t="shared" si="171"/>
        <v>#N/A</v>
      </c>
      <c r="AA103" s="1333" t="e">
        <f t="shared" si="172"/>
        <v>#N/A</v>
      </c>
      <c r="AB103" s="500" t="e">
        <f t="shared" si="173"/>
        <v>#N/A</v>
      </c>
      <c r="AD103" s="327">
        <v>16</v>
      </c>
      <c r="AE103" s="347">
        <f>TREND(AE86:AE87,AD86:AD87,AD103)</f>
        <v>0</v>
      </c>
      <c r="AF103" s="630">
        <f>TREND(AF86:AF87,AD86:AD87,AD103)</f>
        <v>0</v>
      </c>
      <c r="AG103" s="428"/>
      <c r="AH103" s="431"/>
      <c r="AI103" s="521" t="e">
        <f t="shared" si="202"/>
        <v>#N/A</v>
      </c>
      <c r="AJ103" s="500" t="e">
        <f t="shared" si="203"/>
        <v>#N/A</v>
      </c>
      <c r="AK103" s="285" t="e">
        <f t="shared" si="175"/>
        <v>#N/A</v>
      </c>
      <c r="AL103" s="323" t="e">
        <f t="shared" si="176"/>
        <v>#N/A</v>
      </c>
      <c r="AM103" s="474"/>
      <c r="AN103" s="1038">
        <f t="shared" si="204"/>
        <v>0</v>
      </c>
      <c r="AO103" s="1324">
        <f t="shared" si="205"/>
        <v>0</v>
      </c>
      <c r="AP103" s="1324">
        <f t="shared" si="206"/>
        <v>0</v>
      </c>
      <c r="AQ103" s="1324">
        <f t="shared" si="207"/>
        <v>0</v>
      </c>
      <c r="AR103" s="1324">
        <f t="shared" si="208"/>
        <v>0</v>
      </c>
      <c r="AS103" s="1324">
        <f t="shared" si="209"/>
        <v>0</v>
      </c>
      <c r="AT103" s="1325">
        <f t="shared" si="210"/>
        <v>0</v>
      </c>
      <c r="AU103" s="521" t="e">
        <f t="shared" si="184"/>
        <v>#N/A</v>
      </c>
      <c r="AV103" s="1333" t="e">
        <f t="shared" si="185"/>
        <v>#N/A</v>
      </c>
      <c r="AW103" s="1333" t="e">
        <f t="shared" si="186"/>
        <v>#N/A</v>
      </c>
      <c r="AX103" s="1333" t="e">
        <f t="shared" si="187"/>
        <v>#N/A</v>
      </c>
      <c r="AY103" s="1333" t="e">
        <f t="shared" si="188"/>
        <v>#N/A</v>
      </c>
      <c r="AZ103" s="500" t="e">
        <f t="shared" si="189"/>
        <v>#N/A</v>
      </c>
    </row>
    <row r="104" spans="2:52" x14ac:dyDescent="0.25">
      <c r="B104" s="327">
        <v>17</v>
      </c>
      <c r="C104" s="347">
        <f>TREND(C86:C87,B86:B87,B104)</f>
        <v>0</v>
      </c>
      <c r="D104" s="372">
        <f>TREND(D86:D87,B86:B87,B104)</f>
        <v>0</v>
      </c>
      <c r="E104" s="373">
        <f>TREND(E86:E87,B86:B87,B104)</f>
        <v>55</v>
      </c>
      <c r="F104" s="374">
        <f>TREND(F86:F87,B86:B87,B104)</f>
        <v>55</v>
      </c>
      <c r="G104" s="339">
        <f t="shared" si="156"/>
        <v>0</v>
      </c>
      <c r="H104" s="436">
        <f t="shared" si="157"/>
        <v>0</v>
      </c>
      <c r="I104" s="521" t="e">
        <f t="shared" si="191"/>
        <v>#N/A</v>
      </c>
      <c r="J104" s="500" t="e">
        <f t="shared" si="192"/>
        <v>#N/A</v>
      </c>
      <c r="K104" s="521" t="e">
        <f t="shared" si="193"/>
        <v>#N/A</v>
      </c>
      <c r="L104" s="500" t="e">
        <f t="shared" si="194"/>
        <v>#N/A</v>
      </c>
      <c r="M104" s="285" t="e">
        <f t="shared" si="190"/>
        <v>#N/A</v>
      </c>
      <c r="N104" s="323" t="e">
        <f t="shared" si="160"/>
        <v>#N/A</v>
      </c>
      <c r="O104" s="474"/>
      <c r="P104" s="1038">
        <f t="shared" si="195"/>
        <v>0</v>
      </c>
      <c r="Q104" s="1324">
        <f t="shared" si="196"/>
        <v>0</v>
      </c>
      <c r="R104" s="1324">
        <f t="shared" si="197"/>
        <v>0</v>
      </c>
      <c r="S104" s="1324">
        <f t="shared" si="198"/>
        <v>0</v>
      </c>
      <c r="T104" s="1324">
        <f t="shared" si="199"/>
        <v>0</v>
      </c>
      <c r="U104" s="1324">
        <f t="shared" si="200"/>
        <v>0</v>
      </c>
      <c r="V104" s="1325">
        <f t="shared" si="201"/>
        <v>0</v>
      </c>
      <c r="W104" s="521" t="e">
        <f t="shared" si="168"/>
        <v>#N/A</v>
      </c>
      <c r="X104" s="1333" t="e">
        <f t="shared" si="169"/>
        <v>#N/A</v>
      </c>
      <c r="Y104" s="1333" t="e">
        <f t="shared" si="170"/>
        <v>#N/A</v>
      </c>
      <c r="Z104" s="1333" t="e">
        <f t="shared" si="171"/>
        <v>#N/A</v>
      </c>
      <c r="AA104" s="1333" t="e">
        <f t="shared" si="172"/>
        <v>#N/A</v>
      </c>
      <c r="AB104" s="500" t="e">
        <f t="shared" si="173"/>
        <v>#N/A</v>
      </c>
      <c r="AD104" s="327">
        <v>17</v>
      </c>
      <c r="AE104" s="347">
        <f>TREND(AE86:AE87,AD86:AD87,AD104)</f>
        <v>0</v>
      </c>
      <c r="AF104" s="630">
        <f>TREND(AF86:AF87,AD86:AD87,AD104)</f>
        <v>0</v>
      </c>
      <c r="AG104" s="428"/>
      <c r="AH104" s="431"/>
      <c r="AI104" s="521" t="e">
        <f t="shared" si="202"/>
        <v>#N/A</v>
      </c>
      <c r="AJ104" s="500" t="e">
        <f t="shared" si="203"/>
        <v>#N/A</v>
      </c>
      <c r="AK104" s="285" t="e">
        <f t="shared" si="175"/>
        <v>#N/A</v>
      </c>
      <c r="AL104" s="323" t="e">
        <f t="shared" si="176"/>
        <v>#N/A</v>
      </c>
      <c r="AM104" s="474"/>
      <c r="AN104" s="1038">
        <f t="shared" si="204"/>
        <v>0</v>
      </c>
      <c r="AO104" s="1324">
        <f t="shared" si="205"/>
        <v>0</v>
      </c>
      <c r="AP104" s="1324">
        <f t="shared" si="206"/>
        <v>0</v>
      </c>
      <c r="AQ104" s="1324">
        <f t="shared" si="207"/>
        <v>0</v>
      </c>
      <c r="AR104" s="1324">
        <f t="shared" si="208"/>
        <v>0</v>
      </c>
      <c r="AS104" s="1324">
        <f t="shared" si="209"/>
        <v>0</v>
      </c>
      <c r="AT104" s="1325">
        <f t="shared" si="210"/>
        <v>0</v>
      </c>
      <c r="AU104" s="521" t="e">
        <f t="shared" si="184"/>
        <v>#N/A</v>
      </c>
      <c r="AV104" s="1333" t="e">
        <f t="shared" si="185"/>
        <v>#N/A</v>
      </c>
      <c r="AW104" s="1333" t="e">
        <f t="shared" si="186"/>
        <v>#N/A</v>
      </c>
      <c r="AX104" s="1333" t="e">
        <f t="shared" si="187"/>
        <v>#N/A</v>
      </c>
      <c r="AY104" s="1333" t="e">
        <f t="shared" si="188"/>
        <v>#N/A</v>
      </c>
      <c r="AZ104" s="500" t="e">
        <f t="shared" si="189"/>
        <v>#N/A</v>
      </c>
    </row>
    <row r="105" spans="2:52" x14ac:dyDescent="0.25">
      <c r="B105" s="327">
        <v>18</v>
      </c>
      <c r="C105" s="347">
        <f>TREND(C86:C87,B86:B87,B105)</f>
        <v>0</v>
      </c>
      <c r="D105" s="372">
        <f>TREND(D86:D87,B86:B87,B105)</f>
        <v>0</v>
      </c>
      <c r="E105" s="373">
        <f>TREND(E86:E87,B86:B87,B105)</f>
        <v>55</v>
      </c>
      <c r="F105" s="374">
        <f>TREND(F86:F87,B86:B87,B105)</f>
        <v>55</v>
      </c>
      <c r="G105" s="339">
        <f t="shared" si="156"/>
        <v>0</v>
      </c>
      <c r="H105" s="436">
        <f t="shared" si="157"/>
        <v>0</v>
      </c>
      <c r="I105" s="521" t="e">
        <f t="shared" si="191"/>
        <v>#N/A</v>
      </c>
      <c r="J105" s="500" t="e">
        <f t="shared" si="192"/>
        <v>#N/A</v>
      </c>
      <c r="K105" s="521" t="e">
        <f t="shared" si="193"/>
        <v>#N/A</v>
      </c>
      <c r="L105" s="500" t="e">
        <f t="shared" si="194"/>
        <v>#N/A</v>
      </c>
      <c r="M105" s="285" t="e">
        <f t="shared" si="190"/>
        <v>#N/A</v>
      </c>
      <c r="N105" s="323" t="e">
        <f t="shared" si="160"/>
        <v>#N/A</v>
      </c>
      <c r="O105" s="474"/>
      <c r="P105" s="1038">
        <f t="shared" si="195"/>
        <v>0</v>
      </c>
      <c r="Q105" s="1324">
        <f t="shared" si="196"/>
        <v>0</v>
      </c>
      <c r="R105" s="1324">
        <f t="shared" si="197"/>
        <v>0</v>
      </c>
      <c r="S105" s="1324">
        <f t="shared" si="198"/>
        <v>0</v>
      </c>
      <c r="T105" s="1324">
        <f t="shared" si="199"/>
        <v>0</v>
      </c>
      <c r="U105" s="1324">
        <f t="shared" si="200"/>
        <v>0</v>
      </c>
      <c r="V105" s="1325">
        <f t="shared" si="201"/>
        <v>0</v>
      </c>
      <c r="W105" s="521" t="e">
        <f t="shared" si="168"/>
        <v>#N/A</v>
      </c>
      <c r="X105" s="1333" t="e">
        <f t="shared" si="169"/>
        <v>#N/A</v>
      </c>
      <c r="Y105" s="1333" t="e">
        <f t="shared" si="170"/>
        <v>#N/A</v>
      </c>
      <c r="Z105" s="1333" t="e">
        <f t="shared" si="171"/>
        <v>#N/A</v>
      </c>
      <c r="AA105" s="1333" t="e">
        <f t="shared" si="172"/>
        <v>#N/A</v>
      </c>
      <c r="AB105" s="500" t="e">
        <f t="shared" si="173"/>
        <v>#N/A</v>
      </c>
      <c r="AD105" s="327">
        <v>18</v>
      </c>
      <c r="AE105" s="347">
        <f>TREND(AE86:AE87,AD86:AD87,AD105)</f>
        <v>0</v>
      </c>
      <c r="AF105" s="630">
        <f>TREND(AF86:AF87,AD86:AD87,AD105)</f>
        <v>0</v>
      </c>
      <c r="AG105" s="428"/>
      <c r="AH105" s="431"/>
      <c r="AI105" s="521" t="e">
        <f t="shared" si="202"/>
        <v>#N/A</v>
      </c>
      <c r="AJ105" s="500" t="e">
        <f t="shared" si="203"/>
        <v>#N/A</v>
      </c>
      <c r="AK105" s="285" t="e">
        <f t="shared" si="175"/>
        <v>#N/A</v>
      </c>
      <c r="AL105" s="323" t="e">
        <f t="shared" si="176"/>
        <v>#N/A</v>
      </c>
      <c r="AM105" s="474"/>
      <c r="AN105" s="1038">
        <f t="shared" si="204"/>
        <v>0</v>
      </c>
      <c r="AO105" s="1324">
        <f t="shared" si="205"/>
        <v>0</v>
      </c>
      <c r="AP105" s="1324">
        <f t="shared" si="206"/>
        <v>0</v>
      </c>
      <c r="AQ105" s="1324">
        <f t="shared" si="207"/>
        <v>0</v>
      </c>
      <c r="AR105" s="1324">
        <f t="shared" si="208"/>
        <v>0</v>
      </c>
      <c r="AS105" s="1324">
        <f t="shared" si="209"/>
        <v>0</v>
      </c>
      <c r="AT105" s="1325">
        <f t="shared" si="210"/>
        <v>0</v>
      </c>
      <c r="AU105" s="521" t="e">
        <f t="shared" si="184"/>
        <v>#N/A</v>
      </c>
      <c r="AV105" s="1333" t="e">
        <f t="shared" si="185"/>
        <v>#N/A</v>
      </c>
      <c r="AW105" s="1333" t="e">
        <f t="shared" si="186"/>
        <v>#N/A</v>
      </c>
      <c r="AX105" s="1333" t="e">
        <f t="shared" si="187"/>
        <v>#N/A</v>
      </c>
      <c r="AY105" s="1333" t="e">
        <f t="shared" si="188"/>
        <v>#N/A</v>
      </c>
      <c r="AZ105" s="500" t="e">
        <f t="shared" si="189"/>
        <v>#N/A</v>
      </c>
    </row>
    <row r="106" spans="2:52" x14ac:dyDescent="0.25">
      <c r="B106" s="359">
        <v>19</v>
      </c>
      <c r="C106" s="360">
        <f>TREND(C86:C87,B86:B87,B106)</f>
        <v>0</v>
      </c>
      <c r="D106" s="375">
        <f>TREND(D86:D87,B86:B87,B106)</f>
        <v>0</v>
      </c>
      <c r="E106" s="376">
        <f>TREND(E86:E87,B86:B87,B106)</f>
        <v>55</v>
      </c>
      <c r="F106" s="377">
        <f>TREND(F86:F87,B86:B87,B106)</f>
        <v>55</v>
      </c>
      <c r="G106" s="339">
        <f t="shared" si="156"/>
        <v>0</v>
      </c>
      <c r="H106" s="435">
        <f t="shared" si="157"/>
        <v>0</v>
      </c>
      <c r="I106" s="520" t="e">
        <f t="shared" si="191"/>
        <v>#N/A</v>
      </c>
      <c r="J106" s="499" t="e">
        <f t="shared" si="192"/>
        <v>#N/A</v>
      </c>
      <c r="K106" s="520" t="e">
        <f t="shared" si="193"/>
        <v>#N/A</v>
      </c>
      <c r="L106" s="499" t="e">
        <f t="shared" si="194"/>
        <v>#N/A</v>
      </c>
      <c r="M106" s="285" t="e">
        <f t="shared" si="190"/>
        <v>#N/A</v>
      </c>
      <c r="N106" s="323" t="e">
        <f t="shared" si="160"/>
        <v>#N/A</v>
      </c>
      <c r="O106" s="474"/>
      <c r="P106" s="1037">
        <f t="shared" si="195"/>
        <v>0</v>
      </c>
      <c r="Q106" s="1322">
        <f t="shared" si="196"/>
        <v>0</v>
      </c>
      <c r="R106" s="1322">
        <f t="shared" si="197"/>
        <v>0</v>
      </c>
      <c r="S106" s="1322">
        <f t="shared" si="198"/>
        <v>0</v>
      </c>
      <c r="T106" s="1322">
        <f t="shared" si="199"/>
        <v>0</v>
      </c>
      <c r="U106" s="1322">
        <f t="shared" si="200"/>
        <v>0</v>
      </c>
      <c r="V106" s="1326">
        <f t="shared" si="201"/>
        <v>0</v>
      </c>
      <c r="W106" s="520" t="e">
        <f t="shared" si="168"/>
        <v>#N/A</v>
      </c>
      <c r="X106" s="1332" t="e">
        <f t="shared" si="169"/>
        <v>#N/A</v>
      </c>
      <c r="Y106" s="1332" t="e">
        <f t="shared" si="170"/>
        <v>#N/A</v>
      </c>
      <c r="Z106" s="1332" t="e">
        <f t="shared" si="171"/>
        <v>#N/A</v>
      </c>
      <c r="AA106" s="1332" t="e">
        <f t="shared" si="172"/>
        <v>#N/A</v>
      </c>
      <c r="AB106" s="499" t="e">
        <f t="shared" si="173"/>
        <v>#N/A</v>
      </c>
      <c r="AD106" s="359">
        <v>19</v>
      </c>
      <c r="AE106" s="360">
        <f>TREND(AE86:AE87,AD86:AD87,AD106)</f>
        <v>0</v>
      </c>
      <c r="AF106" s="631">
        <f>TREND(AF86:AF87,AD86:AD87,AD106)</f>
        <v>0</v>
      </c>
      <c r="AG106" s="428"/>
      <c r="AH106" s="430"/>
      <c r="AI106" s="520" t="e">
        <f t="shared" si="202"/>
        <v>#N/A</v>
      </c>
      <c r="AJ106" s="499" t="e">
        <f t="shared" si="203"/>
        <v>#N/A</v>
      </c>
      <c r="AK106" s="285" t="e">
        <f t="shared" si="175"/>
        <v>#N/A</v>
      </c>
      <c r="AL106" s="323" t="e">
        <f t="shared" si="176"/>
        <v>#N/A</v>
      </c>
      <c r="AM106" s="474"/>
      <c r="AN106" s="1037">
        <f t="shared" si="204"/>
        <v>0</v>
      </c>
      <c r="AO106" s="1322">
        <f t="shared" si="205"/>
        <v>0</v>
      </c>
      <c r="AP106" s="1322">
        <f t="shared" si="206"/>
        <v>0</v>
      </c>
      <c r="AQ106" s="1322">
        <f t="shared" si="207"/>
        <v>0</v>
      </c>
      <c r="AR106" s="1322">
        <f t="shared" si="208"/>
        <v>0</v>
      </c>
      <c r="AS106" s="1322">
        <f t="shared" si="209"/>
        <v>0</v>
      </c>
      <c r="AT106" s="1326">
        <f t="shared" si="210"/>
        <v>0</v>
      </c>
      <c r="AU106" s="520" t="e">
        <f t="shared" si="184"/>
        <v>#N/A</v>
      </c>
      <c r="AV106" s="1332" t="e">
        <f t="shared" si="185"/>
        <v>#N/A</v>
      </c>
      <c r="AW106" s="1332" t="e">
        <f t="shared" si="186"/>
        <v>#N/A</v>
      </c>
      <c r="AX106" s="1332" t="e">
        <f t="shared" si="187"/>
        <v>#N/A</v>
      </c>
      <c r="AY106" s="1332" t="e">
        <f t="shared" si="188"/>
        <v>#N/A</v>
      </c>
      <c r="AZ106" s="499" t="e">
        <f t="shared" si="189"/>
        <v>#N/A</v>
      </c>
    </row>
    <row r="107" spans="2:52" x14ac:dyDescent="0.25">
      <c r="B107" s="357"/>
      <c r="C107" s="355"/>
      <c r="D107" s="355"/>
      <c r="E107" s="355"/>
      <c r="F107" s="355"/>
      <c r="G107" s="356"/>
      <c r="H107" s="356"/>
      <c r="I107" s="356"/>
      <c r="J107" s="356"/>
      <c r="K107" s="356"/>
      <c r="L107" s="356"/>
      <c r="M107" s="356"/>
      <c r="N107" s="358"/>
      <c r="O107" s="475"/>
      <c r="P107" s="358"/>
      <c r="Q107" s="358"/>
      <c r="R107" s="358"/>
      <c r="S107" s="358"/>
      <c r="T107" s="358"/>
      <c r="U107" s="358"/>
      <c r="V107" s="358"/>
      <c r="W107" s="475"/>
      <c r="X107" s="475"/>
      <c r="Y107" s="475"/>
      <c r="Z107" s="475"/>
      <c r="AA107" s="475"/>
      <c r="AB107" s="475"/>
      <c r="AD107" s="357"/>
      <c r="AE107" s="355"/>
      <c r="AF107" s="355"/>
      <c r="AG107" s="356"/>
      <c r="AH107" s="356"/>
      <c r="AI107" s="356"/>
      <c r="AJ107" s="356"/>
      <c r="AK107" s="356"/>
      <c r="AL107" s="358"/>
      <c r="AM107" s="475"/>
      <c r="AN107" s="358"/>
      <c r="AO107" s="358"/>
      <c r="AP107" s="358"/>
      <c r="AQ107" s="358"/>
      <c r="AR107" s="358"/>
      <c r="AS107" s="358"/>
      <c r="AT107" s="358"/>
      <c r="AU107" s="475"/>
      <c r="AV107" s="475"/>
      <c r="AW107" s="475"/>
      <c r="AX107" s="475"/>
      <c r="AY107" s="475"/>
      <c r="AZ107" s="475"/>
    </row>
    <row r="108" spans="2:52" ht="13" x14ac:dyDescent="0.25">
      <c r="B108" s="329" t="s">
        <v>172</v>
      </c>
      <c r="C108" s="330"/>
      <c r="D108" s="331"/>
      <c r="E108" s="331"/>
      <c r="F108" s="331"/>
      <c r="G108" s="331"/>
      <c r="H108" s="331"/>
      <c r="I108" s="331"/>
      <c r="J108" s="332"/>
      <c r="K108" s="331"/>
      <c r="L108" s="332"/>
      <c r="M108" s="341"/>
      <c r="N108" s="342" t="e">
        <f>SUM(N86:N106)</f>
        <v>#N/A</v>
      </c>
      <c r="O108" s="477"/>
      <c r="P108" s="1039">
        <f>SUM(P86:P106)</f>
        <v>0</v>
      </c>
      <c r="Q108" s="1327">
        <f>SUM(Q86:Q106)</f>
        <v>0</v>
      </c>
      <c r="R108" s="1327">
        <f t="shared" ref="R108:V108" si="211">SUM(R86:R106)</f>
        <v>0</v>
      </c>
      <c r="S108" s="1327">
        <f t="shared" si="211"/>
        <v>0</v>
      </c>
      <c r="T108" s="1327">
        <f t="shared" si="211"/>
        <v>0</v>
      </c>
      <c r="U108" s="1327">
        <f t="shared" si="211"/>
        <v>0</v>
      </c>
      <c r="V108" s="1328">
        <f t="shared" si="211"/>
        <v>0</v>
      </c>
      <c r="W108" s="1334" t="e">
        <f>SUM(W86:W106)</f>
        <v>#N/A</v>
      </c>
      <c r="X108" s="1335" t="e">
        <f>SUM(X86:X106)</f>
        <v>#N/A</v>
      </c>
      <c r="Y108" s="1335" t="e">
        <f t="shared" ref="Y108:AB108" si="212">SUM(Y86:Y106)</f>
        <v>#N/A</v>
      </c>
      <c r="Z108" s="1335" t="e">
        <f t="shared" si="212"/>
        <v>#N/A</v>
      </c>
      <c r="AA108" s="1335" t="e">
        <f t="shared" si="212"/>
        <v>#N/A</v>
      </c>
      <c r="AB108" s="1040" t="e">
        <f t="shared" si="212"/>
        <v>#N/A</v>
      </c>
      <c r="AD108" s="329" t="s">
        <v>172</v>
      </c>
      <c r="AE108" s="330"/>
      <c r="AF108" s="331"/>
      <c r="AG108" s="331"/>
      <c r="AH108" s="331"/>
      <c r="AI108" s="331"/>
      <c r="AJ108" s="332"/>
      <c r="AK108" s="341"/>
      <c r="AL108" s="342" t="e">
        <f>SUM(AL86:AL106)</f>
        <v>#N/A</v>
      </c>
      <c r="AM108" s="477"/>
      <c r="AN108" s="1039">
        <f t="shared" ref="AN108" si="213">SUM(AN86:AN106)</f>
        <v>0</v>
      </c>
      <c r="AO108" s="1327">
        <f>SUM(AO86:AO106)</f>
        <v>0</v>
      </c>
      <c r="AP108" s="1327">
        <f t="shared" ref="AP108:AT108" si="214">SUM(AP86:AP106)</f>
        <v>0</v>
      </c>
      <c r="AQ108" s="1327">
        <f t="shared" si="214"/>
        <v>0</v>
      </c>
      <c r="AR108" s="1327">
        <f t="shared" si="214"/>
        <v>0</v>
      </c>
      <c r="AS108" s="1327">
        <f t="shared" si="214"/>
        <v>0</v>
      </c>
      <c r="AT108" s="1328">
        <f t="shared" si="214"/>
        <v>0</v>
      </c>
      <c r="AU108" s="1334" t="e">
        <f t="shared" ref="AU108:AZ108" si="215">SUM(AU86:AU106)</f>
        <v>#N/A</v>
      </c>
      <c r="AV108" s="1335" t="e">
        <f t="shared" si="215"/>
        <v>#N/A</v>
      </c>
      <c r="AW108" s="1335" t="e">
        <f t="shared" si="215"/>
        <v>#N/A</v>
      </c>
      <c r="AX108" s="1335" t="e">
        <f t="shared" si="215"/>
        <v>#N/A</v>
      </c>
      <c r="AY108" s="1335" t="e">
        <f t="shared" si="215"/>
        <v>#N/A</v>
      </c>
      <c r="AZ108" s="1040" t="e">
        <f t="shared" si="215"/>
        <v>#N/A</v>
      </c>
    </row>
    <row r="109" spans="2:52" x14ac:dyDescent="0.25">
      <c r="O109" s="450"/>
      <c r="P109" s="450"/>
      <c r="Q109" s="450"/>
      <c r="R109" s="450"/>
      <c r="S109" s="450"/>
      <c r="T109" s="450"/>
      <c r="U109" s="450"/>
      <c r="V109" s="450"/>
      <c r="W109" s="450"/>
      <c r="X109" s="450"/>
      <c r="Y109" s="450"/>
      <c r="Z109" s="450"/>
      <c r="AA109" s="450"/>
      <c r="AB109" s="450"/>
      <c r="AD109" s="448"/>
      <c r="AE109" s="448"/>
      <c r="AF109" s="449"/>
      <c r="AG109" s="449"/>
      <c r="AH109" s="449"/>
      <c r="AI109" s="450"/>
      <c r="AJ109" s="450"/>
      <c r="AK109" s="450"/>
      <c r="AL109" s="450"/>
      <c r="AM109" s="450"/>
      <c r="AN109" s="450"/>
      <c r="AO109" s="450"/>
      <c r="AP109" s="450"/>
      <c r="AQ109" s="450"/>
      <c r="AR109" s="450"/>
      <c r="AS109" s="450"/>
      <c r="AT109" s="450"/>
      <c r="AU109" s="450"/>
      <c r="AV109" s="450"/>
      <c r="AW109" s="450"/>
      <c r="AX109" s="450"/>
      <c r="AY109" s="450"/>
      <c r="AZ109" s="450"/>
    </row>
    <row r="110" spans="2:52" x14ac:dyDescent="0.25">
      <c r="O110" s="450"/>
      <c r="P110" s="450"/>
      <c r="Q110" s="450"/>
      <c r="R110" s="450"/>
      <c r="S110" s="450"/>
      <c r="T110" s="450"/>
      <c r="U110" s="450"/>
      <c r="V110" s="450"/>
      <c r="W110" s="450"/>
      <c r="X110" s="450"/>
      <c r="Y110" s="450"/>
      <c r="Z110" s="450"/>
      <c r="AA110" s="450"/>
      <c r="AB110" s="450"/>
      <c r="AD110" s="448"/>
      <c r="AE110" s="448"/>
      <c r="AF110" s="449"/>
      <c r="AG110" s="449"/>
      <c r="AH110" s="449"/>
      <c r="AI110" s="450"/>
      <c r="AJ110" s="450"/>
      <c r="AK110" s="450"/>
      <c r="AL110" s="450"/>
      <c r="AM110" s="450"/>
      <c r="AN110" s="450"/>
      <c r="AO110" s="450"/>
      <c r="AP110" s="450"/>
      <c r="AQ110" s="450"/>
      <c r="AR110" s="450"/>
      <c r="AS110" s="450"/>
      <c r="AT110" s="450"/>
      <c r="AU110" s="450"/>
      <c r="AV110" s="450"/>
      <c r="AW110" s="450"/>
      <c r="AX110" s="450"/>
      <c r="AY110" s="450"/>
      <c r="AZ110" s="450"/>
    </row>
    <row r="111" spans="2:52" ht="13" x14ac:dyDescent="0.25">
      <c r="B111" s="350" t="s">
        <v>253</v>
      </c>
      <c r="C111" s="88"/>
      <c r="D111" s="88"/>
      <c r="E111" s="88"/>
      <c r="F111" s="88"/>
      <c r="G111" s="88"/>
      <c r="H111" s="309"/>
      <c r="I111" s="309"/>
      <c r="J111" s="88"/>
      <c r="K111" s="309"/>
      <c r="L111" s="88"/>
      <c r="M111" s="88"/>
      <c r="N111" s="88"/>
      <c r="O111" s="273"/>
      <c r="P111" s="273"/>
      <c r="Q111" s="273"/>
      <c r="R111" s="273"/>
      <c r="S111" s="273"/>
      <c r="T111" s="273"/>
      <c r="U111" s="273"/>
      <c r="V111" s="273"/>
      <c r="W111" s="273"/>
      <c r="X111" s="273"/>
      <c r="Y111" s="273"/>
      <c r="Z111" s="273"/>
      <c r="AA111" s="273"/>
      <c r="AB111" s="273"/>
      <c r="AD111" s="350" t="s">
        <v>312</v>
      </c>
      <c r="AE111" s="88"/>
      <c r="AF111" s="88"/>
      <c r="AG111" s="88"/>
      <c r="AH111" s="88"/>
      <c r="AI111" s="636"/>
      <c r="AJ111" s="88"/>
      <c r="AK111" s="88"/>
      <c r="AL111" s="88"/>
      <c r="AM111" s="273"/>
      <c r="AN111" s="273"/>
      <c r="AO111" s="273"/>
      <c r="AP111" s="273"/>
      <c r="AQ111" s="273"/>
      <c r="AR111" s="273"/>
      <c r="AS111" s="273"/>
      <c r="AT111" s="273"/>
      <c r="AU111" s="273"/>
      <c r="AV111" s="273"/>
      <c r="AW111" s="273"/>
      <c r="AX111" s="273"/>
      <c r="AY111" s="273"/>
      <c r="AZ111" s="273"/>
    </row>
    <row r="112" spans="2:52" x14ac:dyDescent="0.25">
      <c r="B112" s="88"/>
      <c r="C112" s="88"/>
      <c r="D112" s="274"/>
      <c r="E112" s="274"/>
      <c r="F112" s="274"/>
      <c r="G112" s="88"/>
      <c r="H112" s="88"/>
      <c r="I112" s="88"/>
      <c r="J112" s="88"/>
      <c r="K112" s="88"/>
      <c r="L112" s="88"/>
      <c r="M112" s="88"/>
      <c r="N112" s="351"/>
      <c r="O112" s="1030"/>
      <c r="P112" s="1030"/>
      <c r="Q112" s="1030"/>
      <c r="R112" s="1030"/>
      <c r="S112" s="1030"/>
      <c r="T112" s="1030"/>
      <c r="U112" s="1030"/>
      <c r="V112" s="1030"/>
      <c r="W112" s="1030"/>
      <c r="X112" s="1030"/>
      <c r="Y112" s="1030"/>
      <c r="Z112" s="1030"/>
      <c r="AA112" s="1030"/>
      <c r="AB112" s="1030"/>
      <c r="AD112" s="88"/>
      <c r="AE112" s="88"/>
      <c r="AF112" s="274"/>
      <c r="AG112" s="274"/>
      <c r="AH112" s="274"/>
      <c r="AI112" s="88"/>
      <c r="AJ112" s="88"/>
      <c r="AK112" s="88"/>
      <c r="AL112" s="351"/>
      <c r="AM112" s="1030"/>
      <c r="AN112" s="1030"/>
      <c r="AO112" s="1030"/>
      <c r="AP112" s="1030"/>
      <c r="AQ112" s="1030"/>
      <c r="AR112" s="1030"/>
      <c r="AS112" s="1030"/>
      <c r="AT112" s="1030"/>
      <c r="AU112" s="1030"/>
      <c r="AV112" s="1030"/>
      <c r="AW112" s="1030"/>
      <c r="AX112" s="1030"/>
      <c r="AY112" s="1030"/>
      <c r="AZ112" s="1030"/>
    </row>
    <row r="113" spans="2:52" ht="15.5" x14ac:dyDescent="0.25">
      <c r="B113" s="317"/>
      <c r="C113" s="320" t="s">
        <v>230</v>
      </c>
      <c r="D113" s="361"/>
      <c r="E113" s="320" t="s">
        <v>231</v>
      </c>
      <c r="F113" s="333"/>
      <c r="G113" s="335" t="s">
        <v>272</v>
      </c>
      <c r="H113" s="321"/>
      <c r="I113" s="437" t="s">
        <v>510</v>
      </c>
      <c r="J113" s="438"/>
      <c r="K113" s="437" t="s">
        <v>511</v>
      </c>
      <c r="L113" s="438"/>
      <c r="M113" s="322"/>
      <c r="N113" s="343"/>
      <c r="O113" s="271"/>
      <c r="P113" s="437" t="s">
        <v>740</v>
      </c>
      <c r="Q113" s="437"/>
      <c r="R113" s="320"/>
      <c r="S113" s="320"/>
      <c r="T113" s="320"/>
      <c r="U113" s="320"/>
      <c r="V113" s="320"/>
      <c r="W113" s="437" t="s">
        <v>746</v>
      </c>
      <c r="X113" s="438"/>
      <c r="Y113" s="320"/>
      <c r="Z113" s="320"/>
      <c r="AA113" s="320"/>
      <c r="AB113" s="1315"/>
      <c r="AD113" s="317"/>
      <c r="AE113" s="320" t="s">
        <v>304</v>
      </c>
      <c r="AF113" s="361"/>
      <c r="AG113" s="623"/>
      <c r="AH113" s="321"/>
      <c r="AI113" s="437" t="s">
        <v>303</v>
      </c>
      <c r="AJ113" s="438"/>
      <c r="AK113" s="322"/>
      <c r="AL113" s="343"/>
      <c r="AM113" s="271"/>
      <c r="AN113" s="437" t="s">
        <v>740</v>
      </c>
      <c r="AO113" s="437"/>
      <c r="AP113" s="320"/>
      <c r="AQ113" s="320"/>
      <c r="AR113" s="320"/>
      <c r="AS113" s="320"/>
      <c r="AT113" s="320"/>
      <c r="AU113" s="437" t="s">
        <v>746</v>
      </c>
      <c r="AV113" s="438"/>
      <c r="AW113" s="320"/>
      <c r="AX113" s="320"/>
      <c r="AY113" s="320"/>
      <c r="AZ113" s="1315"/>
    </row>
    <row r="114" spans="2:52" ht="15" customHeight="1" x14ac:dyDescent="0.25">
      <c r="B114" s="318"/>
      <c r="C114" s="287" t="s">
        <v>237</v>
      </c>
      <c r="D114" s="362"/>
      <c r="E114" s="287" t="s">
        <v>238</v>
      </c>
      <c r="F114" s="334"/>
      <c r="G114" s="336" t="s">
        <v>274</v>
      </c>
      <c r="H114" s="288"/>
      <c r="I114" s="439" t="s">
        <v>275</v>
      </c>
      <c r="J114" s="440"/>
      <c r="K114" s="439" t="s">
        <v>275</v>
      </c>
      <c r="L114" s="440"/>
      <c r="M114" s="284"/>
      <c r="N114" s="344"/>
      <c r="O114" s="271"/>
      <c r="P114" s="1311" t="s">
        <v>748</v>
      </c>
      <c r="Q114" s="1311"/>
      <c r="R114" s="1312"/>
      <c r="S114" s="1312"/>
      <c r="T114" s="1312"/>
      <c r="U114" s="1312"/>
      <c r="V114" s="1316"/>
      <c r="W114" s="1311" t="s">
        <v>749</v>
      </c>
      <c r="X114" s="288"/>
      <c r="Y114" s="287"/>
      <c r="Z114" s="287"/>
      <c r="AA114" s="287"/>
      <c r="AB114" s="288"/>
      <c r="AD114" s="318"/>
      <c r="AE114" s="336" t="s">
        <v>274</v>
      </c>
      <c r="AF114" s="362"/>
      <c r="AG114" s="624"/>
      <c r="AH114" s="288"/>
      <c r="AI114" s="439" t="s">
        <v>275</v>
      </c>
      <c r="AJ114" s="440"/>
      <c r="AK114" s="284"/>
      <c r="AL114" s="344"/>
      <c r="AM114" s="271"/>
      <c r="AN114" s="1311" t="s">
        <v>748</v>
      </c>
      <c r="AO114" s="1311"/>
      <c r="AP114" s="1312"/>
      <c r="AQ114" s="1312"/>
      <c r="AR114" s="1312"/>
      <c r="AS114" s="1312"/>
      <c r="AT114" s="1316"/>
      <c r="AU114" s="1311" t="s">
        <v>749</v>
      </c>
      <c r="AV114" s="288"/>
      <c r="AW114" s="287"/>
      <c r="AX114" s="287"/>
      <c r="AY114" s="287"/>
      <c r="AZ114" s="288"/>
    </row>
    <row r="115" spans="2:52" ht="14" x14ac:dyDescent="0.25">
      <c r="B115" s="169" t="s">
        <v>135</v>
      </c>
      <c r="C115" s="316"/>
      <c r="D115" s="283"/>
      <c r="E115" s="316"/>
      <c r="F115" s="283"/>
      <c r="G115" s="316"/>
      <c r="H115" s="283"/>
      <c r="I115" s="316"/>
      <c r="J115" s="283"/>
      <c r="K115" s="316"/>
      <c r="L115" s="283"/>
      <c r="M115" s="286" t="s">
        <v>242</v>
      </c>
      <c r="N115" s="345" t="s">
        <v>139</v>
      </c>
      <c r="O115" s="465"/>
      <c r="P115" s="432"/>
      <c r="Q115" s="647"/>
      <c r="R115" s="647"/>
      <c r="S115" s="647"/>
      <c r="T115" s="647"/>
      <c r="U115" s="647"/>
      <c r="V115" s="1313"/>
      <c r="W115" s="432"/>
      <c r="X115" s="647"/>
      <c r="Y115" s="647"/>
      <c r="Z115" s="647"/>
      <c r="AA115" s="647"/>
      <c r="AB115" s="283"/>
      <c r="AD115" s="169" t="s">
        <v>135</v>
      </c>
      <c r="AE115" s="316"/>
      <c r="AF115" s="283"/>
      <c r="AG115" s="337"/>
      <c r="AH115" s="283"/>
      <c r="AI115" s="316"/>
      <c r="AJ115" s="283"/>
      <c r="AK115" s="286" t="s">
        <v>242</v>
      </c>
      <c r="AL115" s="345" t="s">
        <v>139</v>
      </c>
      <c r="AM115" s="465"/>
      <c r="AN115" s="432"/>
      <c r="AO115" s="647"/>
      <c r="AP115" s="647"/>
      <c r="AQ115" s="647"/>
      <c r="AR115" s="647"/>
      <c r="AS115" s="647"/>
      <c r="AT115" s="1313"/>
      <c r="AU115" s="432"/>
      <c r="AV115" s="647"/>
      <c r="AW115" s="647"/>
      <c r="AX115" s="647"/>
      <c r="AY115" s="647"/>
      <c r="AZ115" s="283"/>
    </row>
    <row r="116" spans="2:52" ht="17" x14ac:dyDescent="0.25">
      <c r="B116" s="319"/>
      <c r="C116" s="324" t="s">
        <v>0</v>
      </c>
      <c r="D116" s="325" t="s">
        <v>1</v>
      </c>
      <c r="E116" s="324" t="s">
        <v>0</v>
      </c>
      <c r="F116" s="325" t="s">
        <v>1</v>
      </c>
      <c r="G116" s="324" t="s">
        <v>0</v>
      </c>
      <c r="H116" s="325" t="s">
        <v>1</v>
      </c>
      <c r="I116" s="324" t="s">
        <v>0</v>
      </c>
      <c r="J116" s="325" t="s">
        <v>1</v>
      </c>
      <c r="K116" s="324" t="s">
        <v>0</v>
      </c>
      <c r="L116" s="325" t="s">
        <v>1</v>
      </c>
      <c r="M116" s="326" t="s">
        <v>148</v>
      </c>
      <c r="N116" s="346" t="s">
        <v>149</v>
      </c>
      <c r="O116" s="465"/>
      <c r="P116" s="441" t="s">
        <v>380</v>
      </c>
      <c r="Q116" s="648" t="s">
        <v>741</v>
      </c>
      <c r="R116" s="648" t="s">
        <v>742</v>
      </c>
      <c r="S116" s="648" t="s">
        <v>743</v>
      </c>
      <c r="T116" s="648" t="s">
        <v>745</v>
      </c>
      <c r="U116" s="648" t="s">
        <v>384</v>
      </c>
      <c r="V116" s="1314" t="s">
        <v>744</v>
      </c>
      <c r="W116" s="441" t="s">
        <v>380</v>
      </c>
      <c r="X116" s="648" t="s">
        <v>741</v>
      </c>
      <c r="Y116" s="648" t="s">
        <v>742</v>
      </c>
      <c r="Z116" s="648" t="s">
        <v>743</v>
      </c>
      <c r="AA116" s="648" t="s">
        <v>745</v>
      </c>
      <c r="AB116" s="325" t="s">
        <v>384</v>
      </c>
      <c r="AD116" s="319"/>
      <c r="AE116" s="324" t="s">
        <v>0</v>
      </c>
      <c r="AF116" s="325" t="s">
        <v>1</v>
      </c>
      <c r="AG116" s="338"/>
      <c r="AH116" s="325"/>
      <c r="AI116" s="324" t="s">
        <v>0</v>
      </c>
      <c r="AJ116" s="325" t="s">
        <v>1</v>
      </c>
      <c r="AK116" s="326" t="s">
        <v>148</v>
      </c>
      <c r="AL116" s="346" t="s">
        <v>149</v>
      </c>
      <c r="AM116" s="465"/>
      <c r="AN116" s="441" t="s">
        <v>380</v>
      </c>
      <c r="AO116" s="648" t="s">
        <v>741</v>
      </c>
      <c r="AP116" s="648" t="s">
        <v>742</v>
      </c>
      <c r="AQ116" s="648" t="s">
        <v>743</v>
      </c>
      <c r="AR116" s="648" t="s">
        <v>745</v>
      </c>
      <c r="AS116" s="648" t="s">
        <v>384</v>
      </c>
      <c r="AT116" s="1314" t="s">
        <v>744</v>
      </c>
      <c r="AU116" s="441" t="s">
        <v>380</v>
      </c>
      <c r="AV116" s="648" t="s">
        <v>741</v>
      </c>
      <c r="AW116" s="648" t="s">
        <v>742</v>
      </c>
      <c r="AX116" s="648" t="s">
        <v>743</v>
      </c>
      <c r="AY116" s="648" t="s">
        <v>745</v>
      </c>
      <c r="AZ116" s="325" t="s">
        <v>384</v>
      </c>
    </row>
    <row r="117" spans="2:52" x14ac:dyDescent="0.25">
      <c r="B117" s="327">
        <v>1</v>
      </c>
      <c r="C117" s="348">
        <f>PTV1NB*AnnualFactor</f>
        <v>0</v>
      </c>
      <c r="D117" s="349">
        <f>PTV1B*AnnualFactor</f>
        <v>0</v>
      </c>
      <c r="E117" s="363">
        <f>ROUND(PTS1NB,1)</f>
        <v>55</v>
      </c>
      <c r="F117" s="364">
        <f>ROUND(PTS1B,1)</f>
        <v>55</v>
      </c>
      <c r="G117" s="339">
        <f>ImpactedNB*C117</f>
        <v>0</v>
      </c>
      <c r="H117" s="434">
        <f>ImpactedB*D117</f>
        <v>0</v>
      </c>
      <c r="I117" s="515" t="e">
        <f>G117*0.00000110231131*(VLOOKUP(E117,EmTruck1,2)*VLOOKUP(ProjLoc,EmCost,2)+VLOOKUP(E117,EmTruck1,3)*VLOOKUP(ProjLoc,EmCost,3)*(1+CO2Uprater)^($B117+Construct-1)+VLOOKUP(E117,EmTruck1,4)*VLOOKUP(ProjLoc,EmCost,4)+VLOOKUP(E117,EmTruck1,5)*VLOOKUP(ProjLoc,EmCost,5)+VLOOKUP(E117,EmTruck1,6)*VLOOKUP(ProjLoc,EmCost,6)+VLOOKUP(E117,EmTruck1,7)*VLOOKUP(ProjLoc,EmCost,7))*IF(UserAdjInputs,1,VLOOKUP(TMSLookup,TMSAdj,9))</f>
        <v>#N/A</v>
      </c>
      <c r="J117" s="498" t="e">
        <f>H117*0.00000110231131*(VLOOKUP(F117,EmTruck1,2)*VLOOKUP(ProjLoc,EmCost,2)+VLOOKUP(F117,EmTruck1,3)*VLOOKUP(ProjLoc,EmCost,3)*(1+CO2Uprater)^($B117+Construct-1)+VLOOKUP(F117,EmTruck1,4)*VLOOKUP(ProjLoc,EmCost,4)+VLOOKUP(F117,EmTruck1,5)*VLOOKUP(ProjLoc,EmCost,5)+VLOOKUP(F117,EmTruck1,6)*VLOOKUP(ProjLoc,EmCost,6)+VLOOKUP(F117,EmTruck1,7)*VLOOKUP(ProjLoc,EmCost,7))*IF(UserAdjInputs,1,VLOOKUP(TMSLookup,TMSAdj,9))</f>
        <v>#N/A</v>
      </c>
      <c r="K117" s="515" t="e">
        <f>C117*0.00000110231131*(VLOOKUP(0,EmTruck1,2)*VLOOKUP(ProjLoc,EmCost,2)+VLOOKUP(0,EmTruck1,3)*VLOOKUP(ProjLoc,EmCost,3)*(1+CO2Uprater)^($B117+Construct-1)+VLOOKUP(0,EmTruck1,4)*VLOOKUP(ProjLoc,EmCost,4)+VLOOKUP(0,EmTruck1,5)*VLOOKUP(ProjLoc,EmCost,5)+VLOOKUP(0,EmTruck1,6)*VLOOKUP(ProjLoc,EmCost,6)+VLOOKUP(0,EmTruck1,7)*VLOOKUP(ProjLoc,EmCost,7))*IF(UserAdjInputs,1,VLOOKUP(TMSLookup,TMSAdj,9))</f>
        <v>#N/A</v>
      </c>
      <c r="L117" s="498" t="e">
        <f>D117*0.00000110231131*(VLOOKUP(0,EmTruck1,2)*VLOOKUP(ProjLoc,EmCost,2)+VLOOKUP(0,EmTruck1,3)*VLOOKUP(ProjLoc,EmCost,3)*(1+CO2Uprater)^($B117+Construct-1)+VLOOKUP(0,EmTruck1,4)*VLOOKUP(ProjLoc,EmCost,4)+VLOOKUP(0,EmTruck1,5)*VLOOKUP(ProjLoc,EmCost,5)+VLOOKUP(0,EmTruck1,6)*VLOOKUP(ProjLoc,EmCost,6)+VLOOKUP(0,EmTruck1,7)*VLOOKUP(ProjLoc,EmCost,7))*IF(UserAdjInputs,1,VLOOKUP(TMSLookup,TMSAdj,9))</f>
        <v>#N/A</v>
      </c>
      <c r="M117" s="285" t="e">
        <f>(I117+K117)-(J117+L117)</f>
        <v>#N/A</v>
      </c>
      <c r="N117" s="323" t="e">
        <f>$M117/(1+DiscRate)^($B117+Construct-1)</f>
        <v>#N/A</v>
      </c>
      <c r="O117" s="474"/>
      <c r="P117" s="1036">
        <f>0.00000110231131*(G117*VLOOKUP(E117,EmTruck1,2)-H117*VLOOKUP(F117,EmTruck1,2)+(C117-D117)*VLOOKUP(0,EmTruck1,2))*IF(UserAdjInputs,1,VLOOKUP(TMSLookup,TMSAdj,9))</f>
        <v>0</v>
      </c>
      <c r="Q117" s="1321">
        <f>0.00000110231131*(G117*VLOOKUP(E117,EmTruck1,3)-H117*VLOOKUP(F117,EmTruck1,3)+(C117-D117)*VLOOKUP(0,EmTruck1,3))*IF(UserAdjInputs,1,VLOOKUP(TMSLookup,TMSAdj,9))</f>
        <v>0</v>
      </c>
      <c r="R117" s="1321">
        <f>0.00000110231131*(G117*VLOOKUP(E117,EmTruck1,4)-H117*VLOOKUP(F117,EmTruck1,4)+(C117-D117)*VLOOKUP(0,EmTruck1,4))*IF(UserAdjInputs,1,VLOOKUP(TMSLookup,TMSAdj,9))</f>
        <v>0</v>
      </c>
      <c r="S117" s="1321">
        <f>0.00000110231131*(G117*VLOOKUP(E117,EmTruck1,5)-H117*VLOOKUP(F117,EmTruck1,5)+(C117-D117)*VLOOKUP(0,EmTruck1,5))*IF(UserAdjInputs,1,VLOOKUP(TMSLookup,TMSAdj,9))</f>
        <v>0</v>
      </c>
      <c r="T117" s="1321">
        <f>0.00000110231131*(G117*VLOOKUP(E117,EmTruck1,6)-H117*VLOOKUP(F117,EmTruck1,6)+(C117-D117)*VLOOKUP(0,EmTruck1,6))*IF(UserAdjInputs,1,VLOOKUP(TMSLookup,TMSAdj,9))</f>
        <v>0</v>
      </c>
      <c r="U117" s="1321">
        <f>0.00000110231131*(G117*VLOOKUP(E117,EmTruck1,7)-H117*VLOOKUP(F117,EmTruck1,7)+(C117-D117)*VLOOKUP(0,EmTruck1,7))*IF(UserAdjInputs,1,VLOOKUP(TMSLookup,TMSAdj,9))</f>
        <v>0</v>
      </c>
      <c r="V117" s="1329">
        <f>0.00000110231131*(G117*VLOOKUP(E117,EmTruck1,8)-H117*VLOOKUP(F117,EmTruck1,8)+(C117-D117)*VLOOKUP(0,EmTruck1,8))*IF(UserAdjInputs,1,VLOOKUP(TMSLookup,TMSAdj,9))</f>
        <v>0</v>
      </c>
      <c r="W117" s="515" t="e">
        <f>P117*VLOOKUP(ProjLoc,EmCost,2)/(1+DiscRate)^($B117+Construct-1)</f>
        <v>#N/A</v>
      </c>
      <c r="X117" s="1331" t="e">
        <f>Q117*VLOOKUP(ProjLoc,EmCost,3)*(1+CO2Uprater)^($B117+Construct-1)/(1+DiscRate)^($B117+Construct-1)</f>
        <v>#N/A</v>
      </c>
      <c r="Y117" s="1331" t="e">
        <f>R117*VLOOKUP(ProjLoc,EmCost,4)/(1+DiscRate)^($B117+Construct-1)</f>
        <v>#N/A</v>
      </c>
      <c r="Z117" s="1331" t="e">
        <f>S117*VLOOKUP(ProjLoc,EmCost,5)/(1+DiscRate)^($B117+Construct-1)</f>
        <v>#N/A</v>
      </c>
      <c r="AA117" s="1331" t="e">
        <f>T117*VLOOKUP(ProjLoc,EmCost,6)/(1+DiscRate)^($B117+Construct-1)</f>
        <v>#N/A</v>
      </c>
      <c r="AB117" s="498" t="e">
        <f>U117*VLOOKUP(ProjLoc,EmCost,7)/(1+DiscRate)^($B117+Construct-1)</f>
        <v>#N/A</v>
      </c>
      <c r="AD117" s="327">
        <v>1</v>
      </c>
      <c r="AE117" s="348">
        <f>IF(LRT,TVehMi1NB,0)</f>
        <v>0</v>
      </c>
      <c r="AF117" s="349">
        <f>IF(LRT,TVehMi1B,0)</f>
        <v>0</v>
      </c>
      <c r="AG117" s="428"/>
      <c r="AH117" s="429"/>
      <c r="AI117" s="515" t="e">
        <f>AE117*0.00000110231131*(VLOOKUP(2021,EmLRT,2)*VLOOKUP(ProjLoc,EmCost,2)+VLOOKUP(2021,EmLRT,3)*VLOOKUP(ProjLoc,EmCost,3)*(1+CO2Uprater)^($AD117+Construct-1)+VLOOKUP(2021,EmLRT,4)*VLOOKUP(ProjLoc,EmCost,4)+VLOOKUP(2021,EmLRT,5)*VLOOKUP(ProjLoc,EmCost,5)+VLOOKUP(2021,EmLRT,6)*VLOOKUP(ProjLoc,EmCost,6)+VLOOKUP(2021,EmLRT,7)*VLOOKUP(ProjLoc,EmCost,7))</f>
        <v>#N/A</v>
      </c>
      <c r="AJ117" s="498" t="e">
        <f>AF117*0.00000110231131*(VLOOKUP(2021,EmLRT,2)*VLOOKUP(ProjLoc,EmCost,2)+VLOOKUP(2021,EmLRT,3)*VLOOKUP(ProjLoc,EmCost,3)*(1+CO2Uprater)^($AD117+Construct-1)+VLOOKUP(2021,EmLRT,4)*VLOOKUP(ProjLoc,EmCost,4)+VLOOKUP(2021,EmLRT,5)*VLOOKUP(ProjLoc,EmCost,5)+VLOOKUP(2021,EmLRT,6)*VLOOKUP(ProjLoc,EmCost,6)+VLOOKUP(2021,EmLRT,7)*VLOOKUP(ProjLoc,EmCost,7))</f>
        <v>#N/A</v>
      </c>
      <c r="AK117" s="285" t="e">
        <f>AI117-AJ117</f>
        <v>#N/A</v>
      </c>
      <c r="AL117" s="323" t="e">
        <f>$AK117/(1+DiscRate)^($AD117+Construct-1)</f>
        <v>#N/A</v>
      </c>
      <c r="AM117" s="474"/>
      <c r="AN117" s="1036">
        <f>0.00000110231131*(AE117-AF117)*VLOOKUP(2021,EmLRT,2)</f>
        <v>0</v>
      </c>
      <c r="AO117" s="1321">
        <f>0.00000110231131*(AE117-AF117)*VLOOKUP(2021,EmLRT,3)</f>
        <v>0</v>
      </c>
      <c r="AP117" s="1321">
        <f>0.00000110231131*(AE117-AF117)*VLOOKUP(2021,EmLRT,4)</f>
        <v>0</v>
      </c>
      <c r="AQ117" s="1321">
        <f>0.00000110231131*(AE117-AF117)*VLOOKUP(2021,EmLRT,5)</f>
        <v>0</v>
      </c>
      <c r="AR117" s="1321">
        <f>0.00000110231131*(AE117-AF117)*VLOOKUP(2021,EmLRT,6)</f>
        <v>0</v>
      </c>
      <c r="AS117" s="1321">
        <f>0.00000110231131*(AE117-AF117)*VLOOKUP(2021,EmLRT,7)</f>
        <v>0</v>
      </c>
      <c r="AT117" s="1329">
        <f>0.00000110231131*(AE117-AF117)*VLOOKUP(2021,EmLRT,8)</f>
        <v>0</v>
      </c>
      <c r="AU117" s="515" t="e">
        <f>AN117*VLOOKUP(ProjLoc,EmCost,2)/(1+DiscRate)^($AD117+Construct-1)</f>
        <v>#N/A</v>
      </c>
      <c r="AV117" s="1331" t="e">
        <f>AO117*VLOOKUP(ProjLoc,EmCost,3)*(1+CO2Uprater)^($AD117+Construct-1)/(1+DiscRate)^($AD117+Construct-1)</f>
        <v>#N/A</v>
      </c>
      <c r="AW117" s="1331" t="e">
        <f>AP117*VLOOKUP(ProjLoc,EmCost,4)/(1+DiscRate)^($AD117+Construct-1)</f>
        <v>#N/A</v>
      </c>
      <c r="AX117" s="1331" t="e">
        <f>AQ117*VLOOKUP(ProjLoc,EmCost,5)/(1+DiscRate)^($AD117+Construct-1)</f>
        <v>#N/A</v>
      </c>
      <c r="AY117" s="1331" t="e">
        <f>AR117*VLOOKUP(ProjLoc,EmCost,6)/(1+DiscRate)^($AD117+Construct-1)</f>
        <v>#N/A</v>
      </c>
      <c r="AZ117" s="498" t="e">
        <f>AS117*VLOOKUP(ProjLoc,EmCost,7)/(1+DiscRate)^($AD117+Construct-1)</f>
        <v>#N/A</v>
      </c>
    </row>
    <row r="118" spans="2:52" x14ac:dyDescent="0.25">
      <c r="B118" s="328">
        <v>20</v>
      </c>
      <c r="C118" s="353">
        <f>PTV20NB*AnnualFactor</f>
        <v>0</v>
      </c>
      <c r="D118" s="354">
        <f>PTV20B*AnnualFactor</f>
        <v>0</v>
      </c>
      <c r="E118" s="365">
        <f>ROUND(PTS20NB,1)</f>
        <v>55</v>
      </c>
      <c r="F118" s="366">
        <f>ROUND(PTS20B,1)</f>
        <v>55</v>
      </c>
      <c r="G118" s="339">
        <f>ImpactedNB*C118</f>
        <v>0</v>
      </c>
      <c r="H118" s="435">
        <f>ImpactedB*D118</f>
        <v>0</v>
      </c>
      <c r="I118" s="520" t="e">
        <f>G118*0.00000110231131*(VLOOKUP(E118,EmTruck20,2)*VLOOKUP(ProjLoc,EmCost,2)+VLOOKUP(E118,EmTruck20,3)*VLOOKUP(ProjLoc,EmCost,3)*(1+CO2Uprater)^($B118+Construct-1)+VLOOKUP(E118,EmTruck20,4)*VLOOKUP(ProjLoc,EmCost,4)+VLOOKUP(E118,EmTruck20,5)*VLOOKUP(ProjLoc,EmCost,5)+VLOOKUP(E118,EmTruck20,6)*VLOOKUP(ProjLoc,EmCost,6)+VLOOKUP(E118,EmTruck20,7)*VLOOKUP(ProjLoc,EmCost,7))*IF(UserAdjInputs,1,VLOOKUP(TMSLookup,TMSAdj,9))</f>
        <v>#N/A</v>
      </c>
      <c r="J118" s="499" t="e">
        <f>H118*0.00000110231131*(VLOOKUP(F118,EmTruck20,2)*VLOOKUP(ProjLoc,EmCost,2)+VLOOKUP(F118,EmTruck20,3)*VLOOKUP(ProjLoc,EmCost,3)*(1+CO2Uprater)^($B118+Construct-1)+VLOOKUP(F118,EmTruck20,4)*VLOOKUP(ProjLoc,EmCost,4)+VLOOKUP(F118,EmTruck20,5)*VLOOKUP(ProjLoc,EmCost,5)+VLOOKUP(F118,EmTruck20,6)*VLOOKUP(ProjLoc,EmCost,6)+VLOOKUP(F118,EmTruck20,7)*VLOOKUP(ProjLoc,EmCost,7))*IF(UserAdjInputs,1,VLOOKUP(TMSLookup,TMSAdj,9))</f>
        <v>#N/A</v>
      </c>
      <c r="K118" s="520" t="e">
        <f>C118*0.00000110231131*(VLOOKUP(0,EmTruck20,2)*VLOOKUP(ProjLoc,EmCost,2)+VLOOKUP(0,EmTruck20,3)*VLOOKUP(ProjLoc,EmCost,3)*(1+CO2Uprater)^($B118+Construct-1)+VLOOKUP(0,EmTruck20,4)*VLOOKUP(ProjLoc,EmCost,4)+VLOOKUP(0,EmTruck20,5)*VLOOKUP(ProjLoc,EmCost,5)+VLOOKUP(0,EmTruck20,6)*VLOOKUP(ProjLoc,EmCost,6)+VLOOKUP(0,EmTruck20,7)*VLOOKUP(ProjLoc,EmCost,7))*IF(UserAdjInputs,1,VLOOKUP(TMSLookup,TMSAdj,9))</f>
        <v>#N/A</v>
      </c>
      <c r="L118" s="499" t="e">
        <f>D118*0.00000110231131*(VLOOKUP(0,EmTruck20,2)*VLOOKUP(ProjLoc,EmCost,2)+VLOOKUP(0,EmTruck20,3)*VLOOKUP(ProjLoc,EmCost,3)*(1+CO2Uprater)^($B118+Construct-1)+VLOOKUP(0,EmTruck20,4)*VLOOKUP(ProjLoc,EmCost,4)+VLOOKUP(0,EmTruck20,5)*VLOOKUP(ProjLoc,EmCost,5)+VLOOKUP(0,EmTruck20,6)*VLOOKUP(ProjLoc,EmCost,6)+VLOOKUP(0,EmTruck20,7)*VLOOKUP(ProjLoc,EmCost,7))*IF(UserAdjInputs,1,VLOOKUP(TMSLookup,TMSAdj,9))</f>
        <v>#N/A</v>
      </c>
      <c r="M118" s="285" t="e">
        <f>(I118+K118)-(J118+L118)</f>
        <v>#N/A</v>
      </c>
      <c r="N118" s="323" t="e">
        <f>$M118/(1+DiscRate)^($B118+Construct-1)</f>
        <v>#N/A</v>
      </c>
      <c r="O118" s="474"/>
      <c r="P118" s="1037">
        <f>0.00000110231131*(G118*VLOOKUP(E118,EmTruck20,2)-H118*VLOOKUP(F118,EmTruck20,2)+(C118-D118)*VLOOKUP(0,EmTruck20,2))*IF(UserAdjInputs,1,VLOOKUP(TMSLookup,TMSAdj,9))</f>
        <v>0</v>
      </c>
      <c r="Q118" s="1322">
        <f>0.00000110231131*(G118*VLOOKUP(E118,EmTruck20,3)-H118*VLOOKUP(F118,EmTruck20,3)+(C118-D118)*VLOOKUP(0,EmTruck20,3))*IF(UserAdjInputs,1,VLOOKUP(TMSLookup,TMSAdj,9))</f>
        <v>0</v>
      </c>
      <c r="R118" s="1322">
        <f>0.00000110231131*(G118*VLOOKUP(E118,EmTruck20,4)-H118*VLOOKUP(F118,EmTruck20,4)+(C118-D118)*VLOOKUP(0,EmTruck20,4))*IF(UserAdjInputs,1,VLOOKUP(TMSLookup,TMSAdj,9))</f>
        <v>0</v>
      </c>
      <c r="S118" s="1322">
        <f>0.00000110231131*(G118*VLOOKUP(E118,EmTruck20,5)-H118*VLOOKUP(F118,EmTruck20,5)+(C118-D118)*VLOOKUP(0,EmTruck20,5))*IF(UserAdjInputs,1,VLOOKUP(TMSLookup,TMSAdj,9))</f>
        <v>0</v>
      </c>
      <c r="T118" s="1322">
        <f>0.00000110231131*(G118*VLOOKUP(E118,EmTruck20,6)-H118*VLOOKUP(F118,EmTruck20,6)+(C118-D118)*VLOOKUP(0,EmTruck20,6))*IF(UserAdjInputs,1,VLOOKUP(TMSLookup,TMSAdj,9))</f>
        <v>0</v>
      </c>
      <c r="U118" s="1322">
        <f>0.00000110231131*(G118*VLOOKUP(E118,EmTruck20,7)-H118*VLOOKUP(F118,EmTruck20,7)+(C118-D118)*VLOOKUP(0,EmTruck20,7))*IF(UserAdjInputs,1,VLOOKUP(TMSLookup,TMSAdj,9))</f>
        <v>0</v>
      </c>
      <c r="V118" s="1330">
        <f>0.00000110231131*(G118*VLOOKUP(E118,EmTruck20,8)-H118*VLOOKUP(F118,EmTruck20,8)+(C118-D118)*VLOOKUP(0,EmTruck20,8))*IF(UserAdjInputs,1,VLOOKUP(TMSLookup,TMSAdj,9))</f>
        <v>0</v>
      </c>
      <c r="W118" s="520" t="e">
        <f>P118*VLOOKUP(ProjLoc,EmCost,2)/(1+DiscRate)^($B118+Construct-1)</f>
        <v>#N/A</v>
      </c>
      <c r="X118" s="1332" t="e">
        <f>Q118*VLOOKUP(ProjLoc,EmCost,3)*(1+CO2Uprater)^($B118+Construct-1)/(1+DiscRate)^($B118+Construct-1)</f>
        <v>#N/A</v>
      </c>
      <c r="Y118" s="1332" t="e">
        <f>R118*VLOOKUP(ProjLoc,EmCost,4)/(1+DiscRate)^($B118+Construct-1)</f>
        <v>#N/A</v>
      </c>
      <c r="Z118" s="1332" t="e">
        <f>S118*VLOOKUP(ProjLoc,EmCost,5)/(1+DiscRate)^($B118+Construct-1)</f>
        <v>#N/A</v>
      </c>
      <c r="AA118" s="1332" t="e">
        <f>T118*VLOOKUP(ProjLoc,EmCost,6)/(1+DiscRate)^($B118+Construct-1)</f>
        <v>#N/A</v>
      </c>
      <c r="AB118" s="499" t="e">
        <f>U118*VLOOKUP(ProjLoc,EmCost,7)/(1+DiscRate)^($B118+Construct-1)</f>
        <v>#N/A</v>
      </c>
      <c r="AD118" s="328">
        <v>20</v>
      </c>
      <c r="AE118" s="353">
        <f>IF(LRT,TVehMi20NB,0)</f>
        <v>0</v>
      </c>
      <c r="AF118" s="354">
        <f>IF(LRT,TVehMi20B,0)</f>
        <v>0</v>
      </c>
      <c r="AG118" s="428"/>
      <c r="AH118" s="430"/>
      <c r="AI118" s="520" t="e">
        <f>AE118*0.00000110231131*(VLOOKUP(2022,EmLRT,2)*VLOOKUP(ProjLoc,EmCost,2)+VLOOKUP(2022,EmLRT,3)*VLOOKUP(ProjLoc,EmCost,3)*(1+CO2Uprater)^($AD118+Construct-1)+VLOOKUP(2022,EmLRT,4)*VLOOKUP(ProjLoc,EmCost,4)+VLOOKUP(2022,EmLRT,5)*VLOOKUP(ProjLoc,EmCost,5)+VLOOKUP(2022,EmLRT,6)*VLOOKUP(ProjLoc,EmCost,6)+VLOOKUP(2022,EmLRT,7)*VLOOKUP(ProjLoc,EmCost,7))</f>
        <v>#N/A</v>
      </c>
      <c r="AJ118" s="499" t="e">
        <f>AF118*0.00000110231131*(VLOOKUP(2022,EmLRT,2)*VLOOKUP(ProjLoc,EmCost,2)+VLOOKUP(2022,EmLRT,3)*VLOOKUP(ProjLoc,EmCost,3)*(1+CO2Uprater)^($AD118+Construct-1)+VLOOKUP(2022,EmLRT,4)*VLOOKUP(ProjLoc,EmCost,4)+VLOOKUP(2022,EmLRT,5)*VLOOKUP(ProjLoc,EmCost,5)+VLOOKUP(2022,EmLRT,6)*VLOOKUP(ProjLoc,EmCost,6)+VLOOKUP(2022,EmLRT,7)*VLOOKUP(ProjLoc,EmCost,7))</f>
        <v>#N/A</v>
      </c>
      <c r="AK118" s="285" t="e">
        <f>AI118-AJ118</f>
        <v>#N/A</v>
      </c>
      <c r="AL118" s="323" t="e">
        <f>$AK118/(1+DiscRate)^($AD118+Construct-1)</f>
        <v>#N/A</v>
      </c>
      <c r="AM118" s="474"/>
      <c r="AN118" s="1037">
        <f>0.00000110231131*(AE118-AF118)*VLOOKUP(2022,EmLRT,2)</f>
        <v>0</v>
      </c>
      <c r="AO118" s="1322">
        <f>0.00000110231131*(AE118-AF118)*VLOOKUP(2022,EmLRT,3)</f>
        <v>0</v>
      </c>
      <c r="AP118" s="1322">
        <f>0.00000110231131*(AE118-AF118)*VLOOKUP(2022,EmLRT,4)</f>
        <v>0</v>
      </c>
      <c r="AQ118" s="1322">
        <f>0.00000110231131*(AE118-AF118)*VLOOKUP(2022,EmLRT,5)</f>
        <v>0</v>
      </c>
      <c r="AR118" s="1322">
        <f>0.00000110231131*(AE118-AF118)*VLOOKUP(2022,EmLRT,6)</f>
        <v>0</v>
      </c>
      <c r="AS118" s="1322">
        <f>0.00000110231131*(AE118-AF118)*VLOOKUP(2022,EmLRT,7)</f>
        <v>0</v>
      </c>
      <c r="AT118" s="1330">
        <f>0.00000110231131*(AE118-AF118)*VLOOKUP(2022,EmLRT,8)</f>
        <v>0</v>
      </c>
      <c r="AU118" s="520" t="e">
        <f>AN118*VLOOKUP(ProjLoc,EmCost,2)/(1+DiscRate)^($AD118+Construct-1)</f>
        <v>#N/A</v>
      </c>
      <c r="AV118" s="1332" t="e">
        <f>AO118*VLOOKUP(ProjLoc,EmCost,3)*(1+CO2Uprater)^($AD118+Construct-1)/(1+DiscRate)^($AD118+Construct-1)</f>
        <v>#N/A</v>
      </c>
      <c r="AW118" s="1332" t="e">
        <f>AP118*VLOOKUP(ProjLoc,EmCost,4)/(1+DiscRate)^($AD118+Construct-1)</f>
        <v>#N/A</v>
      </c>
      <c r="AX118" s="1332" t="e">
        <f>AQ118*VLOOKUP(ProjLoc,EmCost,5)/(1+DiscRate)^($AD118+Construct-1)</f>
        <v>#N/A</v>
      </c>
      <c r="AY118" s="1332" t="e">
        <f>AR118*VLOOKUP(ProjLoc,EmCost,6)/(1+DiscRate)^($AD118+Construct-1)</f>
        <v>#N/A</v>
      </c>
      <c r="AZ118" s="499" t="e">
        <f>AS118*VLOOKUP(ProjLoc,EmCost,7)/(1+DiscRate)^($AD118+Construct-1)</f>
        <v>#N/A</v>
      </c>
    </row>
    <row r="119" spans="2:52" x14ac:dyDescent="0.25">
      <c r="B119" s="357"/>
      <c r="C119" s="355"/>
      <c r="D119" s="355"/>
      <c r="E119" s="367"/>
      <c r="F119" s="367"/>
      <c r="G119" s="356"/>
      <c r="H119" s="356"/>
      <c r="I119" s="356"/>
      <c r="J119" s="356"/>
      <c r="K119" s="356"/>
      <c r="L119" s="356"/>
      <c r="M119" s="356"/>
      <c r="N119" s="358"/>
      <c r="O119" s="475"/>
      <c r="P119" s="358"/>
      <c r="Q119" s="358"/>
      <c r="R119" s="358"/>
      <c r="S119" s="358"/>
      <c r="T119" s="358"/>
      <c r="U119" s="358"/>
      <c r="V119" s="358"/>
      <c r="W119" s="358"/>
      <c r="X119" s="356"/>
      <c r="Y119" s="358"/>
      <c r="Z119" s="358"/>
      <c r="AA119" s="358"/>
      <c r="AB119" s="358"/>
      <c r="AD119" s="357"/>
      <c r="AE119" s="355"/>
      <c r="AF119" s="355"/>
      <c r="AG119" s="356"/>
      <c r="AH119" s="356"/>
      <c r="AI119" s="356"/>
      <c r="AJ119" s="356"/>
      <c r="AK119" s="356"/>
      <c r="AL119" s="358"/>
      <c r="AM119" s="475"/>
      <c r="AN119" s="358"/>
      <c r="AO119" s="358"/>
      <c r="AP119" s="358"/>
      <c r="AQ119" s="358"/>
      <c r="AR119" s="358"/>
      <c r="AS119" s="358"/>
      <c r="AT119" s="358"/>
      <c r="AU119" s="358"/>
      <c r="AV119" s="356"/>
      <c r="AW119" s="358"/>
      <c r="AX119" s="358"/>
      <c r="AY119" s="358"/>
      <c r="AZ119" s="358"/>
    </row>
    <row r="120" spans="2:52" x14ac:dyDescent="0.25">
      <c r="B120" s="352">
        <v>2</v>
      </c>
      <c r="C120" s="368">
        <f>TREND(C117:C118,B117:B118,B120)</f>
        <v>0</v>
      </c>
      <c r="D120" s="369">
        <f>TREND(D117:D118,B117:B118,B120)</f>
        <v>0</v>
      </c>
      <c r="E120" s="370">
        <f>TREND(E117:E118,B117:B118,B120)</f>
        <v>55</v>
      </c>
      <c r="F120" s="371">
        <f>TREND(F117:F118,B117:B118,B120)</f>
        <v>55</v>
      </c>
      <c r="G120" s="339">
        <f t="shared" ref="G120:G137" si="216">ImpactedNB*C120</f>
        <v>0</v>
      </c>
      <c r="H120" s="434">
        <f t="shared" ref="H120:H137" si="217">ImpactedB*D120</f>
        <v>0</v>
      </c>
      <c r="I120" s="515" t="e">
        <f t="shared" ref="I120:J125" si="218">G120*0.00000110231131*(VLOOKUP(E120,EmTruck1,2)*VLOOKUP(ProjLoc,EmCost,2)+VLOOKUP(E120,EmTruck1,3)*VLOOKUP(ProjLoc,EmCost,3)*(1+CO2Uprater)^($B120+Construct-1)+VLOOKUP(E120,EmTruck1,4)*VLOOKUP(ProjLoc,EmCost,4)+VLOOKUP(E120,EmTruck1,5)*VLOOKUP(ProjLoc,EmCost,5)+VLOOKUP(E120,EmTruck1,6)*VLOOKUP(ProjLoc,EmCost,6)+VLOOKUP(E120,EmTruck1,7)*VLOOKUP(ProjLoc,EmCost,7))*IF(UserAdjInputs,1,VLOOKUP(TMSLookup,TMSAdj,9))</f>
        <v>#N/A</v>
      </c>
      <c r="J120" s="498" t="e">
        <f t="shared" si="218"/>
        <v>#N/A</v>
      </c>
      <c r="K120" s="515" t="e">
        <f t="shared" ref="K120:L125" si="219">C120*0.00000110231131*(VLOOKUP(0,EmTruck1,2)*VLOOKUP(ProjLoc,EmCost,2)+VLOOKUP(0,EmTruck1,3)*VLOOKUP(ProjLoc,EmCost,3)*(1+CO2Uprater)^($B120+Construct-1)+VLOOKUP(0,EmTruck1,4)*VLOOKUP(ProjLoc,EmCost,4)+VLOOKUP(0,EmTruck1,5)*VLOOKUP(ProjLoc,EmCost,5)+VLOOKUP(0,EmTruck1,6)*VLOOKUP(ProjLoc,EmCost,6)+VLOOKUP(0,EmTruck1,7)*VLOOKUP(ProjLoc,EmCost,7))*IF(UserAdjInputs,1,VLOOKUP(TMSLookup,TMSAdj,9))</f>
        <v>#N/A</v>
      </c>
      <c r="L120" s="498" t="e">
        <f t="shared" si="219"/>
        <v>#N/A</v>
      </c>
      <c r="M120" s="285" t="e">
        <f>(I120+K120)-(J120+L120)</f>
        <v>#N/A</v>
      </c>
      <c r="N120" s="323" t="e">
        <f t="shared" ref="N120:N137" si="220">$M120/(1+DiscRate)^($B120+Construct-1)</f>
        <v>#N/A</v>
      </c>
      <c r="O120" s="474"/>
      <c r="P120" s="1036">
        <f t="shared" ref="P120:P125" si="221">0.00000110231131*(G120*VLOOKUP(E120,EmTruck1,2)-H120*VLOOKUP(F120,EmTruck1,2)+(C120-D120)*VLOOKUP(0,EmTruck1,2))*IF(UserAdjInputs,1,VLOOKUP(TMSLookup,TMSAdj,9))</f>
        <v>0</v>
      </c>
      <c r="Q120" s="1321">
        <f t="shared" ref="Q120:Q125" si="222">0.00000110231131*(G120*VLOOKUP(E120,EmTruck1,3)-H120*VLOOKUP(F120,EmTruck1,3)+(C120-D120)*VLOOKUP(0,EmTruck1,3))*IF(UserAdjInputs,1,VLOOKUP(TMSLookup,TMSAdj,9))</f>
        <v>0</v>
      </c>
      <c r="R120" s="1321">
        <f t="shared" ref="R120:R125" si="223">0.00000110231131*(G120*VLOOKUP(E120,EmTruck1,4)-H120*VLOOKUP(F120,EmTruck1,4)+(C120-D120)*VLOOKUP(0,EmTruck1,4))*IF(UserAdjInputs,1,VLOOKUP(TMSLookup,TMSAdj,9))</f>
        <v>0</v>
      </c>
      <c r="S120" s="1321">
        <f t="shared" ref="S120:S125" si="224">0.00000110231131*(G120*VLOOKUP(E120,EmTruck1,5)-H120*VLOOKUP(F120,EmTruck1,5)+(C120-D120)*VLOOKUP(0,EmTruck1,5))*IF(UserAdjInputs,1,VLOOKUP(TMSLookup,TMSAdj,9))</f>
        <v>0</v>
      </c>
      <c r="T120" s="1321">
        <f t="shared" ref="T120:T125" si="225">0.00000110231131*(G120*VLOOKUP(E120,EmTruck1,6)-H120*VLOOKUP(F120,EmTruck1,6)+(C120-D120)*VLOOKUP(0,EmTruck1,6))*IF(UserAdjInputs,1,VLOOKUP(TMSLookup,TMSAdj,9))</f>
        <v>0</v>
      </c>
      <c r="U120" s="1321">
        <f t="shared" ref="U120:U125" si="226">0.00000110231131*(G120*VLOOKUP(E120,EmTruck1,7)-H120*VLOOKUP(F120,EmTruck1,7)+(C120-D120)*VLOOKUP(0,EmTruck1,7))*IF(UserAdjInputs,1,VLOOKUP(TMSLookup,TMSAdj,9))</f>
        <v>0</v>
      </c>
      <c r="V120" s="1323">
        <f t="shared" ref="V120:V125" si="227">0.00000110231131*(G120*VLOOKUP(E120,EmTruck1,8)-H120*VLOOKUP(F120,EmTruck1,8)+(C120-D120)*VLOOKUP(0,EmTruck1,8))*IF(UserAdjInputs,1,VLOOKUP(TMSLookup,TMSAdj,9))</f>
        <v>0</v>
      </c>
      <c r="W120" s="515" t="e">
        <f t="shared" ref="W120:W137" si="228">P120*VLOOKUP(ProjLoc,EmCost,2)/(1+DiscRate)^($B120+Construct-1)</f>
        <v>#N/A</v>
      </c>
      <c r="X120" s="1331" t="e">
        <f t="shared" ref="X120:X137" si="229">Q120*VLOOKUP(ProjLoc,EmCost,3)*(1+CO2Uprater)^($B120+Construct-1)/(1+DiscRate)^($B120+Construct-1)</f>
        <v>#N/A</v>
      </c>
      <c r="Y120" s="1331" t="e">
        <f t="shared" ref="Y120:Y137" si="230">R120*VLOOKUP(ProjLoc,EmCost,4)/(1+DiscRate)^($B120+Construct-1)</f>
        <v>#N/A</v>
      </c>
      <c r="Z120" s="1331" t="e">
        <f t="shared" ref="Z120:Z137" si="231">S120*VLOOKUP(ProjLoc,EmCost,5)/(1+DiscRate)^($B120+Construct-1)</f>
        <v>#N/A</v>
      </c>
      <c r="AA120" s="1331" t="e">
        <f t="shared" ref="AA120:AA137" si="232">T120*VLOOKUP(ProjLoc,EmCost,6)/(1+DiscRate)^($B120+Construct-1)</f>
        <v>#N/A</v>
      </c>
      <c r="AB120" s="498" t="e">
        <f t="shared" ref="AB120:AB137" si="233">U120*VLOOKUP(ProjLoc,EmCost,7)/(1+DiscRate)^($B120+Construct-1)</f>
        <v>#N/A</v>
      </c>
      <c r="AD120" s="352">
        <v>2</v>
      </c>
      <c r="AE120" s="368">
        <f>TREND(AE117:AE118,AD117:AD118,AD120)</f>
        <v>0</v>
      </c>
      <c r="AF120" s="629">
        <f>TREND(AF117:AF118,AD117:AD118,AD120)</f>
        <v>0</v>
      </c>
      <c r="AG120" s="428"/>
      <c r="AH120" s="429"/>
      <c r="AI120" s="515" t="e">
        <f t="shared" ref="AI120:AJ125" si="234">AE120*0.00000110231131*(VLOOKUP(2021,EmLRT,2)*VLOOKUP(ProjLoc,EmCost,2)+VLOOKUP(2021,EmLRT,3)*VLOOKUP(ProjLoc,EmCost,3)*(1+CO2Uprater)^($AD120+Construct-1)+VLOOKUP(2021,EmLRT,4)*VLOOKUP(ProjLoc,EmCost,4)+VLOOKUP(2021,EmLRT,5)*VLOOKUP(ProjLoc,EmCost,5)+VLOOKUP(2021,EmLRT,6)*VLOOKUP(ProjLoc,EmCost,6)+VLOOKUP(2021,EmLRT,7)*VLOOKUP(ProjLoc,EmCost,7))</f>
        <v>#N/A</v>
      </c>
      <c r="AJ120" s="498" t="e">
        <f t="shared" si="234"/>
        <v>#N/A</v>
      </c>
      <c r="AK120" s="285" t="e">
        <f t="shared" ref="AK120:AK137" si="235">AI120-AJ120</f>
        <v>#N/A</v>
      </c>
      <c r="AL120" s="323" t="e">
        <f t="shared" ref="AL120:AL137" si="236">$AK120/(1+DiscRate)^($AD120+Construct-1)</f>
        <v>#N/A</v>
      </c>
      <c r="AM120" s="474"/>
      <c r="AN120" s="1036">
        <f t="shared" ref="AN120:AN125" si="237">0.00000110231131*(AE120-AF120)*VLOOKUP(2021,EmLRT,2)</f>
        <v>0</v>
      </c>
      <c r="AO120" s="1321">
        <f t="shared" ref="AO120:AO125" si="238">0.00000110231131*(AE120-AF120)*VLOOKUP(2021,EmLRT,3)</f>
        <v>0</v>
      </c>
      <c r="AP120" s="1321">
        <f t="shared" ref="AP120:AP125" si="239">0.00000110231131*(AE120-AF120)*VLOOKUP(2021,EmLRT,4)</f>
        <v>0</v>
      </c>
      <c r="AQ120" s="1321">
        <f t="shared" ref="AQ120:AQ125" si="240">0.00000110231131*(AE120-AF120)*VLOOKUP(2021,EmLRT,5)</f>
        <v>0</v>
      </c>
      <c r="AR120" s="1321">
        <f t="shared" ref="AR120:AR125" si="241">0.00000110231131*(AE120-AF120)*VLOOKUP(2021,EmLRT,6)</f>
        <v>0</v>
      </c>
      <c r="AS120" s="1321">
        <f t="shared" ref="AS120:AS125" si="242">0.00000110231131*(AE120-AF120)*VLOOKUP(2021,EmLRT,7)</f>
        <v>0</v>
      </c>
      <c r="AT120" s="1323">
        <f t="shared" ref="AT120:AT125" si="243">0.00000110231131*(AE120-AF120)*VLOOKUP(2021,EmLRT,8)</f>
        <v>0</v>
      </c>
      <c r="AU120" s="515" t="e">
        <f t="shared" ref="AU120:AU137" si="244">AN120*VLOOKUP(ProjLoc,EmCost,2)/(1+DiscRate)^($AD120+Construct-1)</f>
        <v>#N/A</v>
      </c>
      <c r="AV120" s="1331" t="e">
        <f t="shared" ref="AV120:AV137" si="245">AO120*VLOOKUP(ProjLoc,EmCost,3)*(1+CO2Uprater)^($AD120+Construct-1)/(1+DiscRate)^($AD120+Construct-1)</f>
        <v>#N/A</v>
      </c>
      <c r="AW120" s="1331" t="e">
        <f t="shared" ref="AW120:AW137" si="246">AP120*VLOOKUP(ProjLoc,EmCost,4)/(1+DiscRate)^($AD120+Construct-1)</f>
        <v>#N/A</v>
      </c>
      <c r="AX120" s="1331" t="e">
        <f t="shared" ref="AX120:AX137" si="247">AQ120*VLOOKUP(ProjLoc,EmCost,5)/(1+DiscRate)^($AD120+Construct-1)</f>
        <v>#N/A</v>
      </c>
      <c r="AY120" s="1331" t="e">
        <f t="shared" ref="AY120:AY137" si="248">AR120*VLOOKUP(ProjLoc,EmCost,6)/(1+DiscRate)^($AD120+Construct-1)</f>
        <v>#N/A</v>
      </c>
      <c r="AZ120" s="498" t="e">
        <f t="shared" ref="AZ120:AZ137" si="249">AS120*VLOOKUP(ProjLoc,EmCost,7)/(1+DiscRate)^($AD120+Construct-1)</f>
        <v>#N/A</v>
      </c>
    </row>
    <row r="121" spans="2:52" x14ac:dyDescent="0.25">
      <c r="B121" s="327">
        <v>3</v>
      </c>
      <c r="C121" s="347">
        <f>TREND(C117:C118,B117:B118,B121)</f>
        <v>0</v>
      </c>
      <c r="D121" s="372">
        <f>TREND(D117:D118,B117:B118,B121)</f>
        <v>0</v>
      </c>
      <c r="E121" s="373">
        <f>TREND(E117:E118,B117:B118,B121)</f>
        <v>55</v>
      </c>
      <c r="F121" s="374">
        <f>TREND(F117:F118,B117:B118,B121)</f>
        <v>55</v>
      </c>
      <c r="G121" s="339">
        <f t="shared" si="216"/>
        <v>0</v>
      </c>
      <c r="H121" s="436">
        <f t="shared" si="217"/>
        <v>0</v>
      </c>
      <c r="I121" s="521" t="e">
        <f t="shared" si="218"/>
        <v>#N/A</v>
      </c>
      <c r="J121" s="500" t="e">
        <f t="shared" si="218"/>
        <v>#N/A</v>
      </c>
      <c r="K121" s="521" t="e">
        <f t="shared" si="219"/>
        <v>#N/A</v>
      </c>
      <c r="L121" s="500" t="e">
        <f t="shared" si="219"/>
        <v>#N/A</v>
      </c>
      <c r="M121" s="285" t="e">
        <f t="shared" ref="M121:M137" si="250">(I121+K121)-(J121+L121)</f>
        <v>#N/A</v>
      </c>
      <c r="N121" s="323" t="e">
        <f t="shared" si="220"/>
        <v>#N/A</v>
      </c>
      <c r="O121" s="474"/>
      <c r="P121" s="1038">
        <f t="shared" si="221"/>
        <v>0</v>
      </c>
      <c r="Q121" s="1324">
        <f t="shared" si="222"/>
        <v>0</v>
      </c>
      <c r="R121" s="1324">
        <f t="shared" si="223"/>
        <v>0</v>
      </c>
      <c r="S121" s="1324">
        <f t="shared" si="224"/>
        <v>0</v>
      </c>
      <c r="T121" s="1324">
        <f t="shared" si="225"/>
        <v>0</v>
      </c>
      <c r="U121" s="1324">
        <f t="shared" si="226"/>
        <v>0</v>
      </c>
      <c r="V121" s="1325">
        <f t="shared" si="227"/>
        <v>0</v>
      </c>
      <c r="W121" s="521" t="e">
        <f t="shared" si="228"/>
        <v>#N/A</v>
      </c>
      <c r="X121" s="1333" t="e">
        <f t="shared" si="229"/>
        <v>#N/A</v>
      </c>
      <c r="Y121" s="1333" t="e">
        <f t="shared" si="230"/>
        <v>#N/A</v>
      </c>
      <c r="Z121" s="1333" t="e">
        <f t="shared" si="231"/>
        <v>#N/A</v>
      </c>
      <c r="AA121" s="1333" t="e">
        <f t="shared" si="232"/>
        <v>#N/A</v>
      </c>
      <c r="AB121" s="500" t="e">
        <f t="shared" si="233"/>
        <v>#N/A</v>
      </c>
      <c r="AD121" s="327">
        <v>3</v>
      </c>
      <c r="AE121" s="347">
        <f>TREND(AE117:AE118,AD117:AD118,AD121)</f>
        <v>0</v>
      </c>
      <c r="AF121" s="630">
        <f>TREND(AF117:AF118,AD117:AD118,AD121)</f>
        <v>0</v>
      </c>
      <c r="AG121" s="428"/>
      <c r="AH121" s="431"/>
      <c r="AI121" s="521" t="e">
        <f t="shared" si="234"/>
        <v>#N/A</v>
      </c>
      <c r="AJ121" s="500" t="e">
        <f t="shared" si="234"/>
        <v>#N/A</v>
      </c>
      <c r="AK121" s="285" t="e">
        <f t="shared" si="235"/>
        <v>#N/A</v>
      </c>
      <c r="AL121" s="323" t="e">
        <f t="shared" si="236"/>
        <v>#N/A</v>
      </c>
      <c r="AM121" s="474"/>
      <c r="AN121" s="1038">
        <f t="shared" si="237"/>
        <v>0</v>
      </c>
      <c r="AO121" s="1324">
        <f t="shared" si="238"/>
        <v>0</v>
      </c>
      <c r="AP121" s="1324">
        <f t="shared" si="239"/>
        <v>0</v>
      </c>
      <c r="AQ121" s="1324">
        <f t="shared" si="240"/>
        <v>0</v>
      </c>
      <c r="AR121" s="1324">
        <f t="shared" si="241"/>
        <v>0</v>
      </c>
      <c r="AS121" s="1324">
        <f t="shared" si="242"/>
        <v>0</v>
      </c>
      <c r="AT121" s="1325">
        <f t="shared" si="243"/>
        <v>0</v>
      </c>
      <c r="AU121" s="521" t="e">
        <f t="shared" si="244"/>
        <v>#N/A</v>
      </c>
      <c r="AV121" s="1333" t="e">
        <f t="shared" si="245"/>
        <v>#N/A</v>
      </c>
      <c r="AW121" s="1333" t="e">
        <f t="shared" si="246"/>
        <v>#N/A</v>
      </c>
      <c r="AX121" s="1333" t="e">
        <f t="shared" si="247"/>
        <v>#N/A</v>
      </c>
      <c r="AY121" s="1333" t="e">
        <f t="shared" si="248"/>
        <v>#N/A</v>
      </c>
      <c r="AZ121" s="500" t="e">
        <f t="shared" si="249"/>
        <v>#N/A</v>
      </c>
    </row>
    <row r="122" spans="2:52" x14ac:dyDescent="0.25">
      <c r="B122" s="327">
        <v>4</v>
      </c>
      <c r="C122" s="347">
        <f>TREND(C117:C118,B117:B118,B122)</f>
        <v>0</v>
      </c>
      <c r="D122" s="372">
        <f>TREND(D117:D118,B117:B118,B122)</f>
        <v>0</v>
      </c>
      <c r="E122" s="373">
        <f>TREND(E117:E118,B117:B118,B122)</f>
        <v>55</v>
      </c>
      <c r="F122" s="374">
        <f>TREND(F117:F118,B117:B118,B122)</f>
        <v>55</v>
      </c>
      <c r="G122" s="339">
        <f t="shared" si="216"/>
        <v>0</v>
      </c>
      <c r="H122" s="436">
        <f t="shared" si="217"/>
        <v>0</v>
      </c>
      <c r="I122" s="521" t="e">
        <f t="shared" si="218"/>
        <v>#N/A</v>
      </c>
      <c r="J122" s="500" t="e">
        <f t="shared" si="218"/>
        <v>#N/A</v>
      </c>
      <c r="K122" s="521" t="e">
        <f t="shared" si="219"/>
        <v>#N/A</v>
      </c>
      <c r="L122" s="500" t="e">
        <f t="shared" si="219"/>
        <v>#N/A</v>
      </c>
      <c r="M122" s="285" t="e">
        <f t="shared" si="250"/>
        <v>#N/A</v>
      </c>
      <c r="N122" s="323" t="e">
        <f t="shared" si="220"/>
        <v>#N/A</v>
      </c>
      <c r="O122" s="474"/>
      <c r="P122" s="1038">
        <f t="shared" si="221"/>
        <v>0</v>
      </c>
      <c r="Q122" s="1324">
        <f t="shared" si="222"/>
        <v>0</v>
      </c>
      <c r="R122" s="1324">
        <f t="shared" si="223"/>
        <v>0</v>
      </c>
      <c r="S122" s="1324">
        <f t="shared" si="224"/>
        <v>0</v>
      </c>
      <c r="T122" s="1324">
        <f t="shared" si="225"/>
        <v>0</v>
      </c>
      <c r="U122" s="1324">
        <f t="shared" si="226"/>
        <v>0</v>
      </c>
      <c r="V122" s="1325">
        <f t="shared" si="227"/>
        <v>0</v>
      </c>
      <c r="W122" s="521" t="e">
        <f t="shared" si="228"/>
        <v>#N/A</v>
      </c>
      <c r="X122" s="1333" t="e">
        <f t="shared" si="229"/>
        <v>#N/A</v>
      </c>
      <c r="Y122" s="1333" t="e">
        <f t="shared" si="230"/>
        <v>#N/A</v>
      </c>
      <c r="Z122" s="1333" t="e">
        <f t="shared" si="231"/>
        <v>#N/A</v>
      </c>
      <c r="AA122" s="1333" t="e">
        <f t="shared" si="232"/>
        <v>#N/A</v>
      </c>
      <c r="AB122" s="500" t="e">
        <f t="shared" si="233"/>
        <v>#N/A</v>
      </c>
      <c r="AD122" s="327">
        <v>4</v>
      </c>
      <c r="AE122" s="347">
        <f>TREND(AE117:AE118,AD117:AD118,AD122)</f>
        <v>0</v>
      </c>
      <c r="AF122" s="630">
        <f>TREND(AF117:AF118,AD117:AD118,AD122)</f>
        <v>0</v>
      </c>
      <c r="AG122" s="428"/>
      <c r="AH122" s="431"/>
      <c r="AI122" s="521" t="e">
        <f t="shared" si="234"/>
        <v>#N/A</v>
      </c>
      <c r="AJ122" s="500" t="e">
        <f t="shared" si="234"/>
        <v>#N/A</v>
      </c>
      <c r="AK122" s="285" t="e">
        <f t="shared" si="235"/>
        <v>#N/A</v>
      </c>
      <c r="AL122" s="323" t="e">
        <f t="shared" si="236"/>
        <v>#N/A</v>
      </c>
      <c r="AM122" s="474"/>
      <c r="AN122" s="1038">
        <f t="shared" si="237"/>
        <v>0</v>
      </c>
      <c r="AO122" s="1324">
        <f t="shared" si="238"/>
        <v>0</v>
      </c>
      <c r="AP122" s="1324">
        <f t="shared" si="239"/>
        <v>0</v>
      </c>
      <c r="AQ122" s="1324">
        <f t="shared" si="240"/>
        <v>0</v>
      </c>
      <c r="AR122" s="1324">
        <f t="shared" si="241"/>
        <v>0</v>
      </c>
      <c r="AS122" s="1324">
        <f t="shared" si="242"/>
        <v>0</v>
      </c>
      <c r="AT122" s="1325">
        <f t="shared" si="243"/>
        <v>0</v>
      </c>
      <c r="AU122" s="521" t="e">
        <f t="shared" si="244"/>
        <v>#N/A</v>
      </c>
      <c r="AV122" s="1333" t="e">
        <f t="shared" si="245"/>
        <v>#N/A</v>
      </c>
      <c r="AW122" s="1333" t="e">
        <f t="shared" si="246"/>
        <v>#N/A</v>
      </c>
      <c r="AX122" s="1333" t="e">
        <f t="shared" si="247"/>
        <v>#N/A</v>
      </c>
      <c r="AY122" s="1333" t="e">
        <f t="shared" si="248"/>
        <v>#N/A</v>
      </c>
      <c r="AZ122" s="500" t="e">
        <f t="shared" si="249"/>
        <v>#N/A</v>
      </c>
    </row>
    <row r="123" spans="2:52" x14ac:dyDescent="0.25">
      <c r="B123" s="327">
        <v>5</v>
      </c>
      <c r="C123" s="347">
        <f>TREND(C117:C118,B117:B118,B123)</f>
        <v>0</v>
      </c>
      <c r="D123" s="372">
        <f>TREND(D117:D118,B117:B118,B123)</f>
        <v>0</v>
      </c>
      <c r="E123" s="373">
        <f>TREND(E117:E118,B117:B118,B123)</f>
        <v>55</v>
      </c>
      <c r="F123" s="374">
        <f>TREND(F117:F118,B117:B118,B123)</f>
        <v>55</v>
      </c>
      <c r="G123" s="339">
        <f t="shared" si="216"/>
        <v>0</v>
      </c>
      <c r="H123" s="436">
        <f t="shared" si="217"/>
        <v>0</v>
      </c>
      <c r="I123" s="521" t="e">
        <f t="shared" si="218"/>
        <v>#N/A</v>
      </c>
      <c r="J123" s="500" t="e">
        <f t="shared" si="218"/>
        <v>#N/A</v>
      </c>
      <c r="K123" s="521" t="e">
        <f t="shared" si="219"/>
        <v>#N/A</v>
      </c>
      <c r="L123" s="500" t="e">
        <f t="shared" si="219"/>
        <v>#N/A</v>
      </c>
      <c r="M123" s="285" t="e">
        <f t="shared" si="250"/>
        <v>#N/A</v>
      </c>
      <c r="N123" s="323" t="e">
        <f t="shared" si="220"/>
        <v>#N/A</v>
      </c>
      <c r="O123" s="474"/>
      <c r="P123" s="1038">
        <f t="shared" si="221"/>
        <v>0</v>
      </c>
      <c r="Q123" s="1324">
        <f t="shared" si="222"/>
        <v>0</v>
      </c>
      <c r="R123" s="1324">
        <f t="shared" si="223"/>
        <v>0</v>
      </c>
      <c r="S123" s="1324">
        <f t="shared" si="224"/>
        <v>0</v>
      </c>
      <c r="T123" s="1324">
        <f t="shared" si="225"/>
        <v>0</v>
      </c>
      <c r="U123" s="1324">
        <f t="shared" si="226"/>
        <v>0</v>
      </c>
      <c r="V123" s="1325">
        <f t="shared" si="227"/>
        <v>0</v>
      </c>
      <c r="W123" s="521" t="e">
        <f t="shared" si="228"/>
        <v>#N/A</v>
      </c>
      <c r="X123" s="1333" t="e">
        <f t="shared" si="229"/>
        <v>#N/A</v>
      </c>
      <c r="Y123" s="1333" t="e">
        <f t="shared" si="230"/>
        <v>#N/A</v>
      </c>
      <c r="Z123" s="1333" t="e">
        <f t="shared" si="231"/>
        <v>#N/A</v>
      </c>
      <c r="AA123" s="1333" t="e">
        <f t="shared" si="232"/>
        <v>#N/A</v>
      </c>
      <c r="AB123" s="500" t="e">
        <f t="shared" si="233"/>
        <v>#N/A</v>
      </c>
      <c r="AD123" s="327">
        <v>5</v>
      </c>
      <c r="AE123" s="347">
        <f>TREND(AE117:AE118,AD117:AD118,AD123)</f>
        <v>0</v>
      </c>
      <c r="AF123" s="630">
        <f>TREND(AF117:AF118,AD117:AD118,AD123)</f>
        <v>0</v>
      </c>
      <c r="AG123" s="428"/>
      <c r="AH123" s="431"/>
      <c r="AI123" s="521" t="e">
        <f t="shared" si="234"/>
        <v>#N/A</v>
      </c>
      <c r="AJ123" s="500" t="e">
        <f t="shared" si="234"/>
        <v>#N/A</v>
      </c>
      <c r="AK123" s="285" t="e">
        <f t="shared" si="235"/>
        <v>#N/A</v>
      </c>
      <c r="AL123" s="323" t="e">
        <f t="shared" si="236"/>
        <v>#N/A</v>
      </c>
      <c r="AM123" s="474"/>
      <c r="AN123" s="1038">
        <f t="shared" si="237"/>
        <v>0</v>
      </c>
      <c r="AO123" s="1324">
        <f t="shared" si="238"/>
        <v>0</v>
      </c>
      <c r="AP123" s="1324">
        <f t="shared" si="239"/>
        <v>0</v>
      </c>
      <c r="AQ123" s="1324">
        <f t="shared" si="240"/>
        <v>0</v>
      </c>
      <c r="AR123" s="1324">
        <f t="shared" si="241"/>
        <v>0</v>
      </c>
      <c r="AS123" s="1324">
        <f t="shared" si="242"/>
        <v>0</v>
      </c>
      <c r="AT123" s="1325">
        <f t="shared" si="243"/>
        <v>0</v>
      </c>
      <c r="AU123" s="521" t="e">
        <f t="shared" si="244"/>
        <v>#N/A</v>
      </c>
      <c r="AV123" s="1333" t="e">
        <f t="shared" si="245"/>
        <v>#N/A</v>
      </c>
      <c r="AW123" s="1333" t="e">
        <f t="shared" si="246"/>
        <v>#N/A</v>
      </c>
      <c r="AX123" s="1333" t="e">
        <f t="shared" si="247"/>
        <v>#N/A</v>
      </c>
      <c r="AY123" s="1333" t="e">
        <f t="shared" si="248"/>
        <v>#N/A</v>
      </c>
      <c r="AZ123" s="500" t="e">
        <f t="shared" si="249"/>
        <v>#N/A</v>
      </c>
    </row>
    <row r="124" spans="2:52" x14ac:dyDescent="0.25">
      <c r="B124" s="327">
        <v>6</v>
      </c>
      <c r="C124" s="347">
        <f>TREND(C117:C118,B117:B118,B124)</f>
        <v>0</v>
      </c>
      <c r="D124" s="372">
        <f>TREND(D117:D118,B117:B118,B124)</f>
        <v>0</v>
      </c>
      <c r="E124" s="373">
        <f>TREND(E117:E118,B117:B118,B124)</f>
        <v>55</v>
      </c>
      <c r="F124" s="374">
        <f>TREND(F117:F118,B117:B118,B124)</f>
        <v>55</v>
      </c>
      <c r="G124" s="339">
        <f t="shared" si="216"/>
        <v>0</v>
      </c>
      <c r="H124" s="436">
        <f t="shared" si="217"/>
        <v>0</v>
      </c>
      <c r="I124" s="521" t="e">
        <f t="shared" si="218"/>
        <v>#N/A</v>
      </c>
      <c r="J124" s="500" t="e">
        <f t="shared" si="218"/>
        <v>#N/A</v>
      </c>
      <c r="K124" s="521" t="e">
        <f t="shared" si="219"/>
        <v>#N/A</v>
      </c>
      <c r="L124" s="500" t="e">
        <f t="shared" si="219"/>
        <v>#N/A</v>
      </c>
      <c r="M124" s="285" t="e">
        <f t="shared" si="250"/>
        <v>#N/A</v>
      </c>
      <c r="N124" s="323" t="e">
        <f t="shared" si="220"/>
        <v>#N/A</v>
      </c>
      <c r="O124" s="474"/>
      <c r="P124" s="1038">
        <f t="shared" si="221"/>
        <v>0</v>
      </c>
      <c r="Q124" s="1324">
        <f t="shared" si="222"/>
        <v>0</v>
      </c>
      <c r="R124" s="1324">
        <f t="shared" si="223"/>
        <v>0</v>
      </c>
      <c r="S124" s="1324">
        <f t="shared" si="224"/>
        <v>0</v>
      </c>
      <c r="T124" s="1324">
        <f t="shared" si="225"/>
        <v>0</v>
      </c>
      <c r="U124" s="1324">
        <f t="shared" si="226"/>
        <v>0</v>
      </c>
      <c r="V124" s="1325">
        <f t="shared" si="227"/>
        <v>0</v>
      </c>
      <c r="W124" s="521" t="e">
        <f t="shared" si="228"/>
        <v>#N/A</v>
      </c>
      <c r="X124" s="1333" t="e">
        <f t="shared" si="229"/>
        <v>#N/A</v>
      </c>
      <c r="Y124" s="1333" t="e">
        <f t="shared" si="230"/>
        <v>#N/A</v>
      </c>
      <c r="Z124" s="1333" t="e">
        <f t="shared" si="231"/>
        <v>#N/A</v>
      </c>
      <c r="AA124" s="1333" t="e">
        <f t="shared" si="232"/>
        <v>#N/A</v>
      </c>
      <c r="AB124" s="500" t="e">
        <f t="shared" si="233"/>
        <v>#N/A</v>
      </c>
      <c r="AD124" s="327">
        <v>6</v>
      </c>
      <c r="AE124" s="347">
        <f>TREND(AE117:AE118,AD117:AD118,AD124)</f>
        <v>0</v>
      </c>
      <c r="AF124" s="630">
        <f>TREND(AF117:AF118,AD117:AD118,AD124)</f>
        <v>0</v>
      </c>
      <c r="AG124" s="428"/>
      <c r="AH124" s="431"/>
      <c r="AI124" s="521" t="e">
        <f t="shared" si="234"/>
        <v>#N/A</v>
      </c>
      <c r="AJ124" s="500" t="e">
        <f t="shared" si="234"/>
        <v>#N/A</v>
      </c>
      <c r="AK124" s="285" t="e">
        <f t="shared" si="235"/>
        <v>#N/A</v>
      </c>
      <c r="AL124" s="323" t="e">
        <f t="shared" si="236"/>
        <v>#N/A</v>
      </c>
      <c r="AM124" s="474"/>
      <c r="AN124" s="1038">
        <f t="shared" si="237"/>
        <v>0</v>
      </c>
      <c r="AO124" s="1324">
        <f t="shared" si="238"/>
        <v>0</v>
      </c>
      <c r="AP124" s="1324">
        <f t="shared" si="239"/>
        <v>0</v>
      </c>
      <c r="AQ124" s="1324">
        <f t="shared" si="240"/>
        <v>0</v>
      </c>
      <c r="AR124" s="1324">
        <f t="shared" si="241"/>
        <v>0</v>
      </c>
      <c r="AS124" s="1324">
        <f t="shared" si="242"/>
        <v>0</v>
      </c>
      <c r="AT124" s="1325">
        <f t="shared" si="243"/>
        <v>0</v>
      </c>
      <c r="AU124" s="521" t="e">
        <f t="shared" si="244"/>
        <v>#N/A</v>
      </c>
      <c r="AV124" s="1333" t="e">
        <f t="shared" si="245"/>
        <v>#N/A</v>
      </c>
      <c r="AW124" s="1333" t="e">
        <f t="shared" si="246"/>
        <v>#N/A</v>
      </c>
      <c r="AX124" s="1333" t="e">
        <f t="shared" si="247"/>
        <v>#N/A</v>
      </c>
      <c r="AY124" s="1333" t="e">
        <f t="shared" si="248"/>
        <v>#N/A</v>
      </c>
      <c r="AZ124" s="500" t="e">
        <f t="shared" si="249"/>
        <v>#N/A</v>
      </c>
    </row>
    <row r="125" spans="2:52" x14ac:dyDescent="0.25">
      <c r="B125" s="327">
        <v>7</v>
      </c>
      <c r="C125" s="347">
        <f>TREND(C117:C118,B117:B118,B125)</f>
        <v>0</v>
      </c>
      <c r="D125" s="372">
        <f>TREND(D117:D118,B117:B118,B125)</f>
        <v>0</v>
      </c>
      <c r="E125" s="373">
        <f>TREND(E117:E118,B117:B118,B125)</f>
        <v>55</v>
      </c>
      <c r="F125" s="374">
        <f>TREND(F117:F118,B117:B118,B125)</f>
        <v>55</v>
      </c>
      <c r="G125" s="339">
        <f t="shared" si="216"/>
        <v>0</v>
      </c>
      <c r="H125" s="436">
        <f t="shared" si="217"/>
        <v>0</v>
      </c>
      <c r="I125" s="521" t="e">
        <f t="shared" si="218"/>
        <v>#N/A</v>
      </c>
      <c r="J125" s="500" t="e">
        <f t="shared" si="218"/>
        <v>#N/A</v>
      </c>
      <c r="K125" s="521" t="e">
        <f t="shared" si="219"/>
        <v>#N/A</v>
      </c>
      <c r="L125" s="500" t="e">
        <f t="shared" si="219"/>
        <v>#N/A</v>
      </c>
      <c r="M125" s="285" t="e">
        <f t="shared" si="250"/>
        <v>#N/A</v>
      </c>
      <c r="N125" s="323" t="e">
        <f t="shared" si="220"/>
        <v>#N/A</v>
      </c>
      <c r="O125" s="474"/>
      <c r="P125" s="1038">
        <f t="shared" si="221"/>
        <v>0</v>
      </c>
      <c r="Q125" s="1324">
        <f t="shared" si="222"/>
        <v>0</v>
      </c>
      <c r="R125" s="1324">
        <f t="shared" si="223"/>
        <v>0</v>
      </c>
      <c r="S125" s="1324">
        <f t="shared" si="224"/>
        <v>0</v>
      </c>
      <c r="T125" s="1324">
        <f t="shared" si="225"/>
        <v>0</v>
      </c>
      <c r="U125" s="1324">
        <f t="shared" si="226"/>
        <v>0</v>
      </c>
      <c r="V125" s="1325">
        <f t="shared" si="227"/>
        <v>0</v>
      </c>
      <c r="W125" s="521" t="e">
        <f t="shared" si="228"/>
        <v>#N/A</v>
      </c>
      <c r="X125" s="1333" t="e">
        <f t="shared" si="229"/>
        <v>#N/A</v>
      </c>
      <c r="Y125" s="1333" t="e">
        <f t="shared" si="230"/>
        <v>#N/A</v>
      </c>
      <c r="Z125" s="1333" t="e">
        <f t="shared" si="231"/>
        <v>#N/A</v>
      </c>
      <c r="AA125" s="1333" t="e">
        <f t="shared" si="232"/>
        <v>#N/A</v>
      </c>
      <c r="AB125" s="500" t="e">
        <f t="shared" si="233"/>
        <v>#N/A</v>
      </c>
      <c r="AD125" s="327">
        <v>7</v>
      </c>
      <c r="AE125" s="347">
        <f>TREND(AE117:AE118,AD117:AD118,AD125)</f>
        <v>0</v>
      </c>
      <c r="AF125" s="630">
        <f>TREND(AF117:AF118,AD117:AD118,AD125)</f>
        <v>0</v>
      </c>
      <c r="AG125" s="428"/>
      <c r="AH125" s="431"/>
      <c r="AI125" s="521" t="e">
        <f t="shared" si="234"/>
        <v>#N/A</v>
      </c>
      <c r="AJ125" s="500" t="e">
        <f t="shared" si="234"/>
        <v>#N/A</v>
      </c>
      <c r="AK125" s="285" t="e">
        <f t="shared" si="235"/>
        <v>#N/A</v>
      </c>
      <c r="AL125" s="323" t="e">
        <f t="shared" si="236"/>
        <v>#N/A</v>
      </c>
      <c r="AM125" s="474"/>
      <c r="AN125" s="1038">
        <f t="shared" si="237"/>
        <v>0</v>
      </c>
      <c r="AO125" s="1324">
        <f t="shared" si="238"/>
        <v>0</v>
      </c>
      <c r="AP125" s="1324">
        <f t="shared" si="239"/>
        <v>0</v>
      </c>
      <c r="AQ125" s="1324">
        <f t="shared" si="240"/>
        <v>0</v>
      </c>
      <c r="AR125" s="1324">
        <f t="shared" si="241"/>
        <v>0</v>
      </c>
      <c r="AS125" s="1324">
        <f t="shared" si="242"/>
        <v>0</v>
      </c>
      <c r="AT125" s="1325">
        <f t="shared" si="243"/>
        <v>0</v>
      </c>
      <c r="AU125" s="521" t="e">
        <f t="shared" si="244"/>
        <v>#N/A</v>
      </c>
      <c r="AV125" s="1333" t="e">
        <f t="shared" si="245"/>
        <v>#N/A</v>
      </c>
      <c r="AW125" s="1333" t="e">
        <f t="shared" si="246"/>
        <v>#N/A</v>
      </c>
      <c r="AX125" s="1333" t="e">
        <f t="shared" si="247"/>
        <v>#N/A</v>
      </c>
      <c r="AY125" s="1333" t="e">
        <f t="shared" si="248"/>
        <v>#N/A</v>
      </c>
      <c r="AZ125" s="500" t="e">
        <f t="shared" si="249"/>
        <v>#N/A</v>
      </c>
    </row>
    <row r="126" spans="2:52" x14ac:dyDescent="0.25">
      <c r="B126" s="327">
        <v>8</v>
      </c>
      <c r="C126" s="347">
        <f>TREND(C117:C118,B117:B118,B126)</f>
        <v>0</v>
      </c>
      <c r="D126" s="372">
        <f>TREND(D117:D118,B117:B118,B126)</f>
        <v>0</v>
      </c>
      <c r="E126" s="373">
        <f>TREND(E117:E118,B117:B118,B126)</f>
        <v>55</v>
      </c>
      <c r="F126" s="374">
        <f>TREND(F117:F118,B117:B118,B126)</f>
        <v>55</v>
      </c>
      <c r="G126" s="339">
        <f t="shared" si="216"/>
        <v>0</v>
      </c>
      <c r="H126" s="436">
        <f t="shared" si="217"/>
        <v>0</v>
      </c>
      <c r="I126" s="521" t="e">
        <f t="shared" ref="I126:I137" si="251">G126*0.00000110231131*(VLOOKUP(E126,EmTruck20,2)*VLOOKUP(ProjLoc,EmCost,2)+VLOOKUP(E126,EmTruck20,3)*VLOOKUP(ProjLoc,EmCost,3)*(1+CO2Uprater)^($B126+Construct-1)+VLOOKUP(E126,EmTruck20,4)*VLOOKUP(ProjLoc,EmCost,4)+VLOOKUP(E126,EmTruck20,5)*VLOOKUP(ProjLoc,EmCost,5)+VLOOKUP(E126,EmTruck20,6)*VLOOKUP(ProjLoc,EmCost,6)+VLOOKUP(E126,EmTruck20,7)*VLOOKUP(ProjLoc,EmCost,7))*IF(UserAdjInputs,1,VLOOKUP(TMSLookup,TMSAdj,9))</f>
        <v>#N/A</v>
      </c>
      <c r="J126" s="500" t="e">
        <f t="shared" ref="J126:J137" si="252">H126*0.00000110231131*(VLOOKUP(F126,EmTruck20,2)*VLOOKUP(ProjLoc,EmCost,2)+VLOOKUP(F126,EmTruck20,3)*VLOOKUP(ProjLoc,EmCost,3)*(1+CO2Uprater)^($B126+Construct-1)+VLOOKUP(F126,EmTruck20,4)*VLOOKUP(ProjLoc,EmCost,4)+VLOOKUP(F126,EmTruck20,5)*VLOOKUP(ProjLoc,EmCost,5)+VLOOKUP(F126,EmTruck20,6)*VLOOKUP(ProjLoc,EmCost,6)+VLOOKUP(F126,EmTruck20,7)*VLOOKUP(ProjLoc,EmCost,7))*IF(UserAdjInputs,1,VLOOKUP(TMSLookup,TMSAdj,9))</f>
        <v>#N/A</v>
      </c>
      <c r="K126" s="521" t="e">
        <f t="shared" ref="K126:K137" si="253">C126*0.00000110231131*(VLOOKUP(0,EmTruck20,2)*VLOOKUP(ProjLoc,EmCost,2)+VLOOKUP(0,EmTruck20,3)*VLOOKUP(ProjLoc,EmCost,3)*(1+CO2Uprater)^($B126+Construct-1)+VLOOKUP(0,EmTruck20,4)*VLOOKUP(ProjLoc,EmCost,4)+VLOOKUP(0,EmTruck20,5)*VLOOKUP(ProjLoc,EmCost,5)+VLOOKUP(0,EmTruck20,6)*VLOOKUP(ProjLoc,EmCost,6)+VLOOKUP(0,EmTruck20,7)*VLOOKUP(ProjLoc,EmCost,7))*IF(UserAdjInputs,1,VLOOKUP(TMSLookup,TMSAdj,9))</f>
        <v>#N/A</v>
      </c>
      <c r="L126" s="500" t="e">
        <f t="shared" ref="L126:L137" si="254">D126*0.00000110231131*(VLOOKUP(0,EmTruck20,2)*VLOOKUP(ProjLoc,EmCost,2)+VLOOKUP(0,EmTruck20,3)*VLOOKUP(ProjLoc,EmCost,3)*(1+CO2Uprater)^($B126+Construct-1)+VLOOKUP(0,EmTruck20,4)*VLOOKUP(ProjLoc,EmCost,4)+VLOOKUP(0,EmTruck20,5)*VLOOKUP(ProjLoc,EmCost,5)+VLOOKUP(0,EmTruck20,6)*VLOOKUP(ProjLoc,EmCost,6)+VLOOKUP(0,EmTruck20,7)*VLOOKUP(ProjLoc,EmCost,7))*IF(UserAdjInputs,1,VLOOKUP(TMSLookup,TMSAdj,9))</f>
        <v>#N/A</v>
      </c>
      <c r="M126" s="285" t="e">
        <f t="shared" si="250"/>
        <v>#N/A</v>
      </c>
      <c r="N126" s="323" t="e">
        <f t="shared" si="220"/>
        <v>#N/A</v>
      </c>
      <c r="O126" s="474"/>
      <c r="P126" s="1038">
        <f t="shared" ref="P126:P137" si="255">0.00000110231131*(G126*VLOOKUP(E126,EmTruck20,2)-H126*VLOOKUP(F126,EmTruck20,2)+(C126-D126)*VLOOKUP(0,EmTruck20,2))*IF(UserAdjInputs,1,VLOOKUP(TMSLookup,TMSAdj,9))</f>
        <v>0</v>
      </c>
      <c r="Q126" s="1324">
        <f t="shared" ref="Q126:Q137" si="256">0.00000110231131*(G126*VLOOKUP(E126,EmTruck20,3)-H126*VLOOKUP(F126,EmTruck20,3)+(C126-D126)*VLOOKUP(0,EmTruck20,3))*IF(UserAdjInputs,1,VLOOKUP(TMSLookup,TMSAdj,9))</f>
        <v>0</v>
      </c>
      <c r="R126" s="1324">
        <f t="shared" ref="R126:R137" si="257">0.00000110231131*(G126*VLOOKUP(E126,EmTruck20,4)-H126*VLOOKUP(F126,EmTruck20,4)+(C126-D126)*VLOOKUP(0,EmTruck20,4))*IF(UserAdjInputs,1,VLOOKUP(TMSLookup,TMSAdj,9))</f>
        <v>0</v>
      </c>
      <c r="S126" s="1324">
        <f t="shared" ref="S126:S137" si="258">0.00000110231131*(G126*VLOOKUP(E126,EmTruck20,5)-H126*VLOOKUP(F126,EmTruck20,5)+(C126-D126)*VLOOKUP(0,EmTruck20,5))*IF(UserAdjInputs,1,VLOOKUP(TMSLookup,TMSAdj,9))</f>
        <v>0</v>
      </c>
      <c r="T126" s="1324">
        <f t="shared" ref="T126:T137" si="259">0.00000110231131*(G126*VLOOKUP(E126,EmTruck20,6)-H126*VLOOKUP(F126,EmTruck20,6)+(C126-D126)*VLOOKUP(0,EmTruck20,6))*IF(UserAdjInputs,1,VLOOKUP(TMSLookup,TMSAdj,9))</f>
        <v>0</v>
      </c>
      <c r="U126" s="1324">
        <f t="shared" ref="U126:U137" si="260">0.00000110231131*(G126*VLOOKUP(E126,EmTruck20,7)-H126*VLOOKUP(F126,EmTruck20,7)+(C126-D126)*VLOOKUP(0,EmTruck20,7))*IF(UserAdjInputs,1,VLOOKUP(TMSLookup,TMSAdj,9))</f>
        <v>0</v>
      </c>
      <c r="V126" s="1325">
        <f t="shared" ref="V126:V137" si="261">0.00000110231131*(G126*VLOOKUP(E126,EmTruck20,8)-H126*VLOOKUP(F126,EmTruck20,8)+(C126-D126)*VLOOKUP(0,EmTruck20,8))*IF(UserAdjInputs,1,VLOOKUP(TMSLookup,TMSAdj,9))</f>
        <v>0</v>
      </c>
      <c r="W126" s="521" t="e">
        <f t="shared" si="228"/>
        <v>#N/A</v>
      </c>
      <c r="X126" s="1333" t="e">
        <f t="shared" si="229"/>
        <v>#N/A</v>
      </c>
      <c r="Y126" s="1333" t="e">
        <f t="shared" si="230"/>
        <v>#N/A</v>
      </c>
      <c r="Z126" s="1333" t="e">
        <f t="shared" si="231"/>
        <v>#N/A</v>
      </c>
      <c r="AA126" s="1333" t="e">
        <f t="shared" si="232"/>
        <v>#N/A</v>
      </c>
      <c r="AB126" s="500" t="e">
        <f t="shared" si="233"/>
        <v>#N/A</v>
      </c>
      <c r="AD126" s="327">
        <v>8</v>
      </c>
      <c r="AE126" s="347">
        <f>TREND(AE117:AE118,AD117:AD118,AD126)</f>
        <v>0</v>
      </c>
      <c r="AF126" s="630">
        <f>TREND(AF117:AF118,AD117:AD118,AD126)</f>
        <v>0</v>
      </c>
      <c r="AG126" s="428"/>
      <c r="AH126" s="431"/>
      <c r="AI126" s="521" t="e">
        <f t="shared" ref="AI126:AI137" si="262">AE126*0.00000110231131*(VLOOKUP(2022,EmLRT,2)*VLOOKUP(ProjLoc,EmCost,2)+VLOOKUP(2022,EmLRT,3)*VLOOKUP(ProjLoc,EmCost,3)*(1+CO2Uprater)^($AD126+Construct-1)+VLOOKUP(2022,EmLRT,4)*VLOOKUP(ProjLoc,EmCost,4)+VLOOKUP(2022,EmLRT,5)*VLOOKUP(ProjLoc,EmCost,5)+VLOOKUP(2022,EmLRT,6)*VLOOKUP(ProjLoc,EmCost,6)+VLOOKUP(2022,EmLRT,7)*VLOOKUP(ProjLoc,EmCost,7))</f>
        <v>#N/A</v>
      </c>
      <c r="AJ126" s="500" t="e">
        <f t="shared" ref="AJ126:AJ137" si="263">AF126*0.00000110231131*(VLOOKUP(2022,EmLRT,2)*VLOOKUP(ProjLoc,EmCost,2)+VLOOKUP(2022,EmLRT,3)*VLOOKUP(ProjLoc,EmCost,3)*(1+CO2Uprater)^($AD126+Construct-1)+VLOOKUP(2022,EmLRT,4)*VLOOKUP(ProjLoc,EmCost,4)+VLOOKUP(2022,EmLRT,5)*VLOOKUP(ProjLoc,EmCost,5)+VLOOKUP(2022,EmLRT,6)*VLOOKUP(ProjLoc,EmCost,6)+VLOOKUP(2022,EmLRT,7)*VLOOKUP(ProjLoc,EmCost,7))</f>
        <v>#N/A</v>
      </c>
      <c r="AK126" s="285" t="e">
        <f t="shared" si="235"/>
        <v>#N/A</v>
      </c>
      <c r="AL126" s="323" t="e">
        <f t="shared" si="236"/>
        <v>#N/A</v>
      </c>
      <c r="AM126" s="474"/>
      <c r="AN126" s="1038">
        <f t="shared" ref="AN126:AN137" si="264">0.00000110231131*(AE126-AF126)*VLOOKUP(2022,EmLRT,2)</f>
        <v>0</v>
      </c>
      <c r="AO126" s="1324">
        <f t="shared" ref="AO126:AO137" si="265">0.00000110231131*(AE126-AF126)*VLOOKUP(2022,EmLRT,3)</f>
        <v>0</v>
      </c>
      <c r="AP126" s="1324">
        <f t="shared" ref="AP126:AP137" si="266">0.00000110231131*(AE126-AF126)*VLOOKUP(2022,EmLRT,4)</f>
        <v>0</v>
      </c>
      <c r="AQ126" s="1324">
        <f t="shared" ref="AQ126:AQ137" si="267">0.00000110231131*(AE126-AF126)*VLOOKUP(2022,EmLRT,5)</f>
        <v>0</v>
      </c>
      <c r="AR126" s="1324">
        <f t="shared" ref="AR126:AR137" si="268">0.00000110231131*(AE126-AF126)*VLOOKUP(2022,EmLRT,6)</f>
        <v>0</v>
      </c>
      <c r="AS126" s="1324">
        <f t="shared" ref="AS126:AS137" si="269">0.00000110231131*(AE126-AF126)*VLOOKUP(2022,EmLRT,7)</f>
        <v>0</v>
      </c>
      <c r="AT126" s="1325">
        <f t="shared" ref="AT126:AT137" si="270">0.00000110231131*(AE126-AF126)*VLOOKUP(2022,EmLRT,8)</f>
        <v>0</v>
      </c>
      <c r="AU126" s="521" t="e">
        <f t="shared" si="244"/>
        <v>#N/A</v>
      </c>
      <c r="AV126" s="1333" t="e">
        <f t="shared" si="245"/>
        <v>#N/A</v>
      </c>
      <c r="AW126" s="1333" t="e">
        <f t="shared" si="246"/>
        <v>#N/A</v>
      </c>
      <c r="AX126" s="1333" t="e">
        <f t="shared" si="247"/>
        <v>#N/A</v>
      </c>
      <c r="AY126" s="1333" t="e">
        <f t="shared" si="248"/>
        <v>#N/A</v>
      </c>
      <c r="AZ126" s="500" t="e">
        <f t="shared" si="249"/>
        <v>#N/A</v>
      </c>
    </row>
    <row r="127" spans="2:52" x14ac:dyDescent="0.25">
      <c r="B127" s="327">
        <v>9</v>
      </c>
      <c r="C127" s="347">
        <f>TREND(C117:C118,B117:B118,B127)</f>
        <v>0</v>
      </c>
      <c r="D127" s="372">
        <f>TREND(D117:D118,B117:B118,B127)</f>
        <v>0</v>
      </c>
      <c r="E127" s="373">
        <f>TREND(E117:E118,B117:B118,B127)</f>
        <v>55</v>
      </c>
      <c r="F127" s="374">
        <f>TREND(F117:F118,B117:B118,B127)</f>
        <v>55</v>
      </c>
      <c r="G127" s="339">
        <f t="shared" si="216"/>
        <v>0</v>
      </c>
      <c r="H127" s="436">
        <f t="shared" si="217"/>
        <v>0</v>
      </c>
      <c r="I127" s="521" t="e">
        <f t="shared" si="251"/>
        <v>#N/A</v>
      </c>
      <c r="J127" s="500" t="e">
        <f t="shared" si="252"/>
        <v>#N/A</v>
      </c>
      <c r="K127" s="521" t="e">
        <f t="shared" si="253"/>
        <v>#N/A</v>
      </c>
      <c r="L127" s="500" t="e">
        <f t="shared" si="254"/>
        <v>#N/A</v>
      </c>
      <c r="M127" s="285" t="e">
        <f t="shared" si="250"/>
        <v>#N/A</v>
      </c>
      <c r="N127" s="323" t="e">
        <f t="shared" si="220"/>
        <v>#N/A</v>
      </c>
      <c r="O127" s="474"/>
      <c r="P127" s="1038">
        <f t="shared" si="255"/>
        <v>0</v>
      </c>
      <c r="Q127" s="1324">
        <f t="shared" si="256"/>
        <v>0</v>
      </c>
      <c r="R127" s="1324">
        <f t="shared" si="257"/>
        <v>0</v>
      </c>
      <c r="S127" s="1324">
        <f t="shared" si="258"/>
        <v>0</v>
      </c>
      <c r="T127" s="1324">
        <f t="shared" si="259"/>
        <v>0</v>
      </c>
      <c r="U127" s="1324">
        <f t="shared" si="260"/>
        <v>0</v>
      </c>
      <c r="V127" s="1325">
        <f t="shared" si="261"/>
        <v>0</v>
      </c>
      <c r="W127" s="521" t="e">
        <f t="shared" si="228"/>
        <v>#N/A</v>
      </c>
      <c r="X127" s="1333" t="e">
        <f t="shared" si="229"/>
        <v>#N/A</v>
      </c>
      <c r="Y127" s="1333" t="e">
        <f t="shared" si="230"/>
        <v>#N/A</v>
      </c>
      <c r="Z127" s="1333" t="e">
        <f t="shared" si="231"/>
        <v>#N/A</v>
      </c>
      <c r="AA127" s="1333" t="e">
        <f t="shared" si="232"/>
        <v>#N/A</v>
      </c>
      <c r="AB127" s="500" t="e">
        <f t="shared" si="233"/>
        <v>#N/A</v>
      </c>
      <c r="AD127" s="327">
        <v>9</v>
      </c>
      <c r="AE127" s="347">
        <f>TREND(AE117:AE118,AD117:AD118,AD127)</f>
        <v>0</v>
      </c>
      <c r="AF127" s="630">
        <f>TREND(AF117:AF118,AD117:AD118,AD127)</f>
        <v>0</v>
      </c>
      <c r="AG127" s="428"/>
      <c r="AH127" s="431"/>
      <c r="AI127" s="521" t="e">
        <f t="shared" si="262"/>
        <v>#N/A</v>
      </c>
      <c r="AJ127" s="500" t="e">
        <f t="shared" si="263"/>
        <v>#N/A</v>
      </c>
      <c r="AK127" s="285" t="e">
        <f t="shared" si="235"/>
        <v>#N/A</v>
      </c>
      <c r="AL127" s="323" t="e">
        <f t="shared" si="236"/>
        <v>#N/A</v>
      </c>
      <c r="AM127" s="474"/>
      <c r="AN127" s="1038">
        <f t="shared" si="264"/>
        <v>0</v>
      </c>
      <c r="AO127" s="1324">
        <f t="shared" si="265"/>
        <v>0</v>
      </c>
      <c r="AP127" s="1324">
        <f t="shared" si="266"/>
        <v>0</v>
      </c>
      <c r="AQ127" s="1324">
        <f t="shared" si="267"/>
        <v>0</v>
      </c>
      <c r="AR127" s="1324">
        <f t="shared" si="268"/>
        <v>0</v>
      </c>
      <c r="AS127" s="1324">
        <f t="shared" si="269"/>
        <v>0</v>
      </c>
      <c r="AT127" s="1325">
        <f t="shared" si="270"/>
        <v>0</v>
      </c>
      <c r="AU127" s="521" t="e">
        <f t="shared" si="244"/>
        <v>#N/A</v>
      </c>
      <c r="AV127" s="1333" t="e">
        <f t="shared" si="245"/>
        <v>#N/A</v>
      </c>
      <c r="AW127" s="1333" t="e">
        <f t="shared" si="246"/>
        <v>#N/A</v>
      </c>
      <c r="AX127" s="1333" t="e">
        <f t="shared" si="247"/>
        <v>#N/A</v>
      </c>
      <c r="AY127" s="1333" t="e">
        <f t="shared" si="248"/>
        <v>#N/A</v>
      </c>
      <c r="AZ127" s="500" t="e">
        <f t="shared" si="249"/>
        <v>#N/A</v>
      </c>
    </row>
    <row r="128" spans="2:52" x14ac:dyDescent="0.25">
      <c r="B128" s="327">
        <v>10</v>
      </c>
      <c r="C128" s="347">
        <f>TREND(C117:C118,B117:B118,B128)</f>
        <v>0</v>
      </c>
      <c r="D128" s="372">
        <f>TREND(D117:D118,B117:B118,B128)</f>
        <v>0</v>
      </c>
      <c r="E128" s="373">
        <f>TREND(E117:E118,B117:B118,B128)</f>
        <v>55</v>
      </c>
      <c r="F128" s="374">
        <f>TREND(F117:F118,B117:B118,B128)</f>
        <v>55</v>
      </c>
      <c r="G128" s="339">
        <f t="shared" si="216"/>
        <v>0</v>
      </c>
      <c r="H128" s="436">
        <f t="shared" si="217"/>
        <v>0</v>
      </c>
      <c r="I128" s="521" t="e">
        <f t="shared" si="251"/>
        <v>#N/A</v>
      </c>
      <c r="J128" s="500" t="e">
        <f t="shared" si="252"/>
        <v>#N/A</v>
      </c>
      <c r="K128" s="521" t="e">
        <f t="shared" si="253"/>
        <v>#N/A</v>
      </c>
      <c r="L128" s="500" t="e">
        <f t="shared" si="254"/>
        <v>#N/A</v>
      </c>
      <c r="M128" s="285" t="e">
        <f t="shared" si="250"/>
        <v>#N/A</v>
      </c>
      <c r="N128" s="323" t="e">
        <f t="shared" si="220"/>
        <v>#N/A</v>
      </c>
      <c r="O128" s="474"/>
      <c r="P128" s="1038">
        <f t="shared" si="255"/>
        <v>0</v>
      </c>
      <c r="Q128" s="1324">
        <f t="shared" si="256"/>
        <v>0</v>
      </c>
      <c r="R128" s="1324">
        <f t="shared" si="257"/>
        <v>0</v>
      </c>
      <c r="S128" s="1324">
        <f t="shared" si="258"/>
        <v>0</v>
      </c>
      <c r="T128" s="1324">
        <f t="shared" si="259"/>
        <v>0</v>
      </c>
      <c r="U128" s="1324">
        <f t="shared" si="260"/>
        <v>0</v>
      </c>
      <c r="V128" s="1325">
        <f t="shared" si="261"/>
        <v>0</v>
      </c>
      <c r="W128" s="521" t="e">
        <f t="shared" si="228"/>
        <v>#N/A</v>
      </c>
      <c r="X128" s="1333" t="e">
        <f t="shared" si="229"/>
        <v>#N/A</v>
      </c>
      <c r="Y128" s="1333" t="e">
        <f t="shared" si="230"/>
        <v>#N/A</v>
      </c>
      <c r="Z128" s="1333" t="e">
        <f t="shared" si="231"/>
        <v>#N/A</v>
      </c>
      <c r="AA128" s="1333" t="e">
        <f t="shared" si="232"/>
        <v>#N/A</v>
      </c>
      <c r="AB128" s="500" t="e">
        <f t="shared" si="233"/>
        <v>#N/A</v>
      </c>
      <c r="AD128" s="327">
        <v>10</v>
      </c>
      <c r="AE128" s="347">
        <f>TREND(AE117:AE118,AD117:AD118,AD128)</f>
        <v>0</v>
      </c>
      <c r="AF128" s="630">
        <f>TREND(AF117:AF118,AD117:AD118,AD128)</f>
        <v>0</v>
      </c>
      <c r="AG128" s="428"/>
      <c r="AH128" s="431"/>
      <c r="AI128" s="521" t="e">
        <f t="shared" si="262"/>
        <v>#N/A</v>
      </c>
      <c r="AJ128" s="500" t="e">
        <f t="shared" si="263"/>
        <v>#N/A</v>
      </c>
      <c r="AK128" s="285" t="e">
        <f t="shared" si="235"/>
        <v>#N/A</v>
      </c>
      <c r="AL128" s="323" t="e">
        <f t="shared" si="236"/>
        <v>#N/A</v>
      </c>
      <c r="AM128" s="474"/>
      <c r="AN128" s="1038">
        <f t="shared" si="264"/>
        <v>0</v>
      </c>
      <c r="AO128" s="1324">
        <f t="shared" si="265"/>
        <v>0</v>
      </c>
      <c r="AP128" s="1324">
        <f t="shared" si="266"/>
        <v>0</v>
      </c>
      <c r="AQ128" s="1324">
        <f t="shared" si="267"/>
        <v>0</v>
      </c>
      <c r="AR128" s="1324">
        <f t="shared" si="268"/>
        <v>0</v>
      </c>
      <c r="AS128" s="1324">
        <f t="shared" si="269"/>
        <v>0</v>
      </c>
      <c r="AT128" s="1325">
        <f t="shared" si="270"/>
        <v>0</v>
      </c>
      <c r="AU128" s="521" t="e">
        <f t="shared" si="244"/>
        <v>#N/A</v>
      </c>
      <c r="AV128" s="1333" t="e">
        <f t="shared" si="245"/>
        <v>#N/A</v>
      </c>
      <c r="AW128" s="1333" t="e">
        <f t="shared" si="246"/>
        <v>#N/A</v>
      </c>
      <c r="AX128" s="1333" t="e">
        <f t="shared" si="247"/>
        <v>#N/A</v>
      </c>
      <c r="AY128" s="1333" t="e">
        <f t="shared" si="248"/>
        <v>#N/A</v>
      </c>
      <c r="AZ128" s="500" t="e">
        <f t="shared" si="249"/>
        <v>#N/A</v>
      </c>
    </row>
    <row r="129" spans="2:52" x14ac:dyDescent="0.25">
      <c r="B129" s="327">
        <v>11</v>
      </c>
      <c r="C129" s="347">
        <f>TREND(C117:C118,B117:B118,B129)</f>
        <v>0</v>
      </c>
      <c r="D129" s="372">
        <f>TREND(D117:D118,B117:B118,B129)</f>
        <v>0</v>
      </c>
      <c r="E129" s="373">
        <f>TREND(E117:E118,B117:B118,B129)</f>
        <v>55</v>
      </c>
      <c r="F129" s="374">
        <f>TREND(F117:F118,B117:B118,B129)</f>
        <v>55</v>
      </c>
      <c r="G129" s="339">
        <f t="shared" si="216"/>
        <v>0</v>
      </c>
      <c r="H129" s="436">
        <f t="shared" si="217"/>
        <v>0</v>
      </c>
      <c r="I129" s="521" t="e">
        <f t="shared" si="251"/>
        <v>#N/A</v>
      </c>
      <c r="J129" s="500" t="e">
        <f t="shared" si="252"/>
        <v>#N/A</v>
      </c>
      <c r="K129" s="521" t="e">
        <f t="shared" si="253"/>
        <v>#N/A</v>
      </c>
      <c r="L129" s="500" t="e">
        <f t="shared" si="254"/>
        <v>#N/A</v>
      </c>
      <c r="M129" s="285" t="e">
        <f t="shared" si="250"/>
        <v>#N/A</v>
      </c>
      <c r="N129" s="323" t="e">
        <f t="shared" si="220"/>
        <v>#N/A</v>
      </c>
      <c r="O129" s="474"/>
      <c r="P129" s="1038">
        <f t="shared" si="255"/>
        <v>0</v>
      </c>
      <c r="Q129" s="1324">
        <f t="shared" si="256"/>
        <v>0</v>
      </c>
      <c r="R129" s="1324">
        <f t="shared" si="257"/>
        <v>0</v>
      </c>
      <c r="S129" s="1324">
        <f t="shared" si="258"/>
        <v>0</v>
      </c>
      <c r="T129" s="1324">
        <f t="shared" si="259"/>
        <v>0</v>
      </c>
      <c r="U129" s="1324">
        <f t="shared" si="260"/>
        <v>0</v>
      </c>
      <c r="V129" s="1325">
        <f t="shared" si="261"/>
        <v>0</v>
      </c>
      <c r="W129" s="521" t="e">
        <f t="shared" si="228"/>
        <v>#N/A</v>
      </c>
      <c r="X129" s="1333" t="e">
        <f t="shared" si="229"/>
        <v>#N/A</v>
      </c>
      <c r="Y129" s="1333" t="e">
        <f t="shared" si="230"/>
        <v>#N/A</v>
      </c>
      <c r="Z129" s="1333" t="e">
        <f t="shared" si="231"/>
        <v>#N/A</v>
      </c>
      <c r="AA129" s="1333" t="e">
        <f t="shared" si="232"/>
        <v>#N/A</v>
      </c>
      <c r="AB129" s="500" t="e">
        <f t="shared" si="233"/>
        <v>#N/A</v>
      </c>
      <c r="AD129" s="327">
        <v>11</v>
      </c>
      <c r="AE129" s="347">
        <f>TREND(AE117:AE118,AD117:AD118,AD129)</f>
        <v>0</v>
      </c>
      <c r="AF129" s="630">
        <f>TREND(AF117:AF118,AD117:AD118,AD129)</f>
        <v>0</v>
      </c>
      <c r="AG129" s="428"/>
      <c r="AH129" s="431"/>
      <c r="AI129" s="521" t="e">
        <f t="shared" si="262"/>
        <v>#N/A</v>
      </c>
      <c r="AJ129" s="500" t="e">
        <f t="shared" si="263"/>
        <v>#N/A</v>
      </c>
      <c r="AK129" s="285" t="e">
        <f t="shared" si="235"/>
        <v>#N/A</v>
      </c>
      <c r="AL129" s="323" t="e">
        <f t="shared" si="236"/>
        <v>#N/A</v>
      </c>
      <c r="AM129" s="474"/>
      <c r="AN129" s="1038">
        <f t="shared" si="264"/>
        <v>0</v>
      </c>
      <c r="AO129" s="1324">
        <f t="shared" si="265"/>
        <v>0</v>
      </c>
      <c r="AP129" s="1324">
        <f t="shared" si="266"/>
        <v>0</v>
      </c>
      <c r="AQ129" s="1324">
        <f t="shared" si="267"/>
        <v>0</v>
      </c>
      <c r="AR129" s="1324">
        <f t="shared" si="268"/>
        <v>0</v>
      </c>
      <c r="AS129" s="1324">
        <f t="shared" si="269"/>
        <v>0</v>
      </c>
      <c r="AT129" s="1325">
        <f t="shared" si="270"/>
        <v>0</v>
      </c>
      <c r="AU129" s="521" t="e">
        <f t="shared" si="244"/>
        <v>#N/A</v>
      </c>
      <c r="AV129" s="1333" t="e">
        <f t="shared" si="245"/>
        <v>#N/A</v>
      </c>
      <c r="AW129" s="1333" t="e">
        <f t="shared" si="246"/>
        <v>#N/A</v>
      </c>
      <c r="AX129" s="1333" t="e">
        <f t="shared" si="247"/>
        <v>#N/A</v>
      </c>
      <c r="AY129" s="1333" t="e">
        <f t="shared" si="248"/>
        <v>#N/A</v>
      </c>
      <c r="AZ129" s="500" t="e">
        <f t="shared" si="249"/>
        <v>#N/A</v>
      </c>
    </row>
    <row r="130" spans="2:52" x14ac:dyDescent="0.25">
      <c r="B130" s="327">
        <v>12</v>
      </c>
      <c r="C130" s="347">
        <f>TREND(C117:C118,B117:B118,B130)</f>
        <v>0</v>
      </c>
      <c r="D130" s="372">
        <f>TREND(D117:D118,B117:B118,B130)</f>
        <v>0</v>
      </c>
      <c r="E130" s="373">
        <f>TREND(E117:E118,B117:B118,B130)</f>
        <v>55</v>
      </c>
      <c r="F130" s="374">
        <f>TREND(F117:F118,B117:B118,B130)</f>
        <v>55</v>
      </c>
      <c r="G130" s="339">
        <f t="shared" si="216"/>
        <v>0</v>
      </c>
      <c r="H130" s="436">
        <f t="shared" si="217"/>
        <v>0</v>
      </c>
      <c r="I130" s="521" t="e">
        <f t="shared" si="251"/>
        <v>#N/A</v>
      </c>
      <c r="J130" s="500" t="e">
        <f t="shared" si="252"/>
        <v>#N/A</v>
      </c>
      <c r="K130" s="521" t="e">
        <f t="shared" si="253"/>
        <v>#N/A</v>
      </c>
      <c r="L130" s="500" t="e">
        <f t="shared" si="254"/>
        <v>#N/A</v>
      </c>
      <c r="M130" s="285" t="e">
        <f t="shared" si="250"/>
        <v>#N/A</v>
      </c>
      <c r="N130" s="323" t="e">
        <f t="shared" si="220"/>
        <v>#N/A</v>
      </c>
      <c r="O130" s="474"/>
      <c r="P130" s="1038">
        <f t="shared" si="255"/>
        <v>0</v>
      </c>
      <c r="Q130" s="1324">
        <f t="shared" si="256"/>
        <v>0</v>
      </c>
      <c r="R130" s="1324">
        <f t="shared" si="257"/>
        <v>0</v>
      </c>
      <c r="S130" s="1324">
        <f t="shared" si="258"/>
        <v>0</v>
      </c>
      <c r="T130" s="1324">
        <f t="shared" si="259"/>
        <v>0</v>
      </c>
      <c r="U130" s="1324">
        <f t="shared" si="260"/>
        <v>0</v>
      </c>
      <c r="V130" s="1325">
        <f t="shared" si="261"/>
        <v>0</v>
      </c>
      <c r="W130" s="521" t="e">
        <f t="shared" si="228"/>
        <v>#N/A</v>
      </c>
      <c r="X130" s="1333" t="e">
        <f t="shared" si="229"/>
        <v>#N/A</v>
      </c>
      <c r="Y130" s="1333" t="e">
        <f t="shared" si="230"/>
        <v>#N/A</v>
      </c>
      <c r="Z130" s="1333" t="e">
        <f t="shared" si="231"/>
        <v>#N/A</v>
      </c>
      <c r="AA130" s="1333" t="e">
        <f t="shared" si="232"/>
        <v>#N/A</v>
      </c>
      <c r="AB130" s="500" t="e">
        <f t="shared" si="233"/>
        <v>#N/A</v>
      </c>
      <c r="AD130" s="327">
        <v>12</v>
      </c>
      <c r="AE130" s="347">
        <f>TREND(AE117:AE118,AD117:AD118,AD130)</f>
        <v>0</v>
      </c>
      <c r="AF130" s="630">
        <f>TREND(AF117:AF118,AD117:AD118,AD130)</f>
        <v>0</v>
      </c>
      <c r="AG130" s="428"/>
      <c r="AH130" s="431"/>
      <c r="AI130" s="521" t="e">
        <f t="shared" si="262"/>
        <v>#N/A</v>
      </c>
      <c r="AJ130" s="500" t="e">
        <f t="shared" si="263"/>
        <v>#N/A</v>
      </c>
      <c r="AK130" s="285" t="e">
        <f t="shared" si="235"/>
        <v>#N/A</v>
      </c>
      <c r="AL130" s="323" t="e">
        <f t="shared" si="236"/>
        <v>#N/A</v>
      </c>
      <c r="AM130" s="474"/>
      <c r="AN130" s="1038">
        <f t="shared" si="264"/>
        <v>0</v>
      </c>
      <c r="AO130" s="1324">
        <f t="shared" si="265"/>
        <v>0</v>
      </c>
      <c r="AP130" s="1324">
        <f t="shared" si="266"/>
        <v>0</v>
      </c>
      <c r="AQ130" s="1324">
        <f t="shared" si="267"/>
        <v>0</v>
      </c>
      <c r="AR130" s="1324">
        <f t="shared" si="268"/>
        <v>0</v>
      </c>
      <c r="AS130" s="1324">
        <f t="shared" si="269"/>
        <v>0</v>
      </c>
      <c r="AT130" s="1325">
        <f t="shared" si="270"/>
        <v>0</v>
      </c>
      <c r="AU130" s="521" t="e">
        <f t="shared" si="244"/>
        <v>#N/A</v>
      </c>
      <c r="AV130" s="1333" t="e">
        <f t="shared" si="245"/>
        <v>#N/A</v>
      </c>
      <c r="AW130" s="1333" t="e">
        <f t="shared" si="246"/>
        <v>#N/A</v>
      </c>
      <c r="AX130" s="1333" t="e">
        <f t="shared" si="247"/>
        <v>#N/A</v>
      </c>
      <c r="AY130" s="1333" t="e">
        <f t="shared" si="248"/>
        <v>#N/A</v>
      </c>
      <c r="AZ130" s="500" t="e">
        <f t="shared" si="249"/>
        <v>#N/A</v>
      </c>
    </row>
    <row r="131" spans="2:52" x14ac:dyDescent="0.25">
      <c r="B131" s="327">
        <v>13</v>
      </c>
      <c r="C131" s="347">
        <f>TREND(C117:C118,B117:B118,B131)</f>
        <v>0</v>
      </c>
      <c r="D131" s="372">
        <f>TREND(D117:D118,B117:B118,B131)</f>
        <v>0</v>
      </c>
      <c r="E131" s="373">
        <f>TREND(E117:E118,B117:B118,B131)</f>
        <v>55</v>
      </c>
      <c r="F131" s="374">
        <f>TREND(F117:F118,B117:B118,B131)</f>
        <v>55</v>
      </c>
      <c r="G131" s="339">
        <f t="shared" si="216"/>
        <v>0</v>
      </c>
      <c r="H131" s="436">
        <f t="shared" si="217"/>
        <v>0</v>
      </c>
      <c r="I131" s="521" t="e">
        <f t="shared" si="251"/>
        <v>#N/A</v>
      </c>
      <c r="J131" s="500" t="e">
        <f t="shared" si="252"/>
        <v>#N/A</v>
      </c>
      <c r="K131" s="521" t="e">
        <f t="shared" si="253"/>
        <v>#N/A</v>
      </c>
      <c r="L131" s="500" t="e">
        <f t="shared" si="254"/>
        <v>#N/A</v>
      </c>
      <c r="M131" s="285" t="e">
        <f t="shared" si="250"/>
        <v>#N/A</v>
      </c>
      <c r="N131" s="323" t="e">
        <f t="shared" si="220"/>
        <v>#N/A</v>
      </c>
      <c r="O131" s="474"/>
      <c r="P131" s="1038">
        <f t="shared" si="255"/>
        <v>0</v>
      </c>
      <c r="Q131" s="1324">
        <f t="shared" si="256"/>
        <v>0</v>
      </c>
      <c r="R131" s="1324">
        <f t="shared" si="257"/>
        <v>0</v>
      </c>
      <c r="S131" s="1324">
        <f t="shared" si="258"/>
        <v>0</v>
      </c>
      <c r="T131" s="1324">
        <f t="shared" si="259"/>
        <v>0</v>
      </c>
      <c r="U131" s="1324">
        <f t="shared" si="260"/>
        <v>0</v>
      </c>
      <c r="V131" s="1325">
        <f t="shared" si="261"/>
        <v>0</v>
      </c>
      <c r="W131" s="521" t="e">
        <f t="shared" si="228"/>
        <v>#N/A</v>
      </c>
      <c r="X131" s="1333" t="e">
        <f t="shared" si="229"/>
        <v>#N/A</v>
      </c>
      <c r="Y131" s="1333" t="e">
        <f t="shared" si="230"/>
        <v>#N/A</v>
      </c>
      <c r="Z131" s="1333" t="e">
        <f t="shared" si="231"/>
        <v>#N/A</v>
      </c>
      <c r="AA131" s="1333" t="e">
        <f t="shared" si="232"/>
        <v>#N/A</v>
      </c>
      <c r="AB131" s="500" t="e">
        <f t="shared" si="233"/>
        <v>#N/A</v>
      </c>
      <c r="AD131" s="327">
        <v>13</v>
      </c>
      <c r="AE131" s="347">
        <f>TREND(AE117:AE118,AD117:AD118,AD131)</f>
        <v>0</v>
      </c>
      <c r="AF131" s="630">
        <f>TREND(AF117:AF118,AD117:AD118,AD131)</f>
        <v>0</v>
      </c>
      <c r="AG131" s="428"/>
      <c r="AH131" s="431"/>
      <c r="AI131" s="521" t="e">
        <f t="shared" si="262"/>
        <v>#N/A</v>
      </c>
      <c r="AJ131" s="500" t="e">
        <f t="shared" si="263"/>
        <v>#N/A</v>
      </c>
      <c r="AK131" s="285" t="e">
        <f t="shared" si="235"/>
        <v>#N/A</v>
      </c>
      <c r="AL131" s="323" t="e">
        <f t="shared" si="236"/>
        <v>#N/A</v>
      </c>
      <c r="AM131" s="474"/>
      <c r="AN131" s="1038">
        <f t="shared" si="264"/>
        <v>0</v>
      </c>
      <c r="AO131" s="1324">
        <f t="shared" si="265"/>
        <v>0</v>
      </c>
      <c r="AP131" s="1324">
        <f t="shared" si="266"/>
        <v>0</v>
      </c>
      <c r="AQ131" s="1324">
        <f t="shared" si="267"/>
        <v>0</v>
      </c>
      <c r="AR131" s="1324">
        <f t="shared" si="268"/>
        <v>0</v>
      </c>
      <c r="AS131" s="1324">
        <f t="shared" si="269"/>
        <v>0</v>
      </c>
      <c r="AT131" s="1325">
        <f t="shared" si="270"/>
        <v>0</v>
      </c>
      <c r="AU131" s="521" t="e">
        <f t="shared" si="244"/>
        <v>#N/A</v>
      </c>
      <c r="AV131" s="1333" t="e">
        <f t="shared" si="245"/>
        <v>#N/A</v>
      </c>
      <c r="AW131" s="1333" t="e">
        <f t="shared" si="246"/>
        <v>#N/A</v>
      </c>
      <c r="AX131" s="1333" t="e">
        <f t="shared" si="247"/>
        <v>#N/A</v>
      </c>
      <c r="AY131" s="1333" t="e">
        <f t="shared" si="248"/>
        <v>#N/A</v>
      </c>
      <c r="AZ131" s="500" t="e">
        <f t="shared" si="249"/>
        <v>#N/A</v>
      </c>
    </row>
    <row r="132" spans="2:52" x14ac:dyDescent="0.25">
      <c r="B132" s="327">
        <v>14</v>
      </c>
      <c r="C132" s="347">
        <f>TREND(C117:C118,B117:B118,B132)</f>
        <v>0</v>
      </c>
      <c r="D132" s="372">
        <f>TREND(D117:D118,B117:B118,B132)</f>
        <v>0</v>
      </c>
      <c r="E132" s="373">
        <f>TREND(E117:E118,B117:B118,B132)</f>
        <v>55</v>
      </c>
      <c r="F132" s="374">
        <f>TREND(F117:F118,B117:B118,B132)</f>
        <v>55</v>
      </c>
      <c r="G132" s="339">
        <f t="shared" si="216"/>
        <v>0</v>
      </c>
      <c r="H132" s="436">
        <f t="shared" si="217"/>
        <v>0</v>
      </c>
      <c r="I132" s="521" t="e">
        <f t="shared" si="251"/>
        <v>#N/A</v>
      </c>
      <c r="J132" s="500" t="e">
        <f t="shared" si="252"/>
        <v>#N/A</v>
      </c>
      <c r="K132" s="521" t="e">
        <f t="shared" si="253"/>
        <v>#N/A</v>
      </c>
      <c r="L132" s="500" t="e">
        <f t="shared" si="254"/>
        <v>#N/A</v>
      </c>
      <c r="M132" s="285" t="e">
        <f t="shared" si="250"/>
        <v>#N/A</v>
      </c>
      <c r="N132" s="323" t="e">
        <f t="shared" si="220"/>
        <v>#N/A</v>
      </c>
      <c r="O132" s="474"/>
      <c r="P132" s="1038">
        <f t="shared" si="255"/>
        <v>0</v>
      </c>
      <c r="Q132" s="1324">
        <f t="shared" si="256"/>
        <v>0</v>
      </c>
      <c r="R132" s="1324">
        <f t="shared" si="257"/>
        <v>0</v>
      </c>
      <c r="S132" s="1324">
        <f t="shared" si="258"/>
        <v>0</v>
      </c>
      <c r="T132" s="1324">
        <f t="shared" si="259"/>
        <v>0</v>
      </c>
      <c r="U132" s="1324">
        <f t="shared" si="260"/>
        <v>0</v>
      </c>
      <c r="V132" s="1325">
        <f t="shared" si="261"/>
        <v>0</v>
      </c>
      <c r="W132" s="521" t="e">
        <f t="shared" si="228"/>
        <v>#N/A</v>
      </c>
      <c r="X132" s="1333" t="e">
        <f t="shared" si="229"/>
        <v>#N/A</v>
      </c>
      <c r="Y132" s="1333" t="e">
        <f t="shared" si="230"/>
        <v>#N/A</v>
      </c>
      <c r="Z132" s="1333" t="e">
        <f t="shared" si="231"/>
        <v>#N/A</v>
      </c>
      <c r="AA132" s="1333" t="e">
        <f t="shared" si="232"/>
        <v>#N/A</v>
      </c>
      <c r="AB132" s="500" t="e">
        <f t="shared" si="233"/>
        <v>#N/A</v>
      </c>
      <c r="AD132" s="327">
        <v>14</v>
      </c>
      <c r="AE132" s="347">
        <f>TREND(AE117:AE118,AD117:AD118,AD132)</f>
        <v>0</v>
      </c>
      <c r="AF132" s="630">
        <f>TREND(AF117:AF118,AD117:AD118,AD132)</f>
        <v>0</v>
      </c>
      <c r="AG132" s="428"/>
      <c r="AH132" s="431"/>
      <c r="AI132" s="521" t="e">
        <f t="shared" si="262"/>
        <v>#N/A</v>
      </c>
      <c r="AJ132" s="500" t="e">
        <f t="shared" si="263"/>
        <v>#N/A</v>
      </c>
      <c r="AK132" s="285" t="e">
        <f t="shared" si="235"/>
        <v>#N/A</v>
      </c>
      <c r="AL132" s="323" t="e">
        <f t="shared" si="236"/>
        <v>#N/A</v>
      </c>
      <c r="AM132" s="474"/>
      <c r="AN132" s="1038">
        <f t="shared" si="264"/>
        <v>0</v>
      </c>
      <c r="AO132" s="1324">
        <f t="shared" si="265"/>
        <v>0</v>
      </c>
      <c r="AP132" s="1324">
        <f t="shared" si="266"/>
        <v>0</v>
      </c>
      <c r="AQ132" s="1324">
        <f t="shared" si="267"/>
        <v>0</v>
      </c>
      <c r="AR132" s="1324">
        <f t="shared" si="268"/>
        <v>0</v>
      </c>
      <c r="AS132" s="1324">
        <f t="shared" si="269"/>
        <v>0</v>
      </c>
      <c r="AT132" s="1325">
        <f t="shared" si="270"/>
        <v>0</v>
      </c>
      <c r="AU132" s="521" t="e">
        <f t="shared" si="244"/>
        <v>#N/A</v>
      </c>
      <c r="AV132" s="1333" t="e">
        <f t="shared" si="245"/>
        <v>#N/A</v>
      </c>
      <c r="AW132" s="1333" t="e">
        <f t="shared" si="246"/>
        <v>#N/A</v>
      </c>
      <c r="AX132" s="1333" t="e">
        <f t="shared" si="247"/>
        <v>#N/A</v>
      </c>
      <c r="AY132" s="1333" t="e">
        <f t="shared" si="248"/>
        <v>#N/A</v>
      </c>
      <c r="AZ132" s="500" t="e">
        <f t="shared" si="249"/>
        <v>#N/A</v>
      </c>
    </row>
    <row r="133" spans="2:52" x14ac:dyDescent="0.25">
      <c r="B133" s="327">
        <v>15</v>
      </c>
      <c r="C133" s="347">
        <f>TREND(C117:C118,B117:B118,B133)</f>
        <v>0</v>
      </c>
      <c r="D133" s="372">
        <f>TREND(D117:D118,B117:B118,B133)</f>
        <v>0</v>
      </c>
      <c r="E133" s="373">
        <f>TREND(E117:E118,B117:B118,B133)</f>
        <v>55</v>
      </c>
      <c r="F133" s="374">
        <f>TREND(F117:F118,B117:B118,B133)</f>
        <v>55</v>
      </c>
      <c r="G133" s="339">
        <f t="shared" si="216"/>
        <v>0</v>
      </c>
      <c r="H133" s="436">
        <f t="shared" si="217"/>
        <v>0</v>
      </c>
      <c r="I133" s="521" t="e">
        <f t="shared" si="251"/>
        <v>#N/A</v>
      </c>
      <c r="J133" s="500" t="e">
        <f t="shared" si="252"/>
        <v>#N/A</v>
      </c>
      <c r="K133" s="521" t="e">
        <f t="shared" si="253"/>
        <v>#N/A</v>
      </c>
      <c r="L133" s="500" t="e">
        <f t="shared" si="254"/>
        <v>#N/A</v>
      </c>
      <c r="M133" s="285" t="e">
        <f t="shared" si="250"/>
        <v>#N/A</v>
      </c>
      <c r="N133" s="323" t="e">
        <f t="shared" si="220"/>
        <v>#N/A</v>
      </c>
      <c r="O133" s="474"/>
      <c r="P133" s="1038">
        <f t="shared" si="255"/>
        <v>0</v>
      </c>
      <c r="Q133" s="1324">
        <f t="shared" si="256"/>
        <v>0</v>
      </c>
      <c r="R133" s="1324">
        <f t="shared" si="257"/>
        <v>0</v>
      </c>
      <c r="S133" s="1324">
        <f t="shared" si="258"/>
        <v>0</v>
      </c>
      <c r="T133" s="1324">
        <f t="shared" si="259"/>
        <v>0</v>
      </c>
      <c r="U133" s="1324">
        <f t="shared" si="260"/>
        <v>0</v>
      </c>
      <c r="V133" s="1325">
        <f t="shared" si="261"/>
        <v>0</v>
      </c>
      <c r="W133" s="521" t="e">
        <f t="shared" si="228"/>
        <v>#N/A</v>
      </c>
      <c r="X133" s="1333" t="e">
        <f t="shared" si="229"/>
        <v>#N/A</v>
      </c>
      <c r="Y133" s="1333" t="e">
        <f t="shared" si="230"/>
        <v>#N/A</v>
      </c>
      <c r="Z133" s="1333" t="e">
        <f t="shared" si="231"/>
        <v>#N/A</v>
      </c>
      <c r="AA133" s="1333" t="e">
        <f t="shared" si="232"/>
        <v>#N/A</v>
      </c>
      <c r="AB133" s="500" t="e">
        <f t="shared" si="233"/>
        <v>#N/A</v>
      </c>
      <c r="AD133" s="327">
        <v>15</v>
      </c>
      <c r="AE133" s="347">
        <f>TREND(AE117:AE118,AD117:AD118,AD133)</f>
        <v>0</v>
      </c>
      <c r="AF133" s="630">
        <f>TREND(AF117:AF118,AD117:AD118,AD133)</f>
        <v>0</v>
      </c>
      <c r="AG133" s="428"/>
      <c r="AH133" s="431"/>
      <c r="AI133" s="521" t="e">
        <f t="shared" si="262"/>
        <v>#N/A</v>
      </c>
      <c r="AJ133" s="500" t="e">
        <f t="shared" si="263"/>
        <v>#N/A</v>
      </c>
      <c r="AK133" s="285" t="e">
        <f t="shared" si="235"/>
        <v>#N/A</v>
      </c>
      <c r="AL133" s="323" t="e">
        <f t="shared" si="236"/>
        <v>#N/A</v>
      </c>
      <c r="AM133" s="474"/>
      <c r="AN133" s="1038">
        <f t="shared" si="264"/>
        <v>0</v>
      </c>
      <c r="AO133" s="1324">
        <f t="shared" si="265"/>
        <v>0</v>
      </c>
      <c r="AP133" s="1324">
        <f t="shared" si="266"/>
        <v>0</v>
      </c>
      <c r="AQ133" s="1324">
        <f t="shared" si="267"/>
        <v>0</v>
      </c>
      <c r="AR133" s="1324">
        <f t="shared" si="268"/>
        <v>0</v>
      </c>
      <c r="AS133" s="1324">
        <f t="shared" si="269"/>
        <v>0</v>
      </c>
      <c r="AT133" s="1325">
        <f t="shared" si="270"/>
        <v>0</v>
      </c>
      <c r="AU133" s="521" t="e">
        <f t="shared" si="244"/>
        <v>#N/A</v>
      </c>
      <c r="AV133" s="1333" t="e">
        <f t="shared" si="245"/>
        <v>#N/A</v>
      </c>
      <c r="AW133" s="1333" t="e">
        <f t="shared" si="246"/>
        <v>#N/A</v>
      </c>
      <c r="AX133" s="1333" t="e">
        <f t="shared" si="247"/>
        <v>#N/A</v>
      </c>
      <c r="AY133" s="1333" t="e">
        <f t="shared" si="248"/>
        <v>#N/A</v>
      </c>
      <c r="AZ133" s="500" t="e">
        <f t="shared" si="249"/>
        <v>#N/A</v>
      </c>
    </row>
    <row r="134" spans="2:52" x14ac:dyDescent="0.25">
      <c r="B134" s="327">
        <v>16</v>
      </c>
      <c r="C134" s="347">
        <f>TREND(C117:C118,B117:B118,B134)</f>
        <v>0</v>
      </c>
      <c r="D134" s="372">
        <f>TREND(D117:D118,B117:B118,B134)</f>
        <v>0</v>
      </c>
      <c r="E134" s="373">
        <f>TREND(E117:E118,B117:B118,B134)</f>
        <v>55</v>
      </c>
      <c r="F134" s="374">
        <f>TREND(F117:F118,B117:B118,B134)</f>
        <v>55</v>
      </c>
      <c r="G134" s="339">
        <f t="shared" si="216"/>
        <v>0</v>
      </c>
      <c r="H134" s="436">
        <f t="shared" si="217"/>
        <v>0</v>
      </c>
      <c r="I134" s="521" t="e">
        <f t="shared" si="251"/>
        <v>#N/A</v>
      </c>
      <c r="J134" s="500" t="e">
        <f t="shared" si="252"/>
        <v>#N/A</v>
      </c>
      <c r="K134" s="521" t="e">
        <f t="shared" si="253"/>
        <v>#N/A</v>
      </c>
      <c r="L134" s="500" t="e">
        <f t="shared" si="254"/>
        <v>#N/A</v>
      </c>
      <c r="M134" s="285" t="e">
        <f t="shared" si="250"/>
        <v>#N/A</v>
      </c>
      <c r="N134" s="323" t="e">
        <f t="shared" si="220"/>
        <v>#N/A</v>
      </c>
      <c r="O134" s="474"/>
      <c r="P134" s="1038">
        <f t="shared" si="255"/>
        <v>0</v>
      </c>
      <c r="Q134" s="1324">
        <f t="shared" si="256"/>
        <v>0</v>
      </c>
      <c r="R134" s="1324">
        <f t="shared" si="257"/>
        <v>0</v>
      </c>
      <c r="S134" s="1324">
        <f t="shared" si="258"/>
        <v>0</v>
      </c>
      <c r="T134" s="1324">
        <f t="shared" si="259"/>
        <v>0</v>
      </c>
      <c r="U134" s="1324">
        <f t="shared" si="260"/>
        <v>0</v>
      </c>
      <c r="V134" s="1325">
        <f t="shared" si="261"/>
        <v>0</v>
      </c>
      <c r="W134" s="521" t="e">
        <f t="shared" si="228"/>
        <v>#N/A</v>
      </c>
      <c r="X134" s="1333" t="e">
        <f t="shared" si="229"/>
        <v>#N/A</v>
      </c>
      <c r="Y134" s="1333" t="e">
        <f t="shared" si="230"/>
        <v>#N/A</v>
      </c>
      <c r="Z134" s="1333" t="e">
        <f t="shared" si="231"/>
        <v>#N/A</v>
      </c>
      <c r="AA134" s="1333" t="e">
        <f t="shared" si="232"/>
        <v>#N/A</v>
      </c>
      <c r="AB134" s="500" t="e">
        <f t="shared" si="233"/>
        <v>#N/A</v>
      </c>
      <c r="AD134" s="327">
        <v>16</v>
      </c>
      <c r="AE134" s="347">
        <f>TREND(AE117:AE118,AD117:AD118,AD134)</f>
        <v>0</v>
      </c>
      <c r="AF134" s="630">
        <f>TREND(AF117:AF118,AD117:AD118,AD134)</f>
        <v>0</v>
      </c>
      <c r="AG134" s="428"/>
      <c r="AH134" s="431"/>
      <c r="AI134" s="521" t="e">
        <f t="shared" si="262"/>
        <v>#N/A</v>
      </c>
      <c r="AJ134" s="500" t="e">
        <f t="shared" si="263"/>
        <v>#N/A</v>
      </c>
      <c r="AK134" s="285" t="e">
        <f t="shared" si="235"/>
        <v>#N/A</v>
      </c>
      <c r="AL134" s="323" t="e">
        <f t="shared" si="236"/>
        <v>#N/A</v>
      </c>
      <c r="AM134" s="474"/>
      <c r="AN134" s="1038">
        <f t="shared" si="264"/>
        <v>0</v>
      </c>
      <c r="AO134" s="1324">
        <f t="shared" si="265"/>
        <v>0</v>
      </c>
      <c r="AP134" s="1324">
        <f t="shared" si="266"/>
        <v>0</v>
      </c>
      <c r="AQ134" s="1324">
        <f t="shared" si="267"/>
        <v>0</v>
      </c>
      <c r="AR134" s="1324">
        <f t="shared" si="268"/>
        <v>0</v>
      </c>
      <c r="AS134" s="1324">
        <f t="shared" si="269"/>
        <v>0</v>
      </c>
      <c r="AT134" s="1325">
        <f t="shared" si="270"/>
        <v>0</v>
      </c>
      <c r="AU134" s="521" t="e">
        <f t="shared" si="244"/>
        <v>#N/A</v>
      </c>
      <c r="AV134" s="1333" t="e">
        <f t="shared" si="245"/>
        <v>#N/A</v>
      </c>
      <c r="AW134" s="1333" t="e">
        <f t="shared" si="246"/>
        <v>#N/A</v>
      </c>
      <c r="AX134" s="1333" t="e">
        <f t="shared" si="247"/>
        <v>#N/A</v>
      </c>
      <c r="AY134" s="1333" t="e">
        <f t="shared" si="248"/>
        <v>#N/A</v>
      </c>
      <c r="AZ134" s="500" t="e">
        <f t="shared" si="249"/>
        <v>#N/A</v>
      </c>
    </row>
    <row r="135" spans="2:52" x14ac:dyDescent="0.25">
      <c r="B135" s="327">
        <v>17</v>
      </c>
      <c r="C135" s="347">
        <f>TREND(C117:C118,B117:B118,B135)</f>
        <v>0</v>
      </c>
      <c r="D135" s="372">
        <f>TREND(D117:D118,B117:B118,B135)</f>
        <v>0</v>
      </c>
      <c r="E135" s="373">
        <f>TREND(E117:E118,B117:B118,B135)</f>
        <v>55</v>
      </c>
      <c r="F135" s="374">
        <f>TREND(F117:F118,B117:B118,B135)</f>
        <v>55</v>
      </c>
      <c r="G135" s="339">
        <f t="shared" si="216"/>
        <v>0</v>
      </c>
      <c r="H135" s="436">
        <f t="shared" si="217"/>
        <v>0</v>
      </c>
      <c r="I135" s="521" t="e">
        <f t="shared" si="251"/>
        <v>#N/A</v>
      </c>
      <c r="J135" s="500" t="e">
        <f t="shared" si="252"/>
        <v>#N/A</v>
      </c>
      <c r="K135" s="521" t="e">
        <f t="shared" si="253"/>
        <v>#N/A</v>
      </c>
      <c r="L135" s="500" t="e">
        <f t="shared" si="254"/>
        <v>#N/A</v>
      </c>
      <c r="M135" s="285" t="e">
        <f t="shared" si="250"/>
        <v>#N/A</v>
      </c>
      <c r="N135" s="323" t="e">
        <f t="shared" si="220"/>
        <v>#N/A</v>
      </c>
      <c r="O135" s="474"/>
      <c r="P135" s="1038">
        <f t="shared" si="255"/>
        <v>0</v>
      </c>
      <c r="Q135" s="1324">
        <f t="shared" si="256"/>
        <v>0</v>
      </c>
      <c r="R135" s="1324">
        <f t="shared" si="257"/>
        <v>0</v>
      </c>
      <c r="S135" s="1324">
        <f t="shared" si="258"/>
        <v>0</v>
      </c>
      <c r="T135" s="1324">
        <f t="shared" si="259"/>
        <v>0</v>
      </c>
      <c r="U135" s="1324">
        <f t="shared" si="260"/>
        <v>0</v>
      </c>
      <c r="V135" s="1325">
        <f t="shared" si="261"/>
        <v>0</v>
      </c>
      <c r="W135" s="521" t="e">
        <f t="shared" si="228"/>
        <v>#N/A</v>
      </c>
      <c r="X135" s="1333" t="e">
        <f t="shared" si="229"/>
        <v>#N/A</v>
      </c>
      <c r="Y135" s="1333" t="e">
        <f t="shared" si="230"/>
        <v>#N/A</v>
      </c>
      <c r="Z135" s="1333" t="e">
        <f t="shared" si="231"/>
        <v>#N/A</v>
      </c>
      <c r="AA135" s="1333" t="e">
        <f t="shared" si="232"/>
        <v>#N/A</v>
      </c>
      <c r="AB135" s="500" t="e">
        <f t="shared" si="233"/>
        <v>#N/A</v>
      </c>
      <c r="AD135" s="327">
        <v>17</v>
      </c>
      <c r="AE135" s="347">
        <f>TREND(AE117:AE118,AD117:AD118,AD135)</f>
        <v>0</v>
      </c>
      <c r="AF135" s="630">
        <f>TREND(AF117:AF118,AD117:AD118,AD135)</f>
        <v>0</v>
      </c>
      <c r="AG135" s="428"/>
      <c r="AH135" s="431"/>
      <c r="AI135" s="521" t="e">
        <f t="shared" si="262"/>
        <v>#N/A</v>
      </c>
      <c r="AJ135" s="500" t="e">
        <f t="shared" si="263"/>
        <v>#N/A</v>
      </c>
      <c r="AK135" s="285" t="e">
        <f t="shared" si="235"/>
        <v>#N/A</v>
      </c>
      <c r="AL135" s="323" t="e">
        <f t="shared" si="236"/>
        <v>#N/A</v>
      </c>
      <c r="AM135" s="474"/>
      <c r="AN135" s="1038">
        <f t="shared" si="264"/>
        <v>0</v>
      </c>
      <c r="AO135" s="1324">
        <f t="shared" si="265"/>
        <v>0</v>
      </c>
      <c r="AP135" s="1324">
        <f t="shared" si="266"/>
        <v>0</v>
      </c>
      <c r="AQ135" s="1324">
        <f t="shared" si="267"/>
        <v>0</v>
      </c>
      <c r="AR135" s="1324">
        <f t="shared" si="268"/>
        <v>0</v>
      </c>
      <c r="AS135" s="1324">
        <f t="shared" si="269"/>
        <v>0</v>
      </c>
      <c r="AT135" s="1325">
        <f t="shared" si="270"/>
        <v>0</v>
      </c>
      <c r="AU135" s="521" t="e">
        <f t="shared" si="244"/>
        <v>#N/A</v>
      </c>
      <c r="AV135" s="1333" t="e">
        <f t="shared" si="245"/>
        <v>#N/A</v>
      </c>
      <c r="AW135" s="1333" t="e">
        <f t="shared" si="246"/>
        <v>#N/A</v>
      </c>
      <c r="AX135" s="1333" t="e">
        <f t="shared" si="247"/>
        <v>#N/A</v>
      </c>
      <c r="AY135" s="1333" t="e">
        <f t="shared" si="248"/>
        <v>#N/A</v>
      </c>
      <c r="AZ135" s="500" t="e">
        <f t="shared" si="249"/>
        <v>#N/A</v>
      </c>
    </row>
    <row r="136" spans="2:52" x14ac:dyDescent="0.25">
      <c r="B136" s="327">
        <v>18</v>
      </c>
      <c r="C136" s="347">
        <f>TREND(C117:C118,B117:B118,B136)</f>
        <v>0</v>
      </c>
      <c r="D136" s="372">
        <f>TREND(D117:D118,B117:B118,B136)</f>
        <v>0</v>
      </c>
      <c r="E136" s="373">
        <f>TREND(E117:E118,B117:B118,B136)</f>
        <v>55</v>
      </c>
      <c r="F136" s="374">
        <f>TREND(F117:F118,B117:B118,B136)</f>
        <v>55</v>
      </c>
      <c r="G136" s="339">
        <f t="shared" si="216"/>
        <v>0</v>
      </c>
      <c r="H136" s="436">
        <f t="shared" si="217"/>
        <v>0</v>
      </c>
      <c r="I136" s="521" t="e">
        <f t="shared" si="251"/>
        <v>#N/A</v>
      </c>
      <c r="J136" s="500" t="e">
        <f t="shared" si="252"/>
        <v>#N/A</v>
      </c>
      <c r="K136" s="521" t="e">
        <f t="shared" si="253"/>
        <v>#N/A</v>
      </c>
      <c r="L136" s="500" t="e">
        <f t="shared" si="254"/>
        <v>#N/A</v>
      </c>
      <c r="M136" s="285" t="e">
        <f t="shared" si="250"/>
        <v>#N/A</v>
      </c>
      <c r="N136" s="323" t="e">
        <f t="shared" si="220"/>
        <v>#N/A</v>
      </c>
      <c r="O136" s="474"/>
      <c r="P136" s="1038">
        <f t="shared" si="255"/>
        <v>0</v>
      </c>
      <c r="Q136" s="1324">
        <f t="shared" si="256"/>
        <v>0</v>
      </c>
      <c r="R136" s="1324">
        <f t="shared" si="257"/>
        <v>0</v>
      </c>
      <c r="S136" s="1324">
        <f t="shared" si="258"/>
        <v>0</v>
      </c>
      <c r="T136" s="1324">
        <f t="shared" si="259"/>
        <v>0</v>
      </c>
      <c r="U136" s="1324">
        <f t="shared" si="260"/>
        <v>0</v>
      </c>
      <c r="V136" s="1325">
        <f t="shared" si="261"/>
        <v>0</v>
      </c>
      <c r="W136" s="521" t="e">
        <f t="shared" si="228"/>
        <v>#N/A</v>
      </c>
      <c r="X136" s="1333" t="e">
        <f t="shared" si="229"/>
        <v>#N/A</v>
      </c>
      <c r="Y136" s="1333" t="e">
        <f t="shared" si="230"/>
        <v>#N/A</v>
      </c>
      <c r="Z136" s="1333" t="e">
        <f t="shared" si="231"/>
        <v>#N/A</v>
      </c>
      <c r="AA136" s="1333" t="e">
        <f t="shared" si="232"/>
        <v>#N/A</v>
      </c>
      <c r="AB136" s="500" t="e">
        <f t="shared" si="233"/>
        <v>#N/A</v>
      </c>
      <c r="AD136" s="327">
        <v>18</v>
      </c>
      <c r="AE136" s="347">
        <f>TREND(AE117:AE118,AD117:AD118,AD136)</f>
        <v>0</v>
      </c>
      <c r="AF136" s="630">
        <f>TREND(AF117:AF118,AD117:AD118,AD136)</f>
        <v>0</v>
      </c>
      <c r="AG136" s="428"/>
      <c r="AH136" s="431"/>
      <c r="AI136" s="521" t="e">
        <f t="shared" si="262"/>
        <v>#N/A</v>
      </c>
      <c r="AJ136" s="500" t="e">
        <f t="shared" si="263"/>
        <v>#N/A</v>
      </c>
      <c r="AK136" s="285" t="e">
        <f t="shared" si="235"/>
        <v>#N/A</v>
      </c>
      <c r="AL136" s="323" t="e">
        <f t="shared" si="236"/>
        <v>#N/A</v>
      </c>
      <c r="AM136" s="474"/>
      <c r="AN136" s="1038">
        <f t="shared" si="264"/>
        <v>0</v>
      </c>
      <c r="AO136" s="1324">
        <f t="shared" si="265"/>
        <v>0</v>
      </c>
      <c r="AP136" s="1324">
        <f t="shared" si="266"/>
        <v>0</v>
      </c>
      <c r="AQ136" s="1324">
        <f t="shared" si="267"/>
        <v>0</v>
      </c>
      <c r="AR136" s="1324">
        <f t="shared" si="268"/>
        <v>0</v>
      </c>
      <c r="AS136" s="1324">
        <f t="shared" si="269"/>
        <v>0</v>
      </c>
      <c r="AT136" s="1325">
        <f t="shared" si="270"/>
        <v>0</v>
      </c>
      <c r="AU136" s="521" t="e">
        <f t="shared" si="244"/>
        <v>#N/A</v>
      </c>
      <c r="AV136" s="1333" t="e">
        <f t="shared" si="245"/>
        <v>#N/A</v>
      </c>
      <c r="AW136" s="1333" t="e">
        <f t="shared" si="246"/>
        <v>#N/A</v>
      </c>
      <c r="AX136" s="1333" t="e">
        <f t="shared" si="247"/>
        <v>#N/A</v>
      </c>
      <c r="AY136" s="1333" t="e">
        <f t="shared" si="248"/>
        <v>#N/A</v>
      </c>
      <c r="AZ136" s="500" t="e">
        <f t="shared" si="249"/>
        <v>#N/A</v>
      </c>
    </row>
    <row r="137" spans="2:52" x14ac:dyDescent="0.25">
      <c r="B137" s="359">
        <v>19</v>
      </c>
      <c r="C137" s="360">
        <f>TREND(C117:C118,B117:B118,B137)</f>
        <v>0</v>
      </c>
      <c r="D137" s="375">
        <f>TREND(D117:D118,B117:B118,B137)</f>
        <v>0</v>
      </c>
      <c r="E137" s="376">
        <f>TREND(E117:E118,B117:B118,B137)</f>
        <v>55</v>
      </c>
      <c r="F137" s="377">
        <f>TREND(F117:F118,B117:B118,B137)</f>
        <v>55</v>
      </c>
      <c r="G137" s="339">
        <f t="shared" si="216"/>
        <v>0</v>
      </c>
      <c r="H137" s="435">
        <f t="shared" si="217"/>
        <v>0</v>
      </c>
      <c r="I137" s="520" t="e">
        <f t="shared" si="251"/>
        <v>#N/A</v>
      </c>
      <c r="J137" s="499" t="e">
        <f t="shared" si="252"/>
        <v>#N/A</v>
      </c>
      <c r="K137" s="520" t="e">
        <f t="shared" si="253"/>
        <v>#N/A</v>
      </c>
      <c r="L137" s="499" t="e">
        <f t="shared" si="254"/>
        <v>#N/A</v>
      </c>
      <c r="M137" s="285" t="e">
        <f t="shared" si="250"/>
        <v>#N/A</v>
      </c>
      <c r="N137" s="323" t="e">
        <f t="shared" si="220"/>
        <v>#N/A</v>
      </c>
      <c r="O137" s="474"/>
      <c r="P137" s="1037">
        <f t="shared" si="255"/>
        <v>0</v>
      </c>
      <c r="Q137" s="1322">
        <f t="shared" si="256"/>
        <v>0</v>
      </c>
      <c r="R137" s="1322">
        <f t="shared" si="257"/>
        <v>0</v>
      </c>
      <c r="S137" s="1322">
        <f t="shared" si="258"/>
        <v>0</v>
      </c>
      <c r="T137" s="1322">
        <f t="shared" si="259"/>
        <v>0</v>
      </c>
      <c r="U137" s="1322">
        <f t="shared" si="260"/>
        <v>0</v>
      </c>
      <c r="V137" s="1326">
        <f t="shared" si="261"/>
        <v>0</v>
      </c>
      <c r="W137" s="520" t="e">
        <f t="shared" si="228"/>
        <v>#N/A</v>
      </c>
      <c r="X137" s="1332" t="e">
        <f t="shared" si="229"/>
        <v>#N/A</v>
      </c>
      <c r="Y137" s="1332" t="e">
        <f t="shared" si="230"/>
        <v>#N/A</v>
      </c>
      <c r="Z137" s="1332" t="e">
        <f t="shared" si="231"/>
        <v>#N/A</v>
      </c>
      <c r="AA137" s="1332" t="e">
        <f t="shared" si="232"/>
        <v>#N/A</v>
      </c>
      <c r="AB137" s="499" t="e">
        <f t="shared" si="233"/>
        <v>#N/A</v>
      </c>
      <c r="AD137" s="359">
        <v>19</v>
      </c>
      <c r="AE137" s="360">
        <f>TREND(AE117:AE118,AD117:AD118,AD137)</f>
        <v>0</v>
      </c>
      <c r="AF137" s="631">
        <f>TREND(AF117:AF118,AD117:AD118,AD137)</f>
        <v>0</v>
      </c>
      <c r="AG137" s="428"/>
      <c r="AH137" s="430"/>
      <c r="AI137" s="520" t="e">
        <f t="shared" si="262"/>
        <v>#N/A</v>
      </c>
      <c r="AJ137" s="499" t="e">
        <f t="shared" si="263"/>
        <v>#N/A</v>
      </c>
      <c r="AK137" s="285" t="e">
        <f t="shared" si="235"/>
        <v>#N/A</v>
      </c>
      <c r="AL137" s="323" t="e">
        <f t="shared" si="236"/>
        <v>#N/A</v>
      </c>
      <c r="AM137" s="474"/>
      <c r="AN137" s="1037">
        <f t="shared" si="264"/>
        <v>0</v>
      </c>
      <c r="AO137" s="1322">
        <f t="shared" si="265"/>
        <v>0</v>
      </c>
      <c r="AP137" s="1322">
        <f t="shared" si="266"/>
        <v>0</v>
      </c>
      <c r="AQ137" s="1322">
        <f t="shared" si="267"/>
        <v>0</v>
      </c>
      <c r="AR137" s="1322">
        <f t="shared" si="268"/>
        <v>0</v>
      </c>
      <c r="AS137" s="1322">
        <f t="shared" si="269"/>
        <v>0</v>
      </c>
      <c r="AT137" s="1326">
        <f t="shared" si="270"/>
        <v>0</v>
      </c>
      <c r="AU137" s="520" t="e">
        <f t="shared" si="244"/>
        <v>#N/A</v>
      </c>
      <c r="AV137" s="1332" t="e">
        <f t="shared" si="245"/>
        <v>#N/A</v>
      </c>
      <c r="AW137" s="1332" t="e">
        <f t="shared" si="246"/>
        <v>#N/A</v>
      </c>
      <c r="AX137" s="1332" t="e">
        <f t="shared" si="247"/>
        <v>#N/A</v>
      </c>
      <c r="AY137" s="1332" t="e">
        <f t="shared" si="248"/>
        <v>#N/A</v>
      </c>
      <c r="AZ137" s="499" t="e">
        <f t="shared" si="249"/>
        <v>#N/A</v>
      </c>
    </row>
    <row r="138" spans="2:52" x14ac:dyDescent="0.25">
      <c r="B138" s="357"/>
      <c r="C138" s="355"/>
      <c r="D138" s="355"/>
      <c r="E138" s="355"/>
      <c r="F138" s="355"/>
      <c r="G138" s="356"/>
      <c r="H138" s="356"/>
      <c r="I138" s="356"/>
      <c r="J138" s="356"/>
      <c r="K138" s="356"/>
      <c r="L138" s="356"/>
      <c r="M138" s="356"/>
      <c r="N138" s="358"/>
      <c r="O138" s="475"/>
      <c r="P138" s="358"/>
      <c r="Q138" s="358"/>
      <c r="R138" s="358"/>
      <c r="S138" s="358"/>
      <c r="T138" s="358"/>
      <c r="U138" s="358"/>
      <c r="V138" s="358"/>
      <c r="W138" s="475"/>
      <c r="X138" s="475"/>
      <c r="Y138" s="475"/>
      <c r="Z138" s="475"/>
      <c r="AA138" s="475"/>
      <c r="AB138" s="475"/>
      <c r="AD138" s="357"/>
      <c r="AE138" s="355"/>
      <c r="AF138" s="355"/>
      <c r="AG138" s="356"/>
      <c r="AH138" s="356"/>
      <c r="AI138" s="356"/>
      <c r="AJ138" s="356"/>
      <c r="AK138" s="356"/>
      <c r="AL138" s="358"/>
      <c r="AM138" s="475"/>
      <c r="AN138" s="358"/>
      <c r="AO138" s="358"/>
      <c r="AP138" s="358"/>
      <c r="AQ138" s="358"/>
      <c r="AR138" s="358"/>
      <c r="AS138" s="358"/>
      <c r="AT138" s="358"/>
      <c r="AU138" s="475"/>
      <c r="AV138" s="475"/>
      <c r="AW138" s="475"/>
      <c r="AX138" s="475"/>
      <c r="AY138" s="475"/>
      <c r="AZ138" s="475"/>
    </row>
    <row r="139" spans="2:52" ht="13" x14ac:dyDescent="0.25">
      <c r="B139" s="329" t="s">
        <v>172</v>
      </c>
      <c r="C139" s="330"/>
      <c r="D139" s="331"/>
      <c r="E139" s="331"/>
      <c r="F139" s="331"/>
      <c r="G139" s="331"/>
      <c r="H139" s="331"/>
      <c r="I139" s="331"/>
      <c r="J139" s="332"/>
      <c r="K139" s="331"/>
      <c r="L139" s="332"/>
      <c r="M139" s="341"/>
      <c r="N139" s="342" t="e">
        <f>SUM(N117:N137)</f>
        <v>#N/A</v>
      </c>
      <c r="O139" s="477"/>
      <c r="P139" s="1039">
        <f>SUM(P117:P137)</f>
        <v>0</v>
      </c>
      <c r="Q139" s="1327">
        <f>SUM(Q117:Q137)</f>
        <v>0</v>
      </c>
      <c r="R139" s="1327">
        <f t="shared" ref="R139:V139" si="271">SUM(R117:R137)</f>
        <v>0</v>
      </c>
      <c r="S139" s="1327">
        <f t="shared" si="271"/>
        <v>0</v>
      </c>
      <c r="T139" s="1327">
        <f t="shared" si="271"/>
        <v>0</v>
      </c>
      <c r="U139" s="1327">
        <f t="shared" si="271"/>
        <v>0</v>
      </c>
      <c r="V139" s="1328">
        <f t="shared" si="271"/>
        <v>0</v>
      </c>
      <c r="W139" s="1334" t="e">
        <f>SUM(W117:W137)</f>
        <v>#N/A</v>
      </c>
      <c r="X139" s="1335" t="e">
        <f>SUM(X117:X137)</f>
        <v>#N/A</v>
      </c>
      <c r="Y139" s="1335" t="e">
        <f t="shared" ref="Y139:AB139" si="272">SUM(Y117:Y137)</f>
        <v>#N/A</v>
      </c>
      <c r="Z139" s="1335" t="e">
        <f t="shared" si="272"/>
        <v>#N/A</v>
      </c>
      <c r="AA139" s="1335" t="e">
        <f t="shared" si="272"/>
        <v>#N/A</v>
      </c>
      <c r="AB139" s="1040" t="e">
        <f t="shared" si="272"/>
        <v>#N/A</v>
      </c>
      <c r="AD139" s="329" t="s">
        <v>172</v>
      </c>
      <c r="AE139" s="330"/>
      <c r="AF139" s="331"/>
      <c r="AG139" s="331"/>
      <c r="AH139" s="331"/>
      <c r="AI139" s="331"/>
      <c r="AJ139" s="332"/>
      <c r="AK139" s="341"/>
      <c r="AL139" s="342" t="e">
        <f>SUM(AL117:AL137)</f>
        <v>#N/A</v>
      </c>
      <c r="AM139" s="477"/>
      <c r="AN139" s="1039">
        <f t="shared" ref="AN139" si="273">SUM(AN117:AN137)</f>
        <v>0</v>
      </c>
      <c r="AO139" s="1327">
        <f>SUM(AO117:AO137)</f>
        <v>0</v>
      </c>
      <c r="AP139" s="1327">
        <f t="shared" ref="AP139:AT139" si="274">SUM(AP117:AP137)</f>
        <v>0</v>
      </c>
      <c r="AQ139" s="1327">
        <f t="shared" si="274"/>
        <v>0</v>
      </c>
      <c r="AR139" s="1327">
        <f t="shared" si="274"/>
        <v>0</v>
      </c>
      <c r="AS139" s="1327">
        <f t="shared" si="274"/>
        <v>0</v>
      </c>
      <c r="AT139" s="1328">
        <f t="shared" si="274"/>
        <v>0</v>
      </c>
      <c r="AU139" s="1334" t="e">
        <f t="shared" ref="AU139:AZ139" si="275">SUM(AU117:AU137)</f>
        <v>#N/A</v>
      </c>
      <c r="AV139" s="1335" t="e">
        <f t="shared" si="275"/>
        <v>#N/A</v>
      </c>
      <c r="AW139" s="1335" t="e">
        <f t="shared" si="275"/>
        <v>#N/A</v>
      </c>
      <c r="AX139" s="1335" t="e">
        <f t="shared" si="275"/>
        <v>#N/A</v>
      </c>
      <c r="AY139" s="1335" t="e">
        <f t="shared" si="275"/>
        <v>#N/A</v>
      </c>
      <c r="AZ139" s="1040" t="e">
        <f t="shared" si="275"/>
        <v>#N/A</v>
      </c>
    </row>
    <row r="140" spans="2:52" x14ac:dyDescent="0.25">
      <c r="O140" s="450"/>
      <c r="P140" s="450"/>
      <c r="Q140" s="450"/>
      <c r="R140" s="450"/>
      <c r="S140" s="450"/>
      <c r="T140" s="450"/>
      <c r="U140" s="450"/>
      <c r="V140" s="450"/>
      <c r="W140" s="450"/>
      <c r="X140" s="450"/>
      <c r="Y140" s="450"/>
      <c r="Z140" s="450"/>
      <c r="AA140" s="450"/>
      <c r="AB140" s="450"/>
      <c r="AD140" s="448"/>
      <c r="AE140" s="448"/>
      <c r="AF140" s="449"/>
      <c r="AG140" s="449"/>
      <c r="AH140" s="449"/>
      <c r="AI140" s="450"/>
      <c r="AJ140" s="450"/>
      <c r="AK140" s="450"/>
      <c r="AL140" s="450"/>
      <c r="AM140" s="450"/>
      <c r="AN140" s="450"/>
      <c r="AO140" s="450"/>
      <c r="AP140" s="450"/>
      <c r="AQ140" s="450"/>
      <c r="AR140" s="450"/>
      <c r="AS140" s="450"/>
      <c r="AT140" s="450"/>
      <c r="AU140" s="450"/>
      <c r="AV140" s="450"/>
      <c r="AW140" s="450"/>
      <c r="AX140" s="450"/>
      <c r="AY140" s="450"/>
      <c r="AZ140" s="450"/>
    </row>
    <row r="141" spans="2:52" x14ac:dyDescent="0.25">
      <c r="O141" s="450"/>
      <c r="P141" s="450"/>
      <c r="Q141" s="450"/>
      <c r="R141" s="450"/>
      <c r="S141" s="450"/>
      <c r="T141" s="450"/>
      <c r="U141" s="450"/>
      <c r="V141" s="450"/>
      <c r="W141" s="450"/>
      <c r="X141" s="450"/>
      <c r="Y141" s="450"/>
      <c r="Z141" s="450"/>
      <c r="AA141" s="450"/>
      <c r="AB141" s="450"/>
      <c r="AD141" s="448"/>
      <c r="AE141" s="448"/>
      <c r="AF141" s="449"/>
      <c r="AG141" s="449"/>
      <c r="AH141" s="449"/>
      <c r="AI141" s="450"/>
      <c r="AJ141" s="450"/>
      <c r="AK141" s="450"/>
      <c r="AL141" s="450"/>
      <c r="AM141" s="450"/>
      <c r="AN141" s="450"/>
      <c r="AO141" s="450"/>
      <c r="AP141" s="450"/>
      <c r="AQ141" s="450"/>
      <c r="AR141" s="450"/>
      <c r="AS141" s="450"/>
      <c r="AT141" s="450"/>
      <c r="AU141" s="450"/>
      <c r="AV141" s="450"/>
      <c r="AW141" s="450"/>
      <c r="AX141" s="450"/>
      <c r="AY141" s="450"/>
      <c r="AZ141" s="450"/>
    </row>
    <row r="142" spans="2:52" ht="13" x14ac:dyDescent="0.25">
      <c r="B142" s="350" t="s">
        <v>551</v>
      </c>
      <c r="C142" s="88"/>
      <c r="D142" s="88"/>
      <c r="E142" s="88"/>
      <c r="F142" s="88"/>
      <c r="G142" s="88"/>
      <c r="H142" s="309"/>
      <c r="I142" s="309"/>
      <c r="J142" s="88"/>
      <c r="K142" s="309"/>
      <c r="L142" s="88"/>
      <c r="M142" s="88"/>
      <c r="N142" s="88"/>
      <c r="O142" s="273"/>
      <c r="P142" s="273"/>
      <c r="Q142" s="273"/>
      <c r="R142" s="273"/>
      <c r="S142" s="273"/>
      <c r="T142" s="273"/>
      <c r="U142" s="273"/>
      <c r="V142" s="273"/>
      <c r="W142" s="273"/>
      <c r="X142" s="273"/>
      <c r="Y142" s="273"/>
      <c r="Z142" s="273"/>
      <c r="AA142" s="273"/>
      <c r="AB142" s="273"/>
      <c r="AD142" s="459"/>
      <c r="AE142" s="271"/>
      <c r="AF142" s="271"/>
      <c r="AG142" s="271"/>
      <c r="AH142" s="271"/>
      <c r="AI142" s="309"/>
      <c r="AJ142" s="271"/>
      <c r="AK142" s="271"/>
      <c r="AL142" s="271"/>
      <c r="AM142" s="271"/>
      <c r="AN142" s="271"/>
      <c r="AO142" s="271"/>
      <c r="AP142" s="271"/>
      <c r="AQ142" s="271"/>
      <c r="AR142" s="271"/>
      <c r="AS142" s="271"/>
      <c r="AT142" s="271"/>
      <c r="AU142" s="271"/>
      <c r="AV142" s="271"/>
      <c r="AW142" s="271"/>
      <c r="AX142" s="271"/>
      <c r="AY142" s="271"/>
      <c r="AZ142" s="271"/>
    </row>
    <row r="143" spans="2:52" x14ac:dyDescent="0.25">
      <c r="B143" s="88"/>
      <c r="C143" s="88"/>
      <c r="D143" s="274"/>
      <c r="E143" s="274"/>
      <c r="F143" s="274"/>
      <c r="G143" s="88"/>
      <c r="H143" s="88"/>
      <c r="I143" s="88"/>
      <c r="J143" s="88"/>
      <c r="K143" s="88"/>
      <c r="L143" s="88"/>
      <c r="M143" s="88"/>
      <c r="N143" s="351"/>
      <c r="O143" s="1030"/>
      <c r="P143" s="1030"/>
      <c r="Q143" s="1030"/>
      <c r="R143" s="1030"/>
      <c r="S143" s="1030"/>
      <c r="T143" s="1030"/>
      <c r="U143" s="1030"/>
      <c r="V143" s="1030"/>
      <c r="W143" s="1030"/>
      <c r="X143" s="1030"/>
      <c r="Y143" s="1030"/>
      <c r="Z143" s="1030"/>
      <c r="AA143" s="1030"/>
      <c r="AB143" s="1030"/>
      <c r="AD143" s="271"/>
      <c r="AE143" s="271"/>
      <c r="AF143" s="274"/>
      <c r="AG143" s="274"/>
      <c r="AH143" s="274"/>
      <c r="AI143" s="271"/>
      <c r="AJ143" s="271"/>
      <c r="AK143" s="271"/>
      <c r="AL143" s="460"/>
      <c r="AM143" s="460"/>
      <c r="AN143" s="460"/>
      <c r="AO143" s="460"/>
      <c r="AP143" s="460"/>
      <c r="AQ143" s="460"/>
      <c r="AR143" s="460"/>
      <c r="AS143" s="460"/>
      <c r="AT143" s="460"/>
      <c r="AU143" s="460"/>
      <c r="AV143" s="460"/>
      <c r="AW143" s="460"/>
      <c r="AX143" s="460"/>
      <c r="AY143" s="460"/>
      <c r="AZ143" s="460"/>
    </row>
    <row r="144" spans="2:52" ht="15.5" x14ac:dyDescent="0.25">
      <c r="B144" s="317"/>
      <c r="C144" s="320" t="s">
        <v>230</v>
      </c>
      <c r="D144" s="361"/>
      <c r="E144" s="320" t="s">
        <v>231</v>
      </c>
      <c r="F144" s="333"/>
      <c r="G144" s="335" t="s">
        <v>272</v>
      </c>
      <c r="H144" s="321"/>
      <c r="I144" s="437" t="s">
        <v>510</v>
      </c>
      <c r="J144" s="438"/>
      <c r="K144" s="437" t="s">
        <v>511</v>
      </c>
      <c r="L144" s="438"/>
      <c r="M144" s="322"/>
      <c r="N144" s="343"/>
      <c r="O144" s="271"/>
      <c r="P144" s="437" t="s">
        <v>740</v>
      </c>
      <c r="Q144" s="437"/>
      <c r="R144" s="320"/>
      <c r="S144" s="320"/>
      <c r="T144" s="320"/>
      <c r="U144" s="320"/>
      <c r="V144" s="320"/>
      <c r="W144" s="437" t="s">
        <v>746</v>
      </c>
      <c r="X144" s="438"/>
      <c r="Y144" s="320"/>
      <c r="Z144" s="320"/>
      <c r="AA144" s="320"/>
      <c r="AB144" s="1315"/>
      <c r="AD144" s="271"/>
      <c r="AE144" s="461"/>
      <c r="AF144" s="3"/>
      <c r="AG144" s="461"/>
      <c r="AH144" s="3"/>
      <c r="AI144" s="461"/>
      <c r="AJ144" s="461"/>
      <c r="AK144" s="462"/>
      <c r="AL144" s="271"/>
      <c r="AM144" s="271"/>
      <c r="AN144" s="271"/>
      <c r="AO144" s="271"/>
      <c r="AP144" s="271"/>
      <c r="AQ144" s="271"/>
      <c r="AR144" s="271"/>
      <c r="AS144" s="271"/>
      <c r="AT144" s="271"/>
      <c r="AU144" s="271"/>
      <c r="AV144" s="271"/>
      <c r="AW144" s="271"/>
      <c r="AX144" s="271"/>
      <c r="AY144" s="271"/>
      <c r="AZ144" s="271"/>
    </row>
    <row r="145" spans="2:52" ht="14" x14ac:dyDescent="0.25">
      <c r="B145" s="318"/>
      <c r="C145" s="287" t="s">
        <v>237</v>
      </c>
      <c r="D145" s="362"/>
      <c r="E145" s="287" t="s">
        <v>238</v>
      </c>
      <c r="F145" s="334"/>
      <c r="G145" s="336" t="s">
        <v>274</v>
      </c>
      <c r="H145" s="288"/>
      <c r="I145" s="439" t="s">
        <v>275</v>
      </c>
      <c r="J145" s="440"/>
      <c r="K145" s="439" t="s">
        <v>275</v>
      </c>
      <c r="L145" s="440"/>
      <c r="M145" s="284"/>
      <c r="N145" s="344"/>
      <c r="O145" s="271"/>
      <c r="P145" s="1311" t="s">
        <v>748</v>
      </c>
      <c r="Q145" s="1311"/>
      <c r="R145" s="1312"/>
      <c r="S145" s="1312"/>
      <c r="T145" s="1312"/>
      <c r="U145" s="1312"/>
      <c r="V145" s="1316"/>
      <c r="W145" s="1311" t="s">
        <v>749</v>
      </c>
      <c r="X145" s="288"/>
      <c r="Y145" s="287"/>
      <c r="Z145" s="287"/>
      <c r="AA145" s="287"/>
      <c r="AB145" s="288"/>
      <c r="AD145" s="36"/>
      <c r="AE145" s="463"/>
      <c r="AF145" s="464"/>
      <c r="AG145" s="463"/>
      <c r="AH145" s="464"/>
      <c r="AI145" s="463"/>
      <c r="AJ145" s="463"/>
      <c r="AK145" s="271"/>
      <c r="AL145" s="271"/>
      <c r="AM145" s="271"/>
      <c r="AN145" s="271"/>
      <c r="AO145" s="271"/>
      <c r="AP145" s="271"/>
      <c r="AQ145" s="271"/>
      <c r="AR145" s="271"/>
      <c r="AS145" s="271"/>
      <c r="AT145" s="271"/>
      <c r="AU145" s="271"/>
      <c r="AV145" s="271"/>
      <c r="AW145" s="271"/>
      <c r="AX145" s="271"/>
      <c r="AY145" s="271"/>
      <c r="AZ145" s="271"/>
    </row>
    <row r="146" spans="2:52" ht="14" x14ac:dyDescent="0.25">
      <c r="B146" s="169" t="s">
        <v>135</v>
      </c>
      <c r="C146" s="316"/>
      <c r="D146" s="283"/>
      <c r="E146" s="316"/>
      <c r="F146" s="283"/>
      <c r="G146" s="316"/>
      <c r="H146" s="283"/>
      <c r="I146" s="316"/>
      <c r="J146" s="283"/>
      <c r="K146" s="316"/>
      <c r="L146" s="283"/>
      <c r="M146" s="286" t="s">
        <v>242</v>
      </c>
      <c r="N146" s="345" t="s">
        <v>139</v>
      </c>
      <c r="O146" s="465"/>
      <c r="P146" s="432"/>
      <c r="Q146" s="647"/>
      <c r="R146" s="647"/>
      <c r="S146" s="647"/>
      <c r="T146" s="647"/>
      <c r="U146" s="647"/>
      <c r="V146" s="1313"/>
      <c r="W146" s="432"/>
      <c r="X146" s="647"/>
      <c r="Y146" s="647"/>
      <c r="Z146" s="647"/>
      <c r="AA146" s="647"/>
      <c r="AB146" s="283"/>
      <c r="AD146" s="465"/>
      <c r="AE146" s="466"/>
      <c r="AF146" s="466"/>
      <c r="AG146" s="466"/>
      <c r="AH146" s="466"/>
      <c r="AI146" s="466"/>
      <c r="AJ146" s="466"/>
      <c r="AK146" s="465"/>
      <c r="AL146" s="465"/>
      <c r="AM146" s="465"/>
      <c r="AN146" s="465"/>
      <c r="AO146" s="465"/>
      <c r="AP146" s="465"/>
      <c r="AQ146" s="465"/>
      <c r="AR146" s="465"/>
      <c r="AS146" s="465"/>
      <c r="AT146" s="465"/>
      <c r="AU146" s="465"/>
      <c r="AV146" s="465"/>
      <c r="AW146" s="465"/>
      <c r="AX146" s="465"/>
      <c r="AY146" s="465"/>
      <c r="AZ146" s="465"/>
    </row>
    <row r="147" spans="2:52" ht="17" x14ac:dyDescent="0.25">
      <c r="B147" s="319"/>
      <c r="C147" s="324" t="s">
        <v>0</v>
      </c>
      <c r="D147" s="325" t="s">
        <v>1</v>
      </c>
      <c r="E147" s="324" t="s">
        <v>0</v>
      </c>
      <c r="F147" s="325" t="s">
        <v>1</v>
      </c>
      <c r="G147" s="324" t="s">
        <v>0</v>
      </c>
      <c r="H147" s="325" t="s">
        <v>1</v>
      </c>
      <c r="I147" s="324" t="s">
        <v>0</v>
      </c>
      <c r="J147" s="325" t="s">
        <v>1</v>
      </c>
      <c r="K147" s="324" t="s">
        <v>0</v>
      </c>
      <c r="L147" s="325" t="s">
        <v>1</v>
      </c>
      <c r="M147" s="326" t="s">
        <v>148</v>
      </c>
      <c r="N147" s="346" t="s">
        <v>149</v>
      </c>
      <c r="O147" s="465"/>
      <c r="P147" s="441" t="s">
        <v>380</v>
      </c>
      <c r="Q147" s="648" t="s">
        <v>741</v>
      </c>
      <c r="R147" s="648" t="s">
        <v>742</v>
      </c>
      <c r="S147" s="648" t="s">
        <v>743</v>
      </c>
      <c r="T147" s="648" t="s">
        <v>745</v>
      </c>
      <c r="U147" s="648" t="s">
        <v>384</v>
      </c>
      <c r="V147" s="1314" t="s">
        <v>744</v>
      </c>
      <c r="W147" s="441" t="s">
        <v>380</v>
      </c>
      <c r="X147" s="648" t="s">
        <v>741</v>
      </c>
      <c r="Y147" s="648" t="s">
        <v>742</v>
      </c>
      <c r="Z147" s="648" t="s">
        <v>743</v>
      </c>
      <c r="AA147" s="648" t="s">
        <v>745</v>
      </c>
      <c r="AB147" s="325" t="s">
        <v>384</v>
      </c>
      <c r="AD147" s="467"/>
      <c r="AE147" s="466"/>
      <c r="AF147" s="466"/>
      <c r="AG147" s="466"/>
      <c r="AH147" s="466"/>
      <c r="AI147" s="466"/>
      <c r="AJ147" s="466"/>
      <c r="AK147" s="465"/>
      <c r="AL147" s="465"/>
      <c r="AM147" s="465"/>
      <c r="AN147" s="465"/>
      <c r="AO147" s="465"/>
      <c r="AP147" s="465"/>
      <c r="AQ147" s="465"/>
      <c r="AR147" s="465"/>
      <c r="AS147" s="465"/>
      <c r="AT147" s="465"/>
      <c r="AU147" s="465"/>
      <c r="AV147" s="465"/>
      <c r="AW147" s="465"/>
      <c r="AX147" s="465"/>
      <c r="AY147" s="465"/>
      <c r="AZ147" s="465"/>
    </row>
    <row r="148" spans="2:52" x14ac:dyDescent="0.25">
      <c r="B148" s="327">
        <v>1</v>
      </c>
      <c r="C148" s="348">
        <f>PRV1NB*AnnualFactor</f>
        <v>0</v>
      </c>
      <c r="D148" s="349">
        <f>PRV1B*AnnualFactor</f>
        <v>0</v>
      </c>
      <c r="E148" s="363">
        <f>ROUND(PRS1NB,1)</f>
        <v>5</v>
      </c>
      <c r="F148" s="364">
        <f>ROUND(PRS1B,1)</f>
        <v>5</v>
      </c>
      <c r="G148" s="339">
        <f>SegmentR*C148</f>
        <v>0</v>
      </c>
      <c r="H148" s="434">
        <f>SegmentR*D148</f>
        <v>0</v>
      </c>
      <c r="I148" s="515">
        <f>IF(RADataAvail="Y",G148*0.00000110231131*(VLOOKUP(E148,EmAuto1,2)*VLOOKUP(ProjLoc,EmCost,2)+VLOOKUP(E148,EmAuto1,3)*VLOOKUP(ProjLoc,EmCost,3)*(1+CO2Uprater)^($B148+Construct-1)+VLOOKUP(E148,EmAuto1,4)*VLOOKUP(ProjLoc,EmCost,4)+VLOOKUP(E148,EmAuto1,5)*VLOOKUP(ProjLoc,EmCost,5)+VLOOKUP(E148,EmAuto1,6)*VLOOKUP(ProjLoc,EmCost,6)+VLOOKUP(E148,EmAuto1,7)*VLOOKUP(ProjLoc,EmCost,7)),0)</f>
        <v>0</v>
      </c>
      <c r="J148" s="498">
        <f>IF(RADataAvail="Y",H148*0.00000110231131*(VLOOKUP(F148,EmAuto1,2)*VLOOKUP(ProjLoc,EmCost,2)+VLOOKUP(F148,EmAuto1,3)*VLOOKUP(ProjLoc,EmCost,3)*(1+CO2Uprater)^($B148+Construct-1)+VLOOKUP(F148,EmAuto1,4)*VLOOKUP(ProjLoc,EmCost,4)+VLOOKUP(F148,EmAuto1,5)*VLOOKUP(ProjLoc,EmCost,5)+VLOOKUP(F148,EmAuto1,6)*VLOOKUP(ProjLoc,EmCost,6)+VLOOKUP(F148,EmAuto1,7)*VLOOKUP(ProjLoc,EmCost,7)),0)</f>
        <v>0</v>
      </c>
      <c r="K148" s="515">
        <f>IF(RADataAvail="Y",C148*0.00000110231131*(VLOOKUP(0,EmAuto1,2)*VLOOKUP(ProjLoc,EmCost,2)+VLOOKUP(0,EmAuto1,3)*VLOOKUP(ProjLoc,EmCost,3)*(1+CO2Uprater)^($B148+Construct-1)+VLOOKUP(0,EmAuto1,4)*VLOOKUP(ProjLoc,EmCost,4)+VLOOKUP(0,EmAuto1,5)*VLOOKUP(ProjLoc,EmCost,5)+VLOOKUP(0,EmAuto1,6)*VLOOKUP(ProjLoc,EmCost,6)+VLOOKUP(0,EmAuto1,7)*VLOOKUP(ProjLoc,EmCost,7)),0)</f>
        <v>0</v>
      </c>
      <c r="L148" s="498">
        <f>IF(RADataAvail="Y",D148*0.00000110231131*(VLOOKUP(0,EmAuto1,2)*VLOOKUP(ProjLoc,EmCost,2)+VLOOKUP(0,EmAuto1,3)*VLOOKUP(ProjLoc,EmCost,3)*(1+CO2Uprater)^($B148+Construct-1)+VLOOKUP(0,EmAuto1,4)*VLOOKUP(ProjLoc,EmCost,4)+VLOOKUP(0,EmAuto1,5)*VLOOKUP(ProjLoc,EmCost,5)+VLOOKUP(0,EmAuto1,6)*VLOOKUP(ProjLoc,EmCost,6)+VLOOKUP(0,EmAuto1,7)*VLOOKUP(ProjLoc,EmCost,7)),0)</f>
        <v>0</v>
      </c>
      <c r="M148" s="285">
        <f>(I148+K148)-(J148+L148)</f>
        <v>0</v>
      </c>
      <c r="N148" s="323">
        <f>$M148/(1+DiscRate)^($B148+Construct-1)</f>
        <v>0</v>
      </c>
      <c r="O148" s="474"/>
      <c r="P148" s="1036">
        <f>IF(RADataAvail="Y",0.00000110231131*(G148*VLOOKUP(E148,EmAuto1,2)-H148*VLOOKUP(F148,EmAuto1,2)+(C148-D148)*VLOOKUP(0,EmAuto1,2)),0)</f>
        <v>0</v>
      </c>
      <c r="Q148" s="1321">
        <f t="shared" ref="Q148" si="276">IF(RADataAvail="Y",0.00000110231131*(G148*VLOOKUP(E148,EmAuto1,3)-H148*VLOOKUP(F148,EmAuto1,3)+(C148-D148)*VLOOKUP(0,EmAuto1,3)),0)</f>
        <v>0</v>
      </c>
      <c r="R148" s="1321">
        <f>IF(RADataAvail="Y",0.00000110231131*(G148*VLOOKUP(E148,EmAuto1,4)-H148*VLOOKUP(F148,EmAuto1,4)+(C148-D148)*VLOOKUP(0,EmAuto1,4)),0)</f>
        <v>0</v>
      </c>
      <c r="S148" s="1321">
        <f>IF(RADataAvail="Y",0.00000110231131*(G148*VLOOKUP(E148,EmAuto1,5)-H148*VLOOKUP(F148,EmAuto1,5)+(C148-D148)*VLOOKUP(0,EmAuto1,5)),0)</f>
        <v>0</v>
      </c>
      <c r="T148" s="1321">
        <f>IF(RADataAvail="Y",0.00000110231131*(G148*VLOOKUP(E148,EmAuto1,6)-H148*VLOOKUP(F148,EmAuto1,6)+(C148-D148)*VLOOKUP(0,EmAuto1,6)),0)</f>
        <v>0</v>
      </c>
      <c r="U148" s="1321">
        <f>IF(RADataAvail="Y",0.00000110231131*(G148*VLOOKUP(E148,EmAuto1,7)-H148*VLOOKUP(F148,EmAuto1,7)+(C148-D148)*VLOOKUP(0,EmAuto1,7)),0)</f>
        <v>0</v>
      </c>
      <c r="V148" s="1329">
        <f>IF(RADataAvail="Y",0.00000110231131*(G148*VLOOKUP(E148,EmAuto1,8)-H148*VLOOKUP(F148,EmAuto1,8)+(C148-D148)*VLOOKUP(0,EmAuto1,8)),0)</f>
        <v>0</v>
      </c>
      <c r="W148" s="515" t="e">
        <f>P148*VLOOKUP(ProjLoc,EmCost,2)/(1+DiscRate)^($B148+Construct-1)</f>
        <v>#N/A</v>
      </c>
      <c r="X148" s="1331" t="e">
        <f>Q148*VLOOKUP(ProjLoc,EmCost,3)*(1+CO2Uprater)^($B148+Construct-1)/(1+DiscRate)^($B148+Construct-1)</f>
        <v>#N/A</v>
      </c>
      <c r="Y148" s="1331" t="e">
        <f>R148*VLOOKUP(ProjLoc,EmCost,4)/(1+DiscRate)^($B148+Construct-1)</f>
        <v>#N/A</v>
      </c>
      <c r="Z148" s="1331" t="e">
        <f>S148*VLOOKUP(ProjLoc,EmCost,5)/(1+DiscRate)^($B148+Construct-1)</f>
        <v>#N/A</v>
      </c>
      <c r="AA148" s="1331" t="e">
        <f>T148*VLOOKUP(ProjLoc,EmCost,6)/(1+DiscRate)^($B148+Construct-1)</f>
        <v>#N/A</v>
      </c>
      <c r="AB148" s="498" t="e">
        <f>U148*VLOOKUP(ProjLoc,EmCost,7)/(1+DiscRate)^($B148+Construct-1)</f>
        <v>#N/A</v>
      </c>
      <c r="AD148" s="468"/>
      <c r="AE148" s="469"/>
      <c r="AF148" s="469"/>
      <c r="AG148" s="470"/>
      <c r="AH148" s="470"/>
      <c r="AI148" s="472"/>
      <c r="AJ148" s="472"/>
      <c r="AK148" s="473"/>
      <c r="AL148" s="474"/>
      <c r="AM148" s="474"/>
      <c r="AN148" s="474"/>
      <c r="AO148" s="474"/>
      <c r="AP148" s="474"/>
      <c r="AQ148" s="474"/>
      <c r="AR148" s="474"/>
      <c r="AS148" s="474"/>
      <c r="AT148" s="474"/>
      <c r="AU148" s="474"/>
      <c r="AV148" s="474"/>
      <c r="AW148" s="474"/>
      <c r="AX148" s="474"/>
      <c r="AY148" s="474"/>
      <c r="AZ148" s="474"/>
    </row>
    <row r="149" spans="2:52" x14ac:dyDescent="0.25">
      <c r="B149" s="328">
        <v>20</v>
      </c>
      <c r="C149" s="353">
        <f>PRV20NB*AnnualFactor</f>
        <v>0</v>
      </c>
      <c r="D149" s="354">
        <f>PRV20B*AnnualFactor</f>
        <v>0</v>
      </c>
      <c r="E149" s="365">
        <f>ROUND(PRS20NB,1)</f>
        <v>5</v>
      </c>
      <c r="F149" s="366">
        <f>ROUND(PRS20B,1)</f>
        <v>5</v>
      </c>
      <c r="G149" s="339">
        <f>SegmentR*C149</f>
        <v>0</v>
      </c>
      <c r="H149" s="435">
        <f>SegmentR*D149</f>
        <v>0</v>
      </c>
      <c r="I149" s="520">
        <f>IF(RADataAvail="Y",G149*0.00000110231131*(VLOOKUP(E149,EmAuto20,2)*VLOOKUP(ProjLoc,EmCost,2)+VLOOKUP(E149,EmAuto20,3)*VLOOKUP(ProjLoc,EmCost,3)*(1+CO2Uprater)^($B149+Construct-1)+VLOOKUP(E149,EmAuto20,4)*VLOOKUP(ProjLoc,EmCost,4)+VLOOKUP(E149,EmAuto20,5)*VLOOKUP(ProjLoc,EmCost,5)+VLOOKUP(E149,EmAuto20,6)*VLOOKUP(ProjLoc,EmCost,6)+VLOOKUP(E149,EmAuto20,7)*VLOOKUP(ProjLoc,EmCost,7)),0)</f>
        <v>0</v>
      </c>
      <c r="J149" s="499">
        <f>IF(RADataAvail="Y",H149*0.00000110231131*(VLOOKUP(F149,EmAuto20,2)*VLOOKUP(ProjLoc,EmCost,2)+VLOOKUP(F149,EmAuto20,3)*VLOOKUP(ProjLoc,EmCost,3)*(1+CO2Uprater)^($B149+Construct-1)+VLOOKUP(F149,EmAuto20,4)*VLOOKUP(ProjLoc,EmCost,4)+VLOOKUP(F149,EmAuto20,5)*VLOOKUP(ProjLoc,EmCost,5)+VLOOKUP(F149,EmAuto20,6)*VLOOKUP(ProjLoc,EmCost,6)+VLOOKUP(F149,EmAuto20,7)*VLOOKUP(ProjLoc,EmCost,7)),0)</f>
        <v>0</v>
      </c>
      <c r="K149" s="520">
        <f>IF(RADataAvail="Y",C149*0.00000110231131*(VLOOKUP(0,EmAuto20,2)*VLOOKUP(ProjLoc,EmCost,2)+VLOOKUP(0,EmAuto20,3)*VLOOKUP(ProjLoc,EmCost,3)*(1+CO2Uprater)^($B149+Construct-1)+VLOOKUP(0,EmAuto20,4)*VLOOKUP(ProjLoc,EmCost,4)+VLOOKUP(0,EmAuto20,5)*VLOOKUP(ProjLoc,EmCost,5)+VLOOKUP(0,EmAuto20,6)*VLOOKUP(ProjLoc,EmCost,6)+VLOOKUP(0,EmAuto20,7)*VLOOKUP(ProjLoc,EmCost,7)),0)</f>
        <v>0</v>
      </c>
      <c r="L149" s="499">
        <f>IF(RADataAvail="Y",D149*0.00000110231131*(VLOOKUP(0,EmAuto20,2)*VLOOKUP(ProjLoc,EmCost,2)+VLOOKUP(0,EmAuto20,3)*VLOOKUP(ProjLoc,EmCost,3)*(1+CO2Uprater)^($B149+Construct-1)+VLOOKUP(0,EmAuto20,4)*VLOOKUP(ProjLoc,EmCost,4)+VLOOKUP(0,EmAuto20,5)*VLOOKUP(ProjLoc,EmCost,5)+VLOOKUP(0,EmAuto20,6)*VLOOKUP(ProjLoc,EmCost,6)+VLOOKUP(0,EmAuto20,7)*VLOOKUP(ProjLoc,EmCost,7)),0)</f>
        <v>0</v>
      </c>
      <c r="M149" s="285">
        <f>(I149+K149)-(J149+L149)</f>
        <v>0</v>
      </c>
      <c r="N149" s="323">
        <f>$M149/(1+DiscRate)^($B149+Construct-1)</f>
        <v>0</v>
      </c>
      <c r="O149" s="474"/>
      <c r="P149" s="1037">
        <f>IF(RADataAvail="Y",0.00000110231131*(G149*VLOOKUP(E149,EmAuto20,2)-H149*VLOOKUP(F149,EmAuto20,2)+(C149-D149)*VLOOKUP(0,EmAuto20,2)),0)</f>
        <v>0</v>
      </c>
      <c r="Q149" s="1322">
        <f t="shared" ref="Q149" si="277">IF(RADataAvail="Y",0.00000110231131*(G149*VLOOKUP(E149,EmAuto20,3)-H149*VLOOKUP(F149,EmAuto20,3)+(C149-D149)*VLOOKUP(0,EmAuto20,3)),0)</f>
        <v>0</v>
      </c>
      <c r="R149" s="1322">
        <f>IF(RADataAvail="Y",0.00000110231131*(G149*VLOOKUP(E149,EmAuto20,4)-H149*VLOOKUP(F149,EmAuto20,4)+(C149-D149)*VLOOKUP(0,EmAuto20,4)),0)</f>
        <v>0</v>
      </c>
      <c r="S149" s="1322">
        <f>IF(RADataAvail="Y",0.00000110231131*(G149*VLOOKUP(E149,EmAuto20,5)-H149*VLOOKUP(F149,EmAuto20,5)+(C149-D149)*VLOOKUP(0,EmAuto20,5)),0)</f>
        <v>0</v>
      </c>
      <c r="T149" s="1322">
        <f>IF(RADataAvail="Y",0.00000110231131*(G149*VLOOKUP(E149,EmAuto20,6)-H149*VLOOKUP(F149,EmAuto20,6)+(C149-D149)*VLOOKUP(0,EmAuto20,6)),0)</f>
        <v>0</v>
      </c>
      <c r="U149" s="1322">
        <f>IF(RADataAvail="Y",0.00000110231131*(G149*VLOOKUP(E149,EmAuto20,7)-H149*VLOOKUP(F149,EmAuto20,7)+(C149-D149)*VLOOKUP(0,EmAuto20,7)),0)</f>
        <v>0</v>
      </c>
      <c r="V149" s="1330">
        <f>IF(RADataAvail="Y",0.00000110231131*(G149*VLOOKUP(E149,EmAuto20,8)-H149*VLOOKUP(F149,EmAuto20,8)+(C149-D149)*VLOOKUP(0,EmAuto20,8)),0)</f>
        <v>0</v>
      </c>
      <c r="W149" s="520" t="e">
        <f>P149*VLOOKUP(ProjLoc,EmCost,2)/(1+DiscRate)^($B149+Construct-1)</f>
        <v>#N/A</v>
      </c>
      <c r="X149" s="1332" t="e">
        <f>Q149*VLOOKUP(ProjLoc,EmCost,3)*(1+CO2Uprater)^($B149+Construct-1)/(1+DiscRate)^($B149+Construct-1)</f>
        <v>#N/A</v>
      </c>
      <c r="Y149" s="1332" t="e">
        <f>R149*VLOOKUP(ProjLoc,EmCost,4)/(1+DiscRate)^($B149+Construct-1)</f>
        <v>#N/A</v>
      </c>
      <c r="Z149" s="1332" t="e">
        <f>S149*VLOOKUP(ProjLoc,EmCost,5)/(1+DiscRate)^($B149+Construct-1)</f>
        <v>#N/A</v>
      </c>
      <c r="AA149" s="1332" t="e">
        <f>T149*VLOOKUP(ProjLoc,EmCost,6)/(1+DiscRate)^($B149+Construct-1)</f>
        <v>#N/A</v>
      </c>
      <c r="AB149" s="499" t="e">
        <f>U149*VLOOKUP(ProjLoc,EmCost,7)/(1+DiscRate)^($B149+Construct-1)</f>
        <v>#N/A</v>
      </c>
      <c r="AD149" s="468"/>
      <c r="AE149" s="469"/>
      <c r="AF149" s="469"/>
      <c r="AG149" s="470"/>
      <c r="AH149" s="470"/>
      <c r="AI149" s="472"/>
      <c r="AJ149" s="472"/>
      <c r="AK149" s="473"/>
      <c r="AL149" s="474"/>
      <c r="AM149" s="474"/>
      <c r="AN149" s="474"/>
      <c r="AO149" s="474"/>
      <c r="AP149" s="474"/>
      <c r="AQ149" s="474"/>
      <c r="AR149" s="474"/>
      <c r="AS149" s="474"/>
      <c r="AT149" s="474"/>
      <c r="AU149" s="474"/>
      <c r="AV149" s="474"/>
      <c r="AW149" s="474"/>
      <c r="AX149" s="474"/>
      <c r="AY149" s="474"/>
      <c r="AZ149" s="474"/>
    </row>
    <row r="150" spans="2:52" x14ac:dyDescent="0.25">
      <c r="B150" s="357"/>
      <c r="C150" s="355"/>
      <c r="D150" s="355"/>
      <c r="E150" s="367"/>
      <c r="F150" s="367"/>
      <c r="G150" s="356"/>
      <c r="H150" s="356"/>
      <c r="I150" s="356"/>
      <c r="J150" s="356"/>
      <c r="K150" s="356"/>
      <c r="L150" s="356"/>
      <c r="M150" s="356"/>
      <c r="N150" s="358"/>
      <c r="O150" s="475"/>
      <c r="P150" s="358"/>
      <c r="Q150" s="358"/>
      <c r="R150" s="358"/>
      <c r="S150" s="358"/>
      <c r="T150" s="358"/>
      <c r="U150" s="358"/>
      <c r="V150" s="358"/>
      <c r="W150" s="358"/>
      <c r="X150" s="356"/>
      <c r="Y150" s="358"/>
      <c r="Z150" s="358"/>
      <c r="AA150" s="358"/>
      <c r="AB150" s="358"/>
      <c r="AD150" s="468"/>
      <c r="AE150" s="469"/>
      <c r="AF150" s="469"/>
      <c r="AG150" s="470"/>
      <c r="AH150" s="470"/>
      <c r="AI150" s="472"/>
      <c r="AJ150" s="472"/>
      <c r="AK150" s="472"/>
      <c r="AL150" s="475"/>
      <c r="AM150" s="475"/>
      <c r="AN150" s="475"/>
      <c r="AO150" s="475"/>
      <c r="AP150" s="475"/>
      <c r="AQ150" s="475"/>
      <c r="AR150" s="475"/>
      <c r="AS150" s="475"/>
      <c r="AT150" s="475"/>
      <c r="AU150" s="475"/>
      <c r="AV150" s="475"/>
      <c r="AW150" s="475"/>
      <c r="AX150" s="475"/>
      <c r="AY150" s="475"/>
      <c r="AZ150" s="475"/>
    </row>
    <row r="151" spans="2:52" x14ac:dyDescent="0.25">
      <c r="B151" s="352">
        <v>2</v>
      </c>
      <c r="C151" s="368">
        <f>TREND(C148:C149,B148:B149,B151)</f>
        <v>0</v>
      </c>
      <c r="D151" s="369">
        <f>TREND(D148:D149,B148:B149,B151)</f>
        <v>0</v>
      </c>
      <c r="E151" s="370">
        <f>TREND(E148:E149,B148:B149,B151)</f>
        <v>5</v>
      </c>
      <c r="F151" s="371">
        <f>TREND(F148:F149,B148:B149,B151)</f>
        <v>5</v>
      </c>
      <c r="G151" s="339">
        <f t="shared" ref="G151:G168" si="278">SegmentR*C151</f>
        <v>0</v>
      </c>
      <c r="H151" s="434">
        <f t="shared" ref="H151:H168" si="279">SegmentR*D151</f>
        <v>0</v>
      </c>
      <c r="I151" s="515">
        <f t="shared" ref="I151:J156" si="280">IF(RADataAvail="Y",G151*0.00000110231131*(VLOOKUP(E151,EmAuto1,2)*VLOOKUP(ProjLoc,EmCost,2)+VLOOKUP(E151,EmAuto1,3)*VLOOKUP(ProjLoc,EmCost,3)*(1+CO2Uprater)^($B151+Construct-1)+VLOOKUP(E151,EmAuto1,4)*VLOOKUP(ProjLoc,EmCost,4)+VLOOKUP(E151,EmAuto1,5)*VLOOKUP(ProjLoc,EmCost,5)+VLOOKUP(E151,EmAuto1,6)*VLOOKUP(ProjLoc,EmCost,6)+VLOOKUP(E151,EmAuto1,7)*VLOOKUP(ProjLoc,EmCost,7)),0)</f>
        <v>0</v>
      </c>
      <c r="J151" s="498">
        <f t="shared" si="280"/>
        <v>0</v>
      </c>
      <c r="K151" s="515">
        <f t="shared" ref="K151:L156" si="281">IF(RADataAvail="Y",C151*0.00000110231131*(VLOOKUP(0,EmAuto1,2)*VLOOKUP(ProjLoc,EmCost,2)+VLOOKUP(0,EmAuto1,3)*VLOOKUP(ProjLoc,EmCost,3)*(1+CO2Uprater)^($B151+Construct-1)+VLOOKUP(0,EmAuto1,4)*VLOOKUP(ProjLoc,EmCost,4)+VLOOKUP(0,EmAuto1,5)*VLOOKUP(ProjLoc,EmCost,5)+VLOOKUP(0,EmAuto1,6)*VLOOKUP(ProjLoc,EmCost,6)+VLOOKUP(0,EmAuto1,7)*VLOOKUP(ProjLoc,EmCost,7)),0)</f>
        <v>0</v>
      </c>
      <c r="L151" s="498">
        <f t="shared" si="281"/>
        <v>0</v>
      </c>
      <c r="M151" s="285">
        <f>(I151+K151)-(J151+L151)</f>
        <v>0</v>
      </c>
      <c r="N151" s="323">
        <f t="shared" ref="N151:N168" si="282">$M151/(1+DiscRate)^($B151+Construct-1)</f>
        <v>0</v>
      </c>
      <c r="O151" s="474"/>
      <c r="P151" s="1036">
        <f t="shared" ref="P151:P156" si="283">IF(RADataAvail="Y",0.00000110231131*(G151*VLOOKUP(E151,EmAuto1,2)-H151*VLOOKUP(F151,EmAuto1,2)+(C151-D151)*VLOOKUP(0,EmAuto1,2)),0)</f>
        <v>0</v>
      </c>
      <c r="Q151" s="1321">
        <f t="shared" ref="Q151:Q156" si="284">IF(RADataAvail="Y",0.00000110231131*(G151*VLOOKUP(E151,EmAuto1,3)-H151*VLOOKUP(F151,EmAuto1,3)+(C151-D151)*VLOOKUP(0,EmAuto1,3)),0)</f>
        <v>0</v>
      </c>
      <c r="R151" s="1321">
        <f t="shared" ref="R151:R156" si="285">IF(RADataAvail="Y",0.00000110231131*(G151*VLOOKUP(E151,EmAuto1,4)-H151*VLOOKUP(F151,EmAuto1,4)+(C151-D151)*VLOOKUP(0,EmAuto1,4)),0)</f>
        <v>0</v>
      </c>
      <c r="S151" s="1321">
        <f t="shared" ref="S151:S156" si="286">IF(RADataAvail="Y",0.00000110231131*(G151*VLOOKUP(E151,EmAuto1,5)-H151*VLOOKUP(F151,EmAuto1,5)+(C151-D151)*VLOOKUP(0,EmAuto1,5)),0)</f>
        <v>0</v>
      </c>
      <c r="T151" s="1321">
        <f t="shared" ref="T151:T156" si="287">IF(RADataAvail="Y",0.00000110231131*(G151*VLOOKUP(E151,EmAuto1,6)-H151*VLOOKUP(F151,EmAuto1,6)+(C151-D151)*VLOOKUP(0,EmAuto1,6)),0)</f>
        <v>0</v>
      </c>
      <c r="U151" s="1321">
        <f t="shared" ref="U151:U156" si="288">IF(RADataAvail="Y",0.00000110231131*(G151*VLOOKUP(E151,EmAuto1,7)-H151*VLOOKUP(F151,EmAuto1,7)+(C151-D151)*VLOOKUP(0,EmAuto1,7)),0)</f>
        <v>0</v>
      </c>
      <c r="V151" s="1323">
        <f t="shared" ref="V151:V156" si="289">IF(RADataAvail="Y",0.00000110231131*(G151*VLOOKUP(E151,EmAuto1,8)-H151*VLOOKUP(F151,EmAuto1,8)+(C151-D151)*VLOOKUP(0,EmAuto1,8)),0)</f>
        <v>0</v>
      </c>
      <c r="W151" s="515" t="e">
        <f t="shared" ref="W151:W168" si="290">P151*VLOOKUP(ProjLoc,EmCost,2)/(1+DiscRate)^($B151+Construct-1)</f>
        <v>#N/A</v>
      </c>
      <c r="X151" s="1331" t="e">
        <f t="shared" ref="X151:X168" si="291">Q151*VLOOKUP(ProjLoc,EmCost,3)*(1+CO2Uprater)^($B151+Construct-1)/(1+DiscRate)^($B151+Construct-1)</f>
        <v>#N/A</v>
      </c>
      <c r="Y151" s="1331" t="e">
        <f t="shared" ref="Y151:Y168" si="292">R151*VLOOKUP(ProjLoc,EmCost,4)/(1+DiscRate)^($B151+Construct-1)</f>
        <v>#N/A</v>
      </c>
      <c r="Z151" s="1331" t="e">
        <f t="shared" ref="Z151:Z168" si="293">S151*VLOOKUP(ProjLoc,EmCost,5)/(1+DiscRate)^($B151+Construct-1)</f>
        <v>#N/A</v>
      </c>
      <c r="AA151" s="1331" t="e">
        <f t="shared" ref="AA151:AA168" si="294">T151*VLOOKUP(ProjLoc,EmCost,6)/(1+DiscRate)^($B151+Construct-1)</f>
        <v>#N/A</v>
      </c>
      <c r="AB151" s="498" t="e">
        <f t="shared" ref="AB151:AB168" si="295">U151*VLOOKUP(ProjLoc,EmCost,7)/(1+DiscRate)^($B151+Construct-1)</f>
        <v>#N/A</v>
      </c>
      <c r="AD151" s="468"/>
      <c r="AE151" s="469"/>
      <c r="AF151" s="469"/>
      <c r="AG151" s="470"/>
      <c r="AH151" s="470"/>
      <c r="AI151" s="472"/>
      <c r="AJ151" s="472"/>
      <c r="AK151" s="473"/>
      <c r="AL151" s="474"/>
      <c r="AM151" s="474"/>
      <c r="AN151" s="474"/>
      <c r="AO151" s="474"/>
      <c r="AP151" s="474"/>
      <c r="AQ151" s="474"/>
      <c r="AR151" s="474"/>
      <c r="AS151" s="474"/>
      <c r="AT151" s="474"/>
      <c r="AU151" s="474"/>
      <c r="AV151" s="474"/>
      <c r="AW151" s="474"/>
      <c r="AX151" s="474"/>
      <c r="AY151" s="474"/>
      <c r="AZ151" s="474"/>
    </row>
    <row r="152" spans="2:52" x14ac:dyDescent="0.25">
      <c r="B152" s="327">
        <v>3</v>
      </c>
      <c r="C152" s="347">
        <f>TREND(C148:C149,B148:B149,B152)</f>
        <v>0</v>
      </c>
      <c r="D152" s="372">
        <f>TREND(D148:D149,B148:B149,B152)</f>
        <v>0</v>
      </c>
      <c r="E152" s="373">
        <f>TREND(E148:E149,B148:B149,B152)</f>
        <v>5</v>
      </c>
      <c r="F152" s="374">
        <f>TREND(F148:F149,B148:B149,B152)</f>
        <v>5</v>
      </c>
      <c r="G152" s="339">
        <f t="shared" si="278"/>
        <v>0</v>
      </c>
      <c r="H152" s="436">
        <f t="shared" si="279"/>
        <v>0</v>
      </c>
      <c r="I152" s="521">
        <f t="shared" si="280"/>
        <v>0</v>
      </c>
      <c r="J152" s="500">
        <f t="shared" si="280"/>
        <v>0</v>
      </c>
      <c r="K152" s="521">
        <f t="shared" si="281"/>
        <v>0</v>
      </c>
      <c r="L152" s="500">
        <f t="shared" si="281"/>
        <v>0</v>
      </c>
      <c r="M152" s="285">
        <f t="shared" ref="M152:M168" si="296">(I152+K152)-(J152+L152)</f>
        <v>0</v>
      </c>
      <c r="N152" s="323">
        <f t="shared" si="282"/>
        <v>0</v>
      </c>
      <c r="O152" s="474"/>
      <c r="P152" s="1038">
        <f t="shared" si="283"/>
        <v>0</v>
      </c>
      <c r="Q152" s="1324">
        <f t="shared" si="284"/>
        <v>0</v>
      </c>
      <c r="R152" s="1324">
        <f t="shared" si="285"/>
        <v>0</v>
      </c>
      <c r="S152" s="1324">
        <f t="shared" si="286"/>
        <v>0</v>
      </c>
      <c r="T152" s="1324">
        <f t="shared" si="287"/>
        <v>0</v>
      </c>
      <c r="U152" s="1324">
        <f t="shared" si="288"/>
        <v>0</v>
      </c>
      <c r="V152" s="1325">
        <f t="shared" si="289"/>
        <v>0</v>
      </c>
      <c r="W152" s="521" t="e">
        <f t="shared" si="290"/>
        <v>#N/A</v>
      </c>
      <c r="X152" s="1333" t="e">
        <f t="shared" si="291"/>
        <v>#N/A</v>
      </c>
      <c r="Y152" s="1333" t="e">
        <f t="shared" si="292"/>
        <v>#N/A</v>
      </c>
      <c r="Z152" s="1333" t="e">
        <f t="shared" si="293"/>
        <v>#N/A</v>
      </c>
      <c r="AA152" s="1333" t="e">
        <f t="shared" si="294"/>
        <v>#N/A</v>
      </c>
      <c r="AB152" s="500" t="e">
        <f t="shared" si="295"/>
        <v>#N/A</v>
      </c>
      <c r="AD152" s="468"/>
      <c r="AE152" s="469"/>
      <c r="AF152" s="469"/>
      <c r="AG152" s="470"/>
      <c r="AH152" s="470"/>
      <c r="AI152" s="472"/>
      <c r="AJ152" s="472"/>
      <c r="AK152" s="473"/>
      <c r="AL152" s="474"/>
      <c r="AM152" s="474"/>
      <c r="AN152" s="474"/>
      <c r="AO152" s="474"/>
      <c r="AP152" s="474"/>
      <c r="AQ152" s="474"/>
      <c r="AR152" s="474"/>
      <c r="AS152" s="474"/>
      <c r="AT152" s="474"/>
      <c r="AU152" s="474"/>
      <c r="AV152" s="474"/>
      <c r="AW152" s="474"/>
      <c r="AX152" s="474"/>
      <c r="AY152" s="474"/>
      <c r="AZ152" s="474"/>
    </row>
    <row r="153" spans="2:52" x14ac:dyDescent="0.25">
      <c r="B153" s="327">
        <v>4</v>
      </c>
      <c r="C153" s="347">
        <f>TREND(C148:C149,B148:B149,B153)</f>
        <v>0</v>
      </c>
      <c r="D153" s="372">
        <f>TREND(D148:D149,B148:B149,B153)</f>
        <v>0</v>
      </c>
      <c r="E153" s="373">
        <f>TREND(E148:E149,B148:B149,B153)</f>
        <v>5</v>
      </c>
      <c r="F153" s="374">
        <f>TREND(F148:F149,B148:B149,B153)</f>
        <v>5</v>
      </c>
      <c r="G153" s="339">
        <f t="shared" si="278"/>
        <v>0</v>
      </c>
      <c r="H153" s="436">
        <f t="shared" si="279"/>
        <v>0</v>
      </c>
      <c r="I153" s="521">
        <f t="shared" si="280"/>
        <v>0</v>
      </c>
      <c r="J153" s="500">
        <f t="shared" si="280"/>
        <v>0</v>
      </c>
      <c r="K153" s="521">
        <f t="shared" si="281"/>
        <v>0</v>
      </c>
      <c r="L153" s="500">
        <f t="shared" si="281"/>
        <v>0</v>
      </c>
      <c r="M153" s="285">
        <f t="shared" si="296"/>
        <v>0</v>
      </c>
      <c r="N153" s="323">
        <f t="shared" si="282"/>
        <v>0</v>
      </c>
      <c r="O153" s="474"/>
      <c r="P153" s="1038">
        <f t="shared" si="283"/>
        <v>0</v>
      </c>
      <c r="Q153" s="1324">
        <f t="shared" si="284"/>
        <v>0</v>
      </c>
      <c r="R153" s="1324">
        <f t="shared" si="285"/>
        <v>0</v>
      </c>
      <c r="S153" s="1324">
        <f t="shared" si="286"/>
        <v>0</v>
      </c>
      <c r="T153" s="1324">
        <f t="shared" si="287"/>
        <v>0</v>
      </c>
      <c r="U153" s="1324">
        <f t="shared" si="288"/>
        <v>0</v>
      </c>
      <c r="V153" s="1325">
        <f t="shared" si="289"/>
        <v>0</v>
      </c>
      <c r="W153" s="521" t="e">
        <f t="shared" si="290"/>
        <v>#N/A</v>
      </c>
      <c r="X153" s="1333" t="e">
        <f t="shared" si="291"/>
        <v>#N/A</v>
      </c>
      <c r="Y153" s="1333" t="e">
        <f t="shared" si="292"/>
        <v>#N/A</v>
      </c>
      <c r="Z153" s="1333" t="e">
        <f t="shared" si="293"/>
        <v>#N/A</v>
      </c>
      <c r="AA153" s="1333" t="e">
        <f t="shared" si="294"/>
        <v>#N/A</v>
      </c>
      <c r="AB153" s="500" t="e">
        <f t="shared" si="295"/>
        <v>#N/A</v>
      </c>
      <c r="AD153" s="468"/>
      <c r="AE153" s="469"/>
      <c r="AF153" s="469"/>
      <c r="AG153" s="470"/>
      <c r="AH153" s="470"/>
      <c r="AI153" s="472"/>
      <c r="AJ153" s="472"/>
      <c r="AK153" s="473"/>
      <c r="AL153" s="474"/>
      <c r="AM153" s="474"/>
      <c r="AN153" s="474"/>
      <c r="AO153" s="474"/>
      <c r="AP153" s="474"/>
      <c r="AQ153" s="474"/>
      <c r="AR153" s="474"/>
      <c r="AS153" s="474"/>
      <c r="AT153" s="474"/>
      <c r="AU153" s="474"/>
      <c r="AV153" s="474"/>
      <c r="AW153" s="474"/>
      <c r="AX153" s="474"/>
      <c r="AY153" s="474"/>
      <c r="AZ153" s="474"/>
    </row>
    <row r="154" spans="2:52" x14ac:dyDescent="0.25">
      <c r="B154" s="327">
        <v>5</v>
      </c>
      <c r="C154" s="347">
        <f>TREND(C148:C149,B148:B149,B154)</f>
        <v>0</v>
      </c>
      <c r="D154" s="372">
        <f>TREND(D148:D149,B148:B149,B154)</f>
        <v>0</v>
      </c>
      <c r="E154" s="373">
        <f>TREND(E148:E149,B148:B149,B154)</f>
        <v>5</v>
      </c>
      <c r="F154" s="374">
        <f>TREND(F148:F149,B148:B149,B154)</f>
        <v>5</v>
      </c>
      <c r="G154" s="339">
        <f t="shared" si="278"/>
        <v>0</v>
      </c>
      <c r="H154" s="436">
        <f t="shared" si="279"/>
        <v>0</v>
      </c>
      <c r="I154" s="521">
        <f t="shared" si="280"/>
        <v>0</v>
      </c>
      <c r="J154" s="500">
        <f t="shared" si="280"/>
        <v>0</v>
      </c>
      <c r="K154" s="521">
        <f t="shared" si="281"/>
        <v>0</v>
      </c>
      <c r="L154" s="500">
        <f t="shared" si="281"/>
        <v>0</v>
      </c>
      <c r="M154" s="285">
        <f t="shared" si="296"/>
        <v>0</v>
      </c>
      <c r="N154" s="323">
        <f t="shared" si="282"/>
        <v>0</v>
      </c>
      <c r="O154" s="474"/>
      <c r="P154" s="1038">
        <f t="shared" si="283"/>
        <v>0</v>
      </c>
      <c r="Q154" s="1324">
        <f t="shared" si="284"/>
        <v>0</v>
      </c>
      <c r="R154" s="1324">
        <f t="shared" si="285"/>
        <v>0</v>
      </c>
      <c r="S154" s="1324">
        <f t="shared" si="286"/>
        <v>0</v>
      </c>
      <c r="T154" s="1324">
        <f t="shared" si="287"/>
        <v>0</v>
      </c>
      <c r="U154" s="1324">
        <f t="shared" si="288"/>
        <v>0</v>
      </c>
      <c r="V154" s="1325">
        <f t="shared" si="289"/>
        <v>0</v>
      </c>
      <c r="W154" s="521" t="e">
        <f t="shared" si="290"/>
        <v>#N/A</v>
      </c>
      <c r="X154" s="1333" t="e">
        <f t="shared" si="291"/>
        <v>#N/A</v>
      </c>
      <c r="Y154" s="1333" t="e">
        <f t="shared" si="292"/>
        <v>#N/A</v>
      </c>
      <c r="Z154" s="1333" t="e">
        <f t="shared" si="293"/>
        <v>#N/A</v>
      </c>
      <c r="AA154" s="1333" t="e">
        <f t="shared" si="294"/>
        <v>#N/A</v>
      </c>
      <c r="AB154" s="500" t="e">
        <f t="shared" si="295"/>
        <v>#N/A</v>
      </c>
      <c r="AD154" s="468"/>
      <c r="AE154" s="469"/>
      <c r="AF154" s="469"/>
      <c r="AG154" s="470"/>
      <c r="AH154" s="470"/>
      <c r="AI154" s="472"/>
      <c r="AJ154" s="472"/>
      <c r="AK154" s="473"/>
      <c r="AL154" s="474"/>
      <c r="AM154" s="474"/>
      <c r="AN154" s="474"/>
      <c r="AO154" s="474"/>
      <c r="AP154" s="474"/>
      <c r="AQ154" s="474"/>
      <c r="AR154" s="474"/>
      <c r="AS154" s="474"/>
      <c r="AT154" s="474"/>
      <c r="AU154" s="474"/>
      <c r="AV154" s="474"/>
      <c r="AW154" s="474"/>
      <c r="AX154" s="474"/>
      <c r="AY154" s="474"/>
      <c r="AZ154" s="474"/>
    </row>
    <row r="155" spans="2:52" x14ac:dyDescent="0.25">
      <c r="B155" s="327">
        <v>6</v>
      </c>
      <c r="C155" s="347">
        <f>TREND(C148:C149,B148:B149,B155)</f>
        <v>0</v>
      </c>
      <c r="D155" s="372">
        <f>TREND(D148:D149,B148:B149,B155)</f>
        <v>0</v>
      </c>
      <c r="E155" s="373">
        <f>TREND(E148:E149,B148:B149,B155)</f>
        <v>5</v>
      </c>
      <c r="F155" s="374">
        <f>TREND(F148:F149,B148:B149,B155)</f>
        <v>5</v>
      </c>
      <c r="G155" s="339">
        <f t="shared" si="278"/>
        <v>0</v>
      </c>
      <c r="H155" s="436">
        <f t="shared" si="279"/>
        <v>0</v>
      </c>
      <c r="I155" s="521">
        <f t="shared" si="280"/>
        <v>0</v>
      </c>
      <c r="J155" s="500">
        <f t="shared" si="280"/>
        <v>0</v>
      </c>
      <c r="K155" s="521">
        <f t="shared" si="281"/>
        <v>0</v>
      </c>
      <c r="L155" s="500">
        <f t="shared" si="281"/>
        <v>0</v>
      </c>
      <c r="M155" s="285">
        <f t="shared" si="296"/>
        <v>0</v>
      </c>
      <c r="N155" s="323">
        <f t="shared" si="282"/>
        <v>0</v>
      </c>
      <c r="O155" s="474"/>
      <c r="P155" s="1038">
        <f t="shared" si="283"/>
        <v>0</v>
      </c>
      <c r="Q155" s="1324">
        <f t="shared" si="284"/>
        <v>0</v>
      </c>
      <c r="R155" s="1324">
        <f t="shared" si="285"/>
        <v>0</v>
      </c>
      <c r="S155" s="1324">
        <f t="shared" si="286"/>
        <v>0</v>
      </c>
      <c r="T155" s="1324">
        <f t="shared" si="287"/>
        <v>0</v>
      </c>
      <c r="U155" s="1324">
        <f t="shared" si="288"/>
        <v>0</v>
      </c>
      <c r="V155" s="1325">
        <f t="shared" si="289"/>
        <v>0</v>
      </c>
      <c r="W155" s="521" t="e">
        <f t="shared" si="290"/>
        <v>#N/A</v>
      </c>
      <c r="X155" s="1333" t="e">
        <f t="shared" si="291"/>
        <v>#N/A</v>
      </c>
      <c r="Y155" s="1333" t="e">
        <f t="shared" si="292"/>
        <v>#N/A</v>
      </c>
      <c r="Z155" s="1333" t="e">
        <f t="shared" si="293"/>
        <v>#N/A</v>
      </c>
      <c r="AA155" s="1333" t="e">
        <f t="shared" si="294"/>
        <v>#N/A</v>
      </c>
      <c r="AB155" s="500" t="e">
        <f t="shared" si="295"/>
        <v>#N/A</v>
      </c>
      <c r="AD155" s="468"/>
      <c r="AE155" s="469"/>
      <c r="AF155" s="469"/>
      <c r="AG155" s="470"/>
      <c r="AH155" s="470"/>
      <c r="AI155" s="472"/>
      <c r="AJ155" s="472"/>
      <c r="AK155" s="473"/>
      <c r="AL155" s="474"/>
      <c r="AM155" s="474"/>
      <c r="AN155" s="474"/>
      <c r="AO155" s="474"/>
      <c r="AP155" s="474"/>
      <c r="AQ155" s="474"/>
      <c r="AR155" s="474"/>
      <c r="AS155" s="474"/>
      <c r="AT155" s="474"/>
      <c r="AU155" s="474"/>
      <c r="AV155" s="474"/>
      <c r="AW155" s="474"/>
      <c r="AX155" s="474"/>
      <c r="AY155" s="474"/>
      <c r="AZ155" s="474"/>
    </row>
    <row r="156" spans="2:52" x14ac:dyDescent="0.25">
      <c r="B156" s="327">
        <v>7</v>
      </c>
      <c r="C156" s="347">
        <f>TREND(C148:C149,B148:B149,B156)</f>
        <v>0</v>
      </c>
      <c r="D156" s="372">
        <f>TREND(D148:D149,B148:B149,B156)</f>
        <v>0</v>
      </c>
      <c r="E156" s="373">
        <f>TREND(E148:E149,B148:B149,B156)</f>
        <v>5</v>
      </c>
      <c r="F156" s="374">
        <f>TREND(F148:F149,B148:B149,B156)</f>
        <v>5</v>
      </c>
      <c r="G156" s="339">
        <f t="shared" si="278"/>
        <v>0</v>
      </c>
      <c r="H156" s="436">
        <f t="shared" si="279"/>
        <v>0</v>
      </c>
      <c r="I156" s="521">
        <f t="shared" si="280"/>
        <v>0</v>
      </c>
      <c r="J156" s="500">
        <f t="shared" si="280"/>
        <v>0</v>
      </c>
      <c r="K156" s="521">
        <f t="shared" si="281"/>
        <v>0</v>
      </c>
      <c r="L156" s="500">
        <f t="shared" si="281"/>
        <v>0</v>
      </c>
      <c r="M156" s="285">
        <f t="shared" si="296"/>
        <v>0</v>
      </c>
      <c r="N156" s="323">
        <f t="shared" si="282"/>
        <v>0</v>
      </c>
      <c r="O156" s="474"/>
      <c r="P156" s="1038">
        <f t="shared" si="283"/>
        <v>0</v>
      </c>
      <c r="Q156" s="1324">
        <f t="shared" si="284"/>
        <v>0</v>
      </c>
      <c r="R156" s="1324">
        <f t="shared" si="285"/>
        <v>0</v>
      </c>
      <c r="S156" s="1324">
        <f t="shared" si="286"/>
        <v>0</v>
      </c>
      <c r="T156" s="1324">
        <f t="shared" si="287"/>
        <v>0</v>
      </c>
      <c r="U156" s="1324">
        <f t="shared" si="288"/>
        <v>0</v>
      </c>
      <c r="V156" s="1325">
        <f t="shared" si="289"/>
        <v>0</v>
      </c>
      <c r="W156" s="521" t="e">
        <f t="shared" si="290"/>
        <v>#N/A</v>
      </c>
      <c r="X156" s="1333" t="e">
        <f t="shared" si="291"/>
        <v>#N/A</v>
      </c>
      <c r="Y156" s="1333" t="e">
        <f t="shared" si="292"/>
        <v>#N/A</v>
      </c>
      <c r="Z156" s="1333" t="e">
        <f t="shared" si="293"/>
        <v>#N/A</v>
      </c>
      <c r="AA156" s="1333" t="e">
        <f t="shared" si="294"/>
        <v>#N/A</v>
      </c>
      <c r="AB156" s="500" t="e">
        <f t="shared" si="295"/>
        <v>#N/A</v>
      </c>
      <c r="AD156" s="468"/>
      <c r="AE156" s="469"/>
      <c r="AF156" s="469"/>
      <c r="AG156" s="470"/>
      <c r="AH156" s="470"/>
      <c r="AI156" s="472"/>
      <c r="AJ156" s="472"/>
      <c r="AK156" s="473"/>
      <c r="AL156" s="474"/>
      <c r="AM156" s="474"/>
      <c r="AN156" s="474"/>
      <c r="AO156" s="474"/>
      <c r="AP156" s="474"/>
      <c r="AQ156" s="474"/>
      <c r="AR156" s="474"/>
      <c r="AS156" s="474"/>
      <c r="AT156" s="474"/>
      <c r="AU156" s="474"/>
      <c r="AV156" s="474"/>
      <c r="AW156" s="474"/>
      <c r="AX156" s="474"/>
      <c r="AY156" s="474"/>
      <c r="AZ156" s="474"/>
    </row>
    <row r="157" spans="2:52" x14ac:dyDescent="0.25">
      <c r="B157" s="327">
        <v>8</v>
      </c>
      <c r="C157" s="347">
        <f>TREND(C148:C149,B148:B149,B157)</f>
        <v>0</v>
      </c>
      <c r="D157" s="372">
        <f>TREND(D148:D149,B148:B149,B157)</f>
        <v>0</v>
      </c>
      <c r="E157" s="373">
        <f>TREND(E148:E149,B148:B149,B157)</f>
        <v>5</v>
      </c>
      <c r="F157" s="374">
        <f>TREND(F148:F149,B148:B149,B157)</f>
        <v>5</v>
      </c>
      <c r="G157" s="339">
        <f t="shared" si="278"/>
        <v>0</v>
      </c>
      <c r="H157" s="436">
        <f t="shared" si="279"/>
        <v>0</v>
      </c>
      <c r="I157" s="521">
        <f t="shared" ref="I157:I168" si="297">IF(RADataAvail="Y",G157*0.00000110231131*(VLOOKUP(E157,EmAuto20,2)*VLOOKUP(ProjLoc,EmCost,2)+VLOOKUP(E157,EmAuto20,3)*VLOOKUP(ProjLoc,EmCost,3)*(1+CO2Uprater)^($B157+Construct-1)+VLOOKUP(E157,EmAuto20,4)*VLOOKUP(ProjLoc,EmCost,4)+VLOOKUP(E157,EmAuto20,5)*VLOOKUP(ProjLoc,EmCost,5)+VLOOKUP(E157,EmAuto20,6)*VLOOKUP(ProjLoc,EmCost,6)+VLOOKUP(E157,EmAuto20,7)*VLOOKUP(ProjLoc,EmCost,7)),0)</f>
        <v>0</v>
      </c>
      <c r="J157" s="500">
        <f t="shared" ref="J157:J168" si="298">IF(RADataAvail="Y",H157*0.00000110231131*(VLOOKUP(F157,EmAuto20,2)*VLOOKUP(ProjLoc,EmCost,2)+VLOOKUP(F157,EmAuto20,3)*VLOOKUP(ProjLoc,EmCost,3)*(1+CO2Uprater)^($B157+Construct-1)+VLOOKUP(F157,EmAuto20,4)*VLOOKUP(ProjLoc,EmCost,4)+VLOOKUP(F157,EmAuto20,5)*VLOOKUP(ProjLoc,EmCost,5)+VLOOKUP(F157,EmAuto20,6)*VLOOKUP(ProjLoc,EmCost,6)+VLOOKUP(F157,EmAuto20,7)*VLOOKUP(ProjLoc,EmCost,7)),0)</f>
        <v>0</v>
      </c>
      <c r="K157" s="521">
        <f t="shared" ref="K157:K168" si="299">IF(RADataAvail="Y",C157*0.00000110231131*(VLOOKUP(0,EmAuto20,2)*VLOOKUP(ProjLoc,EmCost,2)+VLOOKUP(0,EmAuto20,3)*VLOOKUP(ProjLoc,EmCost,3)*(1+CO2Uprater)^($B157+Construct-1)+VLOOKUP(0,EmAuto20,4)*VLOOKUP(ProjLoc,EmCost,4)+VLOOKUP(0,EmAuto20,5)*VLOOKUP(ProjLoc,EmCost,5)+VLOOKUP(0,EmAuto20,6)*VLOOKUP(ProjLoc,EmCost,6)+VLOOKUP(0,EmAuto20,7)*VLOOKUP(ProjLoc,EmCost,7)),0)</f>
        <v>0</v>
      </c>
      <c r="L157" s="500">
        <f t="shared" ref="L157:L168" si="300">IF(RADataAvail="Y",D157*0.00000110231131*(VLOOKUP(0,EmAuto20,2)*VLOOKUP(ProjLoc,EmCost,2)+VLOOKUP(0,EmAuto20,3)*VLOOKUP(ProjLoc,EmCost,3)*(1+CO2Uprater)^($B157+Construct-1)+VLOOKUP(0,EmAuto20,4)*VLOOKUP(ProjLoc,EmCost,4)+VLOOKUP(0,EmAuto20,5)*VLOOKUP(ProjLoc,EmCost,5)+VLOOKUP(0,EmAuto20,6)*VLOOKUP(ProjLoc,EmCost,6)+VLOOKUP(0,EmAuto20,7)*VLOOKUP(ProjLoc,EmCost,7)),0)</f>
        <v>0</v>
      </c>
      <c r="M157" s="285">
        <f t="shared" si="296"/>
        <v>0</v>
      </c>
      <c r="N157" s="323">
        <f t="shared" si="282"/>
        <v>0</v>
      </c>
      <c r="O157" s="474"/>
      <c r="P157" s="1038">
        <f t="shared" ref="P157:P168" si="301">IF(RADataAvail="Y",0.00000110231131*(G157*VLOOKUP(E157,EmAuto20,2)-H157*VLOOKUP(F157,EmAuto20,2)+(C157-D157)*VLOOKUP(0,EmAuto20,2)),0)</f>
        <v>0</v>
      </c>
      <c r="Q157" s="1324">
        <f t="shared" ref="Q157:Q168" si="302">IF(RADataAvail="Y",0.00000110231131*(G157*VLOOKUP(E157,EmAuto20,3)-H157*VLOOKUP(F157,EmAuto20,3)+(C157-D157)*VLOOKUP(0,EmAuto20,3)),0)</f>
        <v>0</v>
      </c>
      <c r="R157" s="1324">
        <f t="shared" ref="R157:R168" si="303">IF(RADataAvail="Y",0.00000110231131*(G157*VLOOKUP(E157,EmAuto20,4)-H157*VLOOKUP(F157,EmAuto20,4)+(C157-D157)*VLOOKUP(0,EmAuto20,4)),0)</f>
        <v>0</v>
      </c>
      <c r="S157" s="1324">
        <f t="shared" ref="S157:S168" si="304">IF(RADataAvail="Y",0.00000110231131*(G157*VLOOKUP(E157,EmAuto20,5)-H157*VLOOKUP(F157,EmAuto20,5)+(C157-D157)*VLOOKUP(0,EmAuto20,5)),0)</f>
        <v>0</v>
      </c>
      <c r="T157" s="1324">
        <f t="shared" ref="T157:T168" si="305">IF(RADataAvail="Y",0.00000110231131*(G157*VLOOKUP(E157,EmAuto20,6)-H157*VLOOKUP(F157,EmAuto20,6)+(C157-D157)*VLOOKUP(0,EmAuto20,6)),0)</f>
        <v>0</v>
      </c>
      <c r="U157" s="1324">
        <f t="shared" ref="U157:U168" si="306">IF(RADataAvail="Y",0.00000110231131*(G157*VLOOKUP(E157,EmAuto20,7)-H157*VLOOKUP(F157,EmAuto20,7)+(C157-D157)*VLOOKUP(0,EmAuto20,7)),0)</f>
        <v>0</v>
      </c>
      <c r="V157" s="1325">
        <f t="shared" ref="V157:V168" si="307">IF(RADataAvail="Y",0.00000110231131*(G157*VLOOKUP(E157,EmAuto20,8)-H157*VLOOKUP(F157,EmAuto20,8)+(C157-D157)*VLOOKUP(0,EmAuto20,8)),0)</f>
        <v>0</v>
      </c>
      <c r="W157" s="521" t="e">
        <f t="shared" si="290"/>
        <v>#N/A</v>
      </c>
      <c r="X157" s="1333" t="e">
        <f t="shared" si="291"/>
        <v>#N/A</v>
      </c>
      <c r="Y157" s="1333" t="e">
        <f t="shared" si="292"/>
        <v>#N/A</v>
      </c>
      <c r="Z157" s="1333" t="e">
        <f t="shared" si="293"/>
        <v>#N/A</v>
      </c>
      <c r="AA157" s="1333" t="e">
        <f t="shared" si="294"/>
        <v>#N/A</v>
      </c>
      <c r="AB157" s="500" t="e">
        <f t="shared" si="295"/>
        <v>#N/A</v>
      </c>
      <c r="AD157" s="468"/>
      <c r="AE157" s="469"/>
      <c r="AF157" s="469"/>
      <c r="AG157" s="470"/>
      <c r="AH157" s="470"/>
      <c r="AI157" s="472"/>
      <c r="AJ157" s="472"/>
      <c r="AK157" s="473"/>
      <c r="AL157" s="474"/>
      <c r="AM157" s="474"/>
      <c r="AN157" s="474"/>
      <c r="AO157" s="474"/>
      <c r="AP157" s="474"/>
      <c r="AQ157" s="474"/>
      <c r="AR157" s="474"/>
      <c r="AS157" s="474"/>
      <c r="AT157" s="474"/>
      <c r="AU157" s="474"/>
      <c r="AV157" s="474"/>
      <c r="AW157" s="474"/>
      <c r="AX157" s="474"/>
      <c r="AY157" s="474"/>
      <c r="AZ157" s="474"/>
    </row>
    <row r="158" spans="2:52" x14ac:dyDescent="0.25">
      <c r="B158" s="327">
        <v>9</v>
      </c>
      <c r="C158" s="347">
        <f>TREND(C148:C149,B148:B149,B158)</f>
        <v>0</v>
      </c>
      <c r="D158" s="372">
        <f>TREND(D148:D149,B148:B149,B158)</f>
        <v>0</v>
      </c>
      <c r="E158" s="373">
        <f>TREND(E148:E149,B148:B149,B158)</f>
        <v>5</v>
      </c>
      <c r="F158" s="374">
        <f>TREND(F148:F149,B148:B149,B158)</f>
        <v>5</v>
      </c>
      <c r="G158" s="339">
        <f t="shared" si="278"/>
        <v>0</v>
      </c>
      <c r="H158" s="436">
        <f t="shared" si="279"/>
        <v>0</v>
      </c>
      <c r="I158" s="521">
        <f t="shared" si="297"/>
        <v>0</v>
      </c>
      <c r="J158" s="500">
        <f t="shared" si="298"/>
        <v>0</v>
      </c>
      <c r="K158" s="521">
        <f t="shared" si="299"/>
        <v>0</v>
      </c>
      <c r="L158" s="500">
        <f t="shared" si="300"/>
        <v>0</v>
      </c>
      <c r="M158" s="285">
        <f t="shared" si="296"/>
        <v>0</v>
      </c>
      <c r="N158" s="323">
        <f t="shared" si="282"/>
        <v>0</v>
      </c>
      <c r="O158" s="474"/>
      <c r="P158" s="1038">
        <f t="shared" si="301"/>
        <v>0</v>
      </c>
      <c r="Q158" s="1324">
        <f t="shared" si="302"/>
        <v>0</v>
      </c>
      <c r="R158" s="1324">
        <f t="shared" si="303"/>
        <v>0</v>
      </c>
      <c r="S158" s="1324">
        <f t="shared" si="304"/>
        <v>0</v>
      </c>
      <c r="T158" s="1324">
        <f t="shared" si="305"/>
        <v>0</v>
      </c>
      <c r="U158" s="1324">
        <f t="shared" si="306"/>
        <v>0</v>
      </c>
      <c r="V158" s="1325">
        <f t="shared" si="307"/>
        <v>0</v>
      </c>
      <c r="W158" s="521" t="e">
        <f t="shared" si="290"/>
        <v>#N/A</v>
      </c>
      <c r="X158" s="1333" t="e">
        <f t="shared" si="291"/>
        <v>#N/A</v>
      </c>
      <c r="Y158" s="1333" t="e">
        <f t="shared" si="292"/>
        <v>#N/A</v>
      </c>
      <c r="Z158" s="1333" t="e">
        <f t="shared" si="293"/>
        <v>#N/A</v>
      </c>
      <c r="AA158" s="1333" t="e">
        <f t="shared" si="294"/>
        <v>#N/A</v>
      </c>
      <c r="AB158" s="500" t="e">
        <f t="shared" si="295"/>
        <v>#N/A</v>
      </c>
      <c r="AD158" s="468"/>
      <c r="AE158" s="469"/>
      <c r="AF158" s="469"/>
      <c r="AG158" s="470"/>
      <c r="AH158" s="470"/>
      <c r="AI158" s="472"/>
      <c r="AJ158" s="472"/>
      <c r="AK158" s="473"/>
      <c r="AL158" s="474"/>
      <c r="AM158" s="474"/>
      <c r="AN158" s="474"/>
      <c r="AO158" s="474"/>
      <c r="AP158" s="474"/>
      <c r="AQ158" s="474"/>
      <c r="AR158" s="474"/>
      <c r="AS158" s="474"/>
      <c r="AT158" s="474"/>
      <c r="AU158" s="474"/>
      <c r="AV158" s="474"/>
      <c r="AW158" s="474"/>
      <c r="AX158" s="474"/>
      <c r="AY158" s="474"/>
      <c r="AZ158" s="474"/>
    </row>
    <row r="159" spans="2:52" x14ac:dyDescent="0.25">
      <c r="B159" s="327">
        <v>10</v>
      </c>
      <c r="C159" s="347">
        <f>TREND(C148:C149,B148:B149,B159)</f>
        <v>0</v>
      </c>
      <c r="D159" s="372">
        <f>TREND(D148:D149,B148:B149,B159)</f>
        <v>0</v>
      </c>
      <c r="E159" s="373">
        <f>TREND(E148:E149,B148:B149,B159)</f>
        <v>5</v>
      </c>
      <c r="F159" s="374">
        <f>TREND(F148:F149,B148:B149,B159)</f>
        <v>5</v>
      </c>
      <c r="G159" s="339">
        <f t="shared" si="278"/>
        <v>0</v>
      </c>
      <c r="H159" s="436">
        <f t="shared" si="279"/>
        <v>0</v>
      </c>
      <c r="I159" s="521">
        <f t="shared" si="297"/>
        <v>0</v>
      </c>
      <c r="J159" s="500">
        <f t="shared" si="298"/>
        <v>0</v>
      </c>
      <c r="K159" s="521">
        <f t="shared" si="299"/>
        <v>0</v>
      </c>
      <c r="L159" s="500">
        <f t="shared" si="300"/>
        <v>0</v>
      </c>
      <c r="M159" s="285">
        <f t="shared" si="296"/>
        <v>0</v>
      </c>
      <c r="N159" s="323">
        <f t="shared" si="282"/>
        <v>0</v>
      </c>
      <c r="O159" s="474"/>
      <c r="P159" s="1038">
        <f t="shared" si="301"/>
        <v>0</v>
      </c>
      <c r="Q159" s="1324">
        <f t="shared" si="302"/>
        <v>0</v>
      </c>
      <c r="R159" s="1324">
        <f t="shared" si="303"/>
        <v>0</v>
      </c>
      <c r="S159" s="1324">
        <f t="shared" si="304"/>
        <v>0</v>
      </c>
      <c r="T159" s="1324">
        <f t="shared" si="305"/>
        <v>0</v>
      </c>
      <c r="U159" s="1324">
        <f t="shared" si="306"/>
        <v>0</v>
      </c>
      <c r="V159" s="1325">
        <f t="shared" si="307"/>
        <v>0</v>
      </c>
      <c r="W159" s="521" t="e">
        <f t="shared" si="290"/>
        <v>#N/A</v>
      </c>
      <c r="X159" s="1333" t="e">
        <f t="shared" si="291"/>
        <v>#N/A</v>
      </c>
      <c r="Y159" s="1333" t="e">
        <f t="shared" si="292"/>
        <v>#N/A</v>
      </c>
      <c r="Z159" s="1333" t="e">
        <f t="shared" si="293"/>
        <v>#N/A</v>
      </c>
      <c r="AA159" s="1333" t="e">
        <f t="shared" si="294"/>
        <v>#N/A</v>
      </c>
      <c r="AB159" s="500" t="e">
        <f t="shared" si="295"/>
        <v>#N/A</v>
      </c>
      <c r="AD159" s="468"/>
      <c r="AE159" s="469"/>
      <c r="AF159" s="469"/>
      <c r="AG159" s="470"/>
      <c r="AH159" s="470"/>
      <c r="AI159" s="472"/>
      <c r="AJ159" s="472"/>
      <c r="AK159" s="473"/>
      <c r="AL159" s="474"/>
      <c r="AM159" s="474"/>
      <c r="AN159" s="474"/>
      <c r="AO159" s="474"/>
      <c r="AP159" s="474"/>
      <c r="AQ159" s="474"/>
      <c r="AR159" s="474"/>
      <c r="AS159" s="474"/>
      <c r="AT159" s="474"/>
      <c r="AU159" s="474"/>
      <c r="AV159" s="474"/>
      <c r="AW159" s="474"/>
      <c r="AX159" s="474"/>
      <c r="AY159" s="474"/>
      <c r="AZ159" s="474"/>
    </row>
    <row r="160" spans="2:52" x14ac:dyDescent="0.25">
      <c r="B160" s="327">
        <v>11</v>
      </c>
      <c r="C160" s="347">
        <f>TREND(C148:C149,B148:B149,B160)</f>
        <v>0</v>
      </c>
      <c r="D160" s="372">
        <f>TREND(D148:D149,B148:B149,B160)</f>
        <v>0</v>
      </c>
      <c r="E160" s="373">
        <f>TREND(E148:E149,B148:B149,B160)</f>
        <v>5</v>
      </c>
      <c r="F160" s="374">
        <f>TREND(F148:F149,B148:B149,B160)</f>
        <v>5</v>
      </c>
      <c r="G160" s="339">
        <f t="shared" si="278"/>
        <v>0</v>
      </c>
      <c r="H160" s="436">
        <f t="shared" si="279"/>
        <v>0</v>
      </c>
      <c r="I160" s="521">
        <f t="shared" si="297"/>
        <v>0</v>
      </c>
      <c r="J160" s="500">
        <f t="shared" si="298"/>
        <v>0</v>
      </c>
      <c r="K160" s="521">
        <f t="shared" si="299"/>
        <v>0</v>
      </c>
      <c r="L160" s="500">
        <f t="shared" si="300"/>
        <v>0</v>
      </c>
      <c r="M160" s="285">
        <f t="shared" si="296"/>
        <v>0</v>
      </c>
      <c r="N160" s="323">
        <f t="shared" si="282"/>
        <v>0</v>
      </c>
      <c r="O160" s="474"/>
      <c r="P160" s="1038">
        <f t="shared" si="301"/>
        <v>0</v>
      </c>
      <c r="Q160" s="1324">
        <f t="shared" si="302"/>
        <v>0</v>
      </c>
      <c r="R160" s="1324">
        <f t="shared" si="303"/>
        <v>0</v>
      </c>
      <c r="S160" s="1324">
        <f t="shared" si="304"/>
        <v>0</v>
      </c>
      <c r="T160" s="1324">
        <f t="shared" si="305"/>
        <v>0</v>
      </c>
      <c r="U160" s="1324">
        <f t="shared" si="306"/>
        <v>0</v>
      </c>
      <c r="V160" s="1325">
        <f t="shared" si="307"/>
        <v>0</v>
      </c>
      <c r="W160" s="521" t="e">
        <f t="shared" si="290"/>
        <v>#N/A</v>
      </c>
      <c r="X160" s="1333" t="e">
        <f t="shared" si="291"/>
        <v>#N/A</v>
      </c>
      <c r="Y160" s="1333" t="e">
        <f t="shared" si="292"/>
        <v>#N/A</v>
      </c>
      <c r="Z160" s="1333" t="e">
        <f t="shared" si="293"/>
        <v>#N/A</v>
      </c>
      <c r="AA160" s="1333" t="e">
        <f t="shared" si="294"/>
        <v>#N/A</v>
      </c>
      <c r="AB160" s="500" t="e">
        <f t="shared" si="295"/>
        <v>#N/A</v>
      </c>
      <c r="AD160" s="468"/>
      <c r="AE160" s="469"/>
      <c r="AF160" s="469"/>
      <c r="AG160" s="470"/>
      <c r="AH160" s="470"/>
      <c r="AI160" s="472"/>
      <c r="AJ160" s="472"/>
      <c r="AK160" s="473"/>
      <c r="AL160" s="474"/>
      <c r="AM160" s="474"/>
      <c r="AN160" s="474"/>
      <c r="AO160" s="474"/>
      <c r="AP160" s="474"/>
      <c r="AQ160" s="474"/>
      <c r="AR160" s="474"/>
      <c r="AS160" s="474"/>
      <c r="AT160" s="474"/>
      <c r="AU160" s="474"/>
      <c r="AV160" s="474"/>
      <c r="AW160" s="474"/>
      <c r="AX160" s="474"/>
      <c r="AY160" s="474"/>
      <c r="AZ160" s="474"/>
    </row>
    <row r="161" spans="2:52" x14ac:dyDescent="0.25">
      <c r="B161" s="327">
        <v>12</v>
      </c>
      <c r="C161" s="347">
        <f>TREND(C148:C149,B148:B149,B161)</f>
        <v>0</v>
      </c>
      <c r="D161" s="372">
        <f>TREND(D148:D149,B148:B149,B161)</f>
        <v>0</v>
      </c>
      <c r="E161" s="373">
        <f>TREND(E148:E149,B148:B149,B161)</f>
        <v>5</v>
      </c>
      <c r="F161" s="374">
        <f>TREND(F148:F149,B148:B149,B161)</f>
        <v>5</v>
      </c>
      <c r="G161" s="339">
        <f t="shared" si="278"/>
        <v>0</v>
      </c>
      <c r="H161" s="436">
        <f t="shared" si="279"/>
        <v>0</v>
      </c>
      <c r="I161" s="521">
        <f t="shared" si="297"/>
        <v>0</v>
      </c>
      <c r="J161" s="500">
        <f t="shared" si="298"/>
        <v>0</v>
      </c>
      <c r="K161" s="521">
        <f t="shared" si="299"/>
        <v>0</v>
      </c>
      <c r="L161" s="500">
        <f t="shared" si="300"/>
        <v>0</v>
      </c>
      <c r="M161" s="285">
        <f t="shared" si="296"/>
        <v>0</v>
      </c>
      <c r="N161" s="323">
        <f t="shared" si="282"/>
        <v>0</v>
      </c>
      <c r="O161" s="474"/>
      <c r="P161" s="1038">
        <f t="shared" si="301"/>
        <v>0</v>
      </c>
      <c r="Q161" s="1324">
        <f t="shared" si="302"/>
        <v>0</v>
      </c>
      <c r="R161" s="1324">
        <f t="shared" si="303"/>
        <v>0</v>
      </c>
      <c r="S161" s="1324">
        <f t="shared" si="304"/>
        <v>0</v>
      </c>
      <c r="T161" s="1324">
        <f t="shared" si="305"/>
        <v>0</v>
      </c>
      <c r="U161" s="1324">
        <f t="shared" si="306"/>
        <v>0</v>
      </c>
      <c r="V161" s="1325">
        <f t="shared" si="307"/>
        <v>0</v>
      </c>
      <c r="W161" s="521" t="e">
        <f t="shared" si="290"/>
        <v>#N/A</v>
      </c>
      <c r="X161" s="1333" t="e">
        <f t="shared" si="291"/>
        <v>#N/A</v>
      </c>
      <c r="Y161" s="1333" t="e">
        <f t="shared" si="292"/>
        <v>#N/A</v>
      </c>
      <c r="Z161" s="1333" t="e">
        <f t="shared" si="293"/>
        <v>#N/A</v>
      </c>
      <c r="AA161" s="1333" t="e">
        <f t="shared" si="294"/>
        <v>#N/A</v>
      </c>
      <c r="AB161" s="500" t="e">
        <f t="shared" si="295"/>
        <v>#N/A</v>
      </c>
      <c r="AD161" s="468"/>
      <c r="AE161" s="469"/>
      <c r="AF161" s="469"/>
      <c r="AG161" s="470"/>
      <c r="AH161" s="470"/>
      <c r="AI161" s="472"/>
      <c r="AJ161" s="472"/>
      <c r="AK161" s="473"/>
      <c r="AL161" s="474"/>
      <c r="AM161" s="474"/>
      <c r="AN161" s="474"/>
      <c r="AO161" s="474"/>
      <c r="AP161" s="474"/>
      <c r="AQ161" s="474"/>
      <c r="AR161" s="474"/>
      <c r="AS161" s="474"/>
      <c r="AT161" s="474"/>
      <c r="AU161" s="474"/>
      <c r="AV161" s="474"/>
      <c r="AW161" s="474"/>
      <c r="AX161" s="474"/>
      <c r="AY161" s="474"/>
      <c r="AZ161" s="474"/>
    </row>
    <row r="162" spans="2:52" x14ac:dyDescent="0.25">
      <c r="B162" s="327">
        <v>13</v>
      </c>
      <c r="C162" s="347">
        <f>TREND(C148:C149,B148:B149,B162)</f>
        <v>0</v>
      </c>
      <c r="D162" s="372">
        <f>TREND(D148:D149,B148:B149,B162)</f>
        <v>0</v>
      </c>
      <c r="E162" s="373">
        <f>TREND(E148:E149,B148:B149,B162)</f>
        <v>5</v>
      </c>
      <c r="F162" s="374">
        <f>TREND(F148:F149,B148:B149,B162)</f>
        <v>5</v>
      </c>
      <c r="G162" s="339">
        <f t="shared" si="278"/>
        <v>0</v>
      </c>
      <c r="H162" s="436">
        <f t="shared" si="279"/>
        <v>0</v>
      </c>
      <c r="I162" s="521">
        <f t="shared" si="297"/>
        <v>0</v>
      </c>
      <c r="J162" s="500">
        <f t="shared" si="298"/>
        <v>0</v>
      </c>
      <c r="K162" s="521">
        <f t="shared" si="299"/>
        <v>0</v>
      </c>
      <c r="L162" s="500">
        <f t="shared" si="300"/>
        <v>0</v>
      </c>
      <c r="M162" s="285">
        <f t="shared" si="296"/>
        <v>0</v>
      </c>
      <c r="N162" s="323">
        <f t="shared" si="282"/>
        <v>0</v>
      </c>
      <c r="O162" s="474"/>
      <c r="P162" s="1038">
        <f t="shared" si="301"/>
        <v>0</v>
      </c>
      <c r="Q162" s="1324">
        <f t="shared" si="302"/>
        <v>0</v>
      </c>
      <c r="R162" s="1324">
        <f t="shared" si="303"/>
        <v>0</v>
      </c>
      <c r="S162" s="1324">
        <f t="shared" si="304"/>
        <v>0</v>
      </c>
      <c r="T162" s="1324">
        <f t="shared" si="305"/>
        <v>0</v>
      </c>
      <c r="U162" s="1324">
        <f t="shared" si="306"/>
        <v>0</v>
      </c>
      <c r="V162" s="1325">
        <f t="shared" si="307"/>
        <v>0</v>
      </c>
      <c r="W162" s="521" t="e">
        <f t="shared" si="290"/>
        <v>#N/A</v>
      </c>
      <c r="X162" s="1333" t="e">
        <f t="shared" si="291"/>
        <v>#N/A</v>
      </c>
      <c r="Y162" s="1333" t="e">
        <f t="shared" si="292"/>
        <v>#N/A</v>
      </c>
      <c r="Z162" s="1333" t="e">
        <f t="shared" si="293"/>
        <v>#N/A</v>
      </c>
      <c r="AA162" s="1333" t="e">
        <f t="shared" si="294"/>
        <v>#N/A</v>
      </c>
      <c r="AB162" s="500" t="e">
        <f t="shared" si="295"/>
        <v>#N/A</v>
      </c>
      <c r="AD162" s="468"/>
      <c r="AE162" s="469"/>
      <c r="AF162" s="469"/>
      <c r="AG162" s="470"/>
      <c r="AH162" s="470"/>
      <c r="AI162" s="472"/>
      <c r="AJ162" s="472"/>
      <c r="AK162" s="473"/>
      <c r="AL162" s="474"/>
      <c r="AM162" s="474"/>
      <c r="AN162" s="474"/>
      <c r="AO162" s="474"/>
      <c r="AP162" s="474"/>
      <c r="AQ162" s="474"/>
      <c r="AR162" s="474"/>
      <c r="AS162" s="474"/>
      <c r="AT162" s="474"/>
      <c r="AU162" s="474"/>
      <c r="AV162" s="474"/>
      <c r="AW162" s="474"/>
      <c r="AX162" s="474"/>
      <c r="AY162" s="474"/>
      <c r="AZ162" s="474"/>
    </row>
    <row r="163" spans="2:52" x14ac:dyDescent="0.25">
      <c r="B163" s="327">
        <v>14</v>
      </c>
      <c r="C163" s="347">
        <f>TREND(C148:C149,B148:B149,B163)</f>
        <v>0</v>
      </c>
      <c r="D163" s="372">
        <f>TREND(D148:D149,B148:B149,B163)</f>
        <v>0</v>
      </c>
      <c r="E163" s="373">
        <f>TREND(E148:E149,B148:B149,B163)</f>
        <v>5</v>
      </c>
      <c r="F163" s="374">
        <f>TREND(F148:F149,B148:B149,B163)</f>
        <v>5</v>
      </c>
      <c r="G163" s="339">
        <f t="shared" si="278"/>
        <v>0</v>
      </c>
      <c r="H163" s="436">
        <f t="shared" si="279"/>
        <v>0</v>
      </c>
      <c r="I163" s="521">
        <f t="shared" si="297"/>
        <v>0</v>
      </c>
      <c r="J163" s="500">
        <f t="shared" si="298"/>
        <v>0</v>
      </c>
      <c r="K163" s="521">
        <f t="shared" si="299"/>
        <v>0</v>
      </c>
      <c r="L163" s="500">
        <f t="shared" si="300"/>
        <v>0</v>
      </c>
      <c r="M163" s="285">
        <f t="shared" si="296"/>
        <v>0</v>
      </c>
      <c r="N163" s="323">
        <f t="shared" si="282"/>
        <v>0</v>
      </c>
      <c r="O163" s="474"/>
      <c r="P163" s="1038">
        <f t="shared" si="301"/>
        <v>0</v>
      </c>
      <c r="Q163" s="1324">
        <f t="shared" si="302"/>
        <v>0</v>
      </c>
      <c r="R163" s="1324">
        <f t="shared" si="303"/>
        <v>0</v>
      </c>
      <c r="S163" s="1324">
        <f t="shared" si="304"/>
        <v>0</v>
      </c>
      <c r="T163" s="1324">
        <f t="shared" si="305"/>
        <v>0</v>
      </c>
      <c r="U163" s="1324">
        <f t="shared" si="306"/>
        <v>0</v>
      </c>
      <c r="V163" s="1325">
        <f t="shared" si="307"/>
        <v>0</v>
      </c>
      <c r="W163" s="521" t="e">
        <f t="shared" si="290"/>
        <v>#N/A</v>
      </c>
      <c r="X163" s="1333" t="e">
        <f t="shared" si="291"/>
        <v>#N/A</v>
      </c>
      <c r="Y163" s="1333" t="e">
        <f t="shared" si="292"/>
        <v>#N/A</v>
      </c>
      <c r="Z163" s="1333" t="e">
        <f t="shared" si="293"/>
        <v>#N/A</v>
      </c>
      <c r="AA163" s="1333" t="e">
        <f t="shared" si="294"/>
        <v>#N/A</v>
      </c>
      <c r="AB163" s="500" t="e">
        <f t="shared" si="295"/>
        <v>#N/A</v>
      </c>
      <c r="AD163" s="468"/>
      <c r="AE163" s="469"/>
      <c r="AF163" s="469"/>
      <c r="AG163" s="470"/>
      <c r="AH163" s="470"/>
      <c r="AI163" s="472"/>
      <c r="AJ163" s="472"/>
      <c r="AK163" s="473"/>
      <c r="AL163" s="474"/>
      <c r="AM163" s="474"/>
      <c r="AN163" s="474"/>
      <c r="AO163" s="474"/>
      <c r="AP163" s="474"/>
      <c r="AQ163" s="474"/>
      <c r="AR163" s="474"/>
      <c r="AS163" s="474"/>
      <c r="AT163" s="474"/>
      <c r="AU163" s="474"/>
      <c r="AV163" s="474"/>
      <c r="AW163" s="474"/>
      <c r="AX163" s="474"/>
      <c r="AY163" s="474"/>
      <c r="AZ163" s="474"/>
    </row>
    <row r="164" spans="2:52" x14ac:dyDescent="0.25">
      <c r="B164" s="327">
        <v>15</v>
      </c>
      <c r="C164" s="347">
        <f>TREND(C148:C149,B148:B149,B164)</f>
        <v>0</v>
      </c>
      <c r="D164" s="372">
        <f>TREND(D148:D149,B148:B149,B164)</f>
        <v>0</v>
      </c>
      <c r="E164" s="373">
        <f>TREND(E148:E149,B148:B149,B164)</f>
        <v>5</v>
      </c>
      <c r="F164" s="374">
        <f>TREND(F148:F149,B148:B149,B164)</f>
        <v>5</v>
      </c>
      <c r="G164" s="339">
        <f t="shared" si="278"/>
        <v>0</v>
      </c>
      <c r="H164" s="436">
        <f t="shared" si="279"/>
        <v>0</v>
      </c>
      <c r="I164" s="521">
        <f t="shared" si="297"/>
        <v>0</v>
      </c>
      <c r="J164" s="500">
        <f t="shared" si="298"/>
        <v>0</v>
      </c>
      <c r="K164" s="521">
        <f t="shared" si="299"/>
        <v>0</v>
      </c>
      <c r="L164" s="500">
        <f t="shared" si="300"/>
        <v>0</v>
      </c>
      <c r="M164" s="285">
        <f t="shared" si="296"/>
        <v>0</v>
      </c>
      <c r="N164" s="323">
        <f t="shared" si="282"/>
        <v>0</v>
      </c>
      <c r="O164" s="474"/>
      <c r="P164" s="1038">
        <f t="shared" si="301"/>
        <v>0</v>
      </c>
      <c r="Q164" s="1324">
        <f t="shared" si="302"/>
        <v>0</v>
      </c>
      <c r="R164" s="1324">
        <f t="shared" si="303"/>
        <v>0</v>
      </c>
      <c r="S164" s="1324">
        <f t="shared" si="304"/>
        <v>0</v>
      </c>
      <c r="T164" s="1324">
        <f t="shared" si="305"/>
        <v>0</v>
      </c>
      <c r="U164" s="1324">
        <f t="shared" si="306"/>
        <v>0</v>
      </c>
      <c r="V164" s="1325">
        <f t="shared" si="307"/>
        <v>0</v>
      </c>
      <c r="W164" s="521" t="e">
        <f t="shared" si="290"/>
        <v>#N/A</v>
      </c>
      <c r="X164" s="1333" t="e">
        <f t="shared" si="291"/>
        <v>#N/A</v>
      </c>
      <c r="Y164" s="1333" t="e">
        <f t="shared" si="292"/>
        <v>#N/A</v>
      </c>
      <c r="Z164" s="1333" t="e">
        <f t="shared" si="293"/>
        <v>#N/A</v>
      </c>
      <c r="AA164" s="1333" t="e">
        <f t="shared" si="294"/>
        <v>#N/A</v>
      </c>
      <c r="AB164" s="500" t="e">
        <f t="shared" si="295"/>
        <v>#N/A</v>
      </c>
      <c r="AD164" s="468"/>
      <c r="AE164" s="469"/>
      <c r="AF164" s="469"/>
      <c r="AG164" s="470"/>
      <c r="AH164" s="470"/>
      <c r="AI164" s="472"/>
      <c r="AJ164" s="472"/>
      <c r="AK164" s="473"/>
      <c r="AL164" s="474"/>
      <c r="AM164" s="474"/>
      <c r="AN164" s="474"/>
      <c r="AO164" s="474"/>
      <c r="AP164" s="474"/>
      <c r="AQ164" s="474"/>
      <c r="AR164" s="474"/>
      <c r="AS164" s="474"/>
      <c r="AT164" s="474"/>
      <c r="AU164" s="474"/>
      <c r="AV164" s="474"/>
      <c r="AW164" s="474"/>
      <c r="AX164" s="474"/>
      <c r="AY164" s="474"/>
      <c r="AZ164" s="474"/>
    </row>
    <row r="165" spans="2:52" x14ac:dyDescent="0.25">
      <c r="B165" s="327">
        <v>16</v>
      </c>
      <c r="C165" s="347">
        <f>TREND(C148:C149,B148:B149,B165)</f>
        <v>0</v>
      </c>
      <c r="D165" s="372">
        <f>TREND(D148:D149,B148:B149,B165)</f>
        <v>0</v>
      </c>
      <c r="E165" s="373">
        <f>TREND(E148:E149,B148:B149,B165)</f>
        <v>5</v>
      </c>
      <c r="F165" s="374">
        <f>TREND(F148:F149,B148:B149,B165)</f>
        <v>5</v>
      </c>
      <c r="G165" s="339">
        <f t="shared" si="278"/>
        <v>0</v>
      </c>
      <c r="H165" s="436">
        <f t="shared" si="279"/>
        <v>0</v>
      </c>
      <c r="I165" s="521">
        <f t="shared" si="297"/>
        <v>0</v>
      </c>
      <c r="J165" s="500">
        <f t="shared" si="298"/>
        <v>0</v>
      </c>
      <c r="K165" s="521">
        <f t="shared" si="299"/>
        <v>0</v>
      </c>
      <c r="L165" s="500">
        <f t="shared" si="300"/>
        <v>0</v>
      </c>
      <c r="M165" s="285">
        <f t="shared" si="296"/>
        <v>0</v>
      </c>
      <c r="N165" s="323">
        <f t="shared" si="282"/>
        <v>0</v>
      </c>
      <c r="O165" s="474"/>
      <c r="P165" s="1038">
        <f t="shared" si="301"/>
        <v>0</v>
      </c>
      <c r="Q165" s="1324">
        <f t="shared" si="302"/>
        <v>0</v>
      </c>
      <c r="R165" s="1324">
        <f t="shared" si="303"/>
        <v>0</v>
      </c>
      <c r="S165" s="1324">
        <f t="shared" si="304"/>
        <v>0</v>
      </c>
      <c r="T165" s="1324">
        <f t="shared" si="305"/>
        <v>0</v>
      </c>
      <c r="U165" s="1324">
        <f t="shared" si="306"/>
        <v>0</v>
      </c>
      <c r="V165" s="1325">
        <f t="shared" si="307"/>
        <v>0</v>
      </c>
      <c r="W165" s="521" t="e">
        <f t="shared" si="290"/>
        <v>#N/A</v>
      </c>
      <c r="X165" s="1333" t="e">
        <f t="shared" si="291"/>
        <v>#N/A</v>
      </c>
      <c r="Y165" s="1333" t="e">
        <f t="shared" si="292"/>
        <v>#N/A</v>
      </c>
      <c r="Z165" s="1333" t="e">
        <f t="shared" si="293"/>
        <v>#N/A</v>
      </c>
      <c r="AA165" s="1333" t="e">
        <f t="shared" si="294"/>
        <v>#N/A</v>
      </c>
      <c r="AB165" s="500" t="e">
        <f t="shared" si="295"/>
        <v>#N/A</v>
      </c>
      <c r="AD165" s="468"/>
      <c r="AE165" s="469"/>
      <c r="AF165" s="469"/>
      <c r="AG165" s="470"/>
      <c r="AH165" s="470"/>
      <c r="AI165" s="472"/>
      <c r="AJ165" s="472"/>
      <c r="AK165" s="473"/>
      <c r="AL165" s="474"/>
      <c r="AM165" s="474"/>
      <c r="AN165" s="474"/>
      <c r="AO165" s="474"/>
      <c r="AP165" s="474"/>
      <c r="AQ165" s="474"/>
      <c r="AR165" s="474"/>
      <c r="AS165" s="474"/>
      <c r="AT165" s="474"/>
      <c r="AU165" s="474"/>
      <c r="AV165" s="474"/>
      <c r="AW165" s="474"/>
      <c r="AX165" s="474"/>
      <c r="AY165" s="474"/>
      <c r="AZ165" s="474"/>
    </row>
    <row r="166" spans="2:52" x14ac:dyDescent="0.25">
      <c r="B166" s="327">
        <v>17</v>
      </c>
      <c r="C166" s="347">
        <f>TREND(C148:C149,B148:B149,B166)</f>
        <v>0</v>
      </c>
      <c r="D166" s="372">
        <f>TREND(D148:D149,B148:B149,B166)</f>
        <v>0</v>
      </c>
      <c r="E166" s="373">
        <f>TREND(E148:E149,B148:B149,B166)</f>
        <v>5</v>
      </c>
      <c r="F166" s="374">
        <f>TREND(F148:F149,B148:B149,B166)</f>
        <v>5</v>
      </c>
      <c r="G166" s="339">
        <f t="shared" si="278"/>
        <v>0</v>
      </c>
      <c r="H166" s="436">
        <f t="shared" si="279"/>
        <v>0</v>
      </c>
      <c r="I166" s="521">
        <f t="shared" si="297"/>
        <v>0</v>
      </c>
      <c r="J166" s="500">
        <f t="shared" si="298"/>
        <v>0</v>
      </c>
      <c r="K166" s="521">
        <f t="shared" si="299"/>
        <v>0</v>
      </c>
      <c r="L166" s="500">
        <f t="shared" si="300"/>
        <v>0</v>
      </c>
      <c r="M166" s="285">
        <f t="shared" si="296"/>
        <v>0</v>
      </c>
      <c r="N166" s="323">
        <f t="shared" si="282"/>
        <v>0</v>
      </c>
      <c r="O166" s="474"/>
      <c r="P166" s="1038">
        <f t="shared" si="301"/>
        <v>0</v>
      </c>
      <c r="Q166" s="1324">
        <f t="shared" si="302"/>
        <v>0</v>
      </c>
      <c r="R166" s="1324">
        <f t="shared" si="303"/>
        <v>0</v>
      </c>
      <c r="S166" s="1324">
        <f t="shared" si="304"/>
        <v>0</v>
      </c>
      <c r="T166" s="1324">
        <f t="shared" si="305"/>
        <v>0</v>
      </c>
      <c r="U166" s="1324">
        <f t="shared" si="306"/>
        <v>0</v>
      </c>
      <c r="V166" s="1325">
        <f t="shared" si="307"/>
        <v>0</v>
      </c>
      <c r="W166" s="521" t="e">
        <f t="shared" si="290"/>
        <v>#N/A</v>
      </c>
      <c r="X166" s="1333" t="e">
        <f t="shared" si="291"/>
        <v>#N/A</v>
      </c>
      <c r="Y166" s="1333" t="e">
        <f t="shared" si="292"/>
        <v>#N/A</v>
      </c>
      <c r="Z166" s="1333" t="e">
        <f t="shared" si="293"/>
        <v>#N/A</v>
      </c>
      <c r="AA166" s="1333" t="e">
        <f t="shared" si="294"/>
        <v>#N/A</v>
      </c>
      <c r="AB166" s="500" t="e">
        <f t="shared" si="295"/>
        <v>#N/A</v>
      </c>
      <c r="AD166" s="468"/>
      <c r="AE166" s="469"/>
      <c r="AF166" s="469"/>
      <c r="AG166" s="470"/>
      <c r="AH166" s="470"/>
      <c r="AI166" s="472"/>
      <c r="AJ166" s="472"/>
      <c r="AK166" s="473"/>
      <c r="AL166" s="474"/>
      <c r="AM166" s="474"/>
      <c r="AN166" s="474"/>
      <c r="AO166" s="474"/>
      <c r="AP166" s="474"/>
      <c r="AQ166" s="474"/>
      <c r="AR166" s="474"/>
      <c r="AS166" s="474"/>
      <c r="AT166" s="474"/>
      <c r="AU166" s="474"/>
      <c r="AV166" s="474"/>
      <c r="AW166" s="474"/>
      <c r="AX166" s="474"/>
      <c r="AY166" s="474"/>
      <c r="AZ166" s="474"/>
    </row>
    <row r="167" spans="2:52" x14ac:dyDescent="0.25">
      <c r="B167" s="327">
        <v>18</v>
      </c>
      <c r="C167" s="347">
        <f>TREND(C148:C149,B148:B149,B167)</f>
        <v>0</v>
      </c>
      <c r="D167" s="372">
        <f>TREND(D148:D149,B148:B149,B167)</f>
        <v>0</v>
      </c>
      <c r="E167" s="373">
        <f>TREND(E148:E149,B148:B149,B167)</f>
        <v>5</v>
      </c>
      <c r="F167" s="374">
        <f>TREND(F148:F149,B148:B149,B167)</f>
        <v>5</v>
      </c>
      <c r="G167" s="339">
        <f t="shared" si="278"/>
        <v>0</v>
      </c>
      <c r="H167" s="436">
        <f t="shared" si="279"/>
        <v>0</v>
      </c>
      <c r="I167" s="521">
        <f t="shared" si="297"/>
        <v>0</v>
      </c>
      <c r="J167" s="500">
        <f t="shared" si="298"/>
        <v>0</v>
      </c>
      <c r="K167" s="521">
        <f t="shared" si="299"/>
        <v>0</v>
      </c>
      <c r="L167" s="500">
        <f t="shared" si="300"/>
        <v>0</v>
      </c>
      <c r="M167" s="285">
        <f t="shared" si="296"/>
        <v>0</v>
      </c>
      <c r="N167" s="323">
        <f t="shared" si="282"/>
        <v>0</v>
      </c>
      <c r="O167" s="474"/>
      <c r="P167" s="1038">
        <f t="shared" si="301"/>
        <v>0</v>
      </c>
      <c r="Q167" s="1324">
        <f t="shared" si="302"/>
        <v>0</v>
      </c>
      <c r="R167" s="1324">
        <f t="shared" si="303"/>
        <v>0</v>
      </c>
      <c r="S167" s="1324">
        <f t="shared" si="304"/>
        <v>0</v>
      </c>
      <c r="T167" s="1324">
        <f t="shared" si="305"/>
        <v>0</v>
      </c>
      <c r="U167" s="1324">
        <f t="shared" si="306"/>
        <v>0</v>
      </c>
      <c r="V167" s="1325">
        <f t="shared" si="307"/>
        <v>0</v>
      </c>
      <c r="W167" s="521" t="e">
        <f t="shared" si="290"/>
        <v>#N/A</v>
      </c>
      <c r="X167" s="1333" t="e">
        <f t="shared" si="291"/>
        <v>#N/A</v>
      </c>
      <c r="Y167" s="1333" t="e">
        <f t="shared" si="292"/>
        <v>#N/A</v>
      </c>
      <c r="Z167" s="1333" t="e">
        <f t="shared" si="293"/>
        <v>#N/A</v>
      </c>
      <c r="AA167" s="1333" t="e">
        <f t="shared" si="294"/>
        <v>#N/A</v>
      </c>
      <c r="AB167" s="500" t="e">
        <f t="shared" si="295"/>
        <v>#N/A</v>
      </c>
      <c r="AD167" s="468"/>
      <c r="AE167" s="469"/>
      <c r="AF167" s="469"/>
      <c r="AG167" s="470"/>
      <c r="AH167" s="470"/>
      <c r="AI167" s="472"/>
      <c r="AJ167" s="472"/>
      <c r="AK167" s="473"/>
      <c r="AL167" s="474"/>
      <c r="AM167" s="474"/>
      <c r="AN167" s="474"/>
      <c r="AO167" s="474"/>
      <c r="AP167" s="474"/>
      <c r="AQ167" s="474"/>
      <c r="AR167" s="474"/>
      <c r="AS167" s="474"/>
      <c r="AT167" s="474"/>
      <c r="AU167" s="474"/>
      <c r="AV167" s="474"/>
      <c r="AW167" s="474"/>
      <c r="AX167" s="474"/>
      <c r="AY167" s="474"/>
      <c r="AZ167" s="474"/>
    </row>
    <row r="168" spans="2:52" x14ac:dyDescent="0.25">
      <c r="B168" s="359">
        <v>19</v>
      </c>
      <c r="C168" s="360">
        <f>TREND(C148:C149,B148:B149,B168)</f>
        <v>0</v>
      </c>
      <c r="D168" s="375">
        <f>TREND(D148:D149,B148:B149,B168)</f>
        <v>0</v>
      </c>
      <c r="E168" s="376">
        <f>TREND(E148:E149,B148:B149,B168)</f>
        <v>5</v>
      </c>
      <c r="F168" s="377">
        <f>TREND(F148:F149,B148:B149,B168)</f>
        <v>5</v>
      </c>
      <c r="G168" s="339">
        <f t="shared" si="278"/>
        <v>0</v>
      </c>
      <c r="H168" s="435">
        <f t="shared" si="279"/>
        <v>0</v>
      </c>
      <c r="I168" s="520">
        <f t="shared" si="297"/>
        <v>0</v>
      </c>
      <c r="J168" s="499">
        <f t="shared" si="298"/>
        <v>0</v>
      </c>
      <c r="K168" s="520">
        <f t="shared" si="299"/>
        <v>0</v>
      </c>
      <c r="L168" s="499">
        <f t="shared" si="300"/>
        <v>0</v>
      </c>
      <c r="M168" s="285">
        <f t="shared" si="296"/>
        <v>0</v>
      </c>
      <c r="N168" s="323">
        <f t="shared" si="282"/>
        <v>0</v>
      </c>
      <c r="O168" s="474"/>
      <c r="P168" s="1037">
        <f t="shared" si="301"/>
        <v>0</v>
      </c>
      <c r="Q168" s="1322">
        <f t="shared" si="302"/>
        <v>0</v>
      </c>
      <c r="R168" s="1322">
        <f t="shared" si="303"/>
        <v>0</v>
      </c>
      <c r="S168" s="1322">
        <f t="shared" si="304"/>
        <v>0</v>
      </c>
      <c r="T168" s="1322">
        <f t="shared" si="305"/>
        <v>0</v>
      </c>
      <c r="U168" s="1322">
        <f t="shared" si="306"/>
        <v>0</v>
      </c>
      <c r="V168" s="1326">
        <f t="shared" si="307"/>
        <v>0</v>
      </c>
      <c r="W168" s="520" t="e">
        <f t="shared" si="290"/>
        <v>#N/A</v>
      </c>
      <c r="X168" s="1332" t="e">
        <f t="shared" si="291"/>
        <v>#N/A</v>
      </c>
      <c r="Y168" s="1332" t="e">
        <f t="shared" si="292"/>
        <v>#N/A</v>
      </c>
      <c r="Z168" s="1332" t="e">
        <f t="shared" si="293"/>
        <v>#N/A</v>
      </c>
      <c r="AA168" s="1332" t="e">
        <f t="shared" si="294"/>
        <v>#N/A</v>
      </c>
      <c r="AB168" s="499" t="e">
        <f t="shared" si="295"/>
        <v>#N/A</v>
      </c>
      <c r="AD168" s="468"/>
      <c r="AE168" s="469"/>
      <c r="AF168" s="469"/>
      <c r="AG168" s="470"/>
      <c r="AH168" s="470"/>
      <c r="AI168" s="472"/>
      <c r="AJ168" s="472"/>
      <c r="AK168" s="473"/>
      <c r="AL168" s="474"/>
      <c r="AM168" s="474"/>
      <c r="AN168" s="474"/>
      <c r="AO168" s="474"/>
      <c r="AP168" s="474"/>
      <c r="AQ168" s="474"/>
      <c r="AR168" s="474"/>
      <c r="AS168" s="474"/>
      <c r="AT168" s="474"/>
      <c r="AU168" s="474"/>
      <c r="AV168" s="474"/>
      <c r="AW168" s="474"/>
      <c r="AX168" s="474"/>
      <c r="AY168" s="474"/>
      <c r="AZ168" s="474"/>
    </row>
    <row r="169" spans="2:52" x14ac:dyDescent="0.25">
      <c r="B169" s="357"/>
      <c r="C169" s="355"/>
      <c r="D169" s="355"/>
      <c r="E169" s="355"/>
      <c r="F169" s="355"/>
      <c r="G169" s="356"/>
      <c r="H169" s="356"/>
      <c r="I169" s="356"/>
      <c r="J169" s="356"/>
      <c r="K169" s="356"/>
      <c r="L169" s="356"/>
      <c r="M169" s="356"/>
      <c r="N169" s="358"/>
      <c r="O169" s="475"/>
      <c r="P169" s="358"/>
      <c r="Q169" s="358"/>
      <c r="R169" s="358"/>
      <c r="S169" s="358"/>
      <c r="T169" s="358"/>
      <c r="U169" s="358"/>
      <c r="V169" s="358"/>
      <c r="W169" s="475"/>
      <c r="X169" s="475"/>
      <c r="Y169" s="475"/>
      <c r="Z169" s="475"/>
      <c r="AA169" s="475"/>
      <c r="AB169" s="475"/>
      <c r="AD169" s="468"/>
      <c r="AE169" s="469"/>
      <c r="AF169" s="469"/>
      <c r="AG169" s="469"/>
      <c r="AH169" s="469"/>
      <c r="AI169" s="472"/>
      <c r="AJ169" s="472"/>
      <c r="AK169" s="472"/>
      <c r="AL169" s="475"/>
      <c r="AM169" s="475"/>
      <c r="AN169" s="475"/>
      <c r="AO169" s="475"/>
      <c r="AP169" s="475"/>
      <c r="AQ169" s="475"/>
      <c r="AR169" s="475"/>
      <c r="AS169" s="475"/>
      <c r="AT169" s="475"/>
      <c r="AU169" s="475"/>
      <c r="AV169" s="475"/>
      <c r="AW169" s="475"/>
      <c r="AX169" s="475"/>
      <c r="AY169" s="475"/>
      <c r="AZ169" s="475"/>
    </row>
    <row r="170" spans="2:52" ht="13" x14ac:dyDescent="0.25">
      <c r="B170" s="329" t="s">
        <v>172</v>
      </c>
      <c r="C170" s="330"/>
      <c r="D170" s="331"/>
      <c r="E170" s="331"/>
      <c r="F170" s="331"/>
      <c r="G170" s="331"/>
      <c r="H170" s="331"/>
      <c r="I170" s="331"/>
      <c r="J170" s="332"/>
      <c r="K170" s="331"/>
      <c r="L170" s="332"/>
      <c r="M170" s="341"/>
      <c r="N170" s="342">
        <f>SUM(N148:N168)</f>
        <v>0</v>
      </c>
      <c r="O170" s="477"/>
      <c r="P170" s="1039">
        <f t="shared" ref="P170" si="308">SUM(P148:P168)</f>
        <v>0</v>
      </c>
      <c r="Q170" s="1327">
        <f>SUM(Q148:Q168)</f>
        <v>0</v>
      </c>
      <c r="R170" s="1327">
        <f t="shared" ref="R170:V170" si="309">SUM(R148:R168)</f>
        <v>0</v>
      </c>
      <c r="S170" s="1327">
        <f t="shared" si="309"/>
        <v>0</v>
      </c>
      <c r="T170" s="1327">
        <f t="shared" si="309"/>
        <v>0</v>
      </c>
      <c r="U170" s="1327">
        <f t="shared" si="309"/>
        <v>0</v>
      </c>
      <c r="V170" s="1328">
        <f t="shared" si="309"/>
        <v>0</v>
      </c>
      <c r="W170" s="1334" t="e">
        <f>SUM(W148:W168)</f>
        <v>#N/A</v>
      </c>
      <c r="X170" s="1335" t="e">
        <f>SUM(X148:X168)</f>
        <v>#N/A</v>
      </c>
      <c r="Y170" s="1335" t="e">
        <f t="shared" ref="Y170:AB170" si="310">SUM(Y148:Y168)</f>
        <v>#N/A</v>
      </c>
      <c r="Z170" s="1335" t="e">
        <f t="shared" si="310"/>
        <v>#N/A</v>
      </c>
      <c r="AA170" s="1335" t="e">
        <f t="shared" si="310"/>
        <v>#N/A</v>
      </c>
      <c r="AB170" s="1040" t="e">
        <f t="shared" si="310"/>
        <v>#N/A</v>
      </c>
      <c r="AD170" s="465"/>
      <c r="AE170" s="476"/>
      <c r="AF170" s="271"/>
      <c r="AG170" s="271"/>
      <c r="AH170" s="271"/>
      <c r="AI170" s="271"/>
      <c r="AJ170" s="473"/>
      <c r="AK170" s="271"/>
      <c r="AL170" s="477"/>
      <c r="AM170" s="477"/>
      <c r="AN170" s="477"/>
      <c r="AO170" s="477"/>
      <c r="AP170" s="477"/>
      <c r="AQ170" s="477"/>
      <c r="AR170" s="477"/>
      <c r="AS170" s="477"/>
      <c r="AT170" s="477"/>
      <c r="AU170" s="477"/>
      <c r="AV170" s="477"/>
      <c r="AW170" s="477"/>
      <c r="AX170" s="477"/>
      <c r="AY170" s="477"/>
      <c r="AZ170" s="477"/>
    </row>
    <row r="171" spans="2:52" x14ac:dyDescent="0.25">
      <c r="O171" s="450"/>
      <c r="P171" s="450"/>
      <c r="Q171" s="450"/>
      <c r="R171" s="450"/>
      <c r="S171" s="450"/>
      <c r="T171" s="450"/>
      <c r="U171" s="450"/>
      <c r="V171" s="450"/>
      <c r="W171" s="450"/>
      <c r="X171" s="450"/>
      <c r="Y171" s="450"/>
      <c r="Z171" s="450"/>
      <c r="AA171" s="450"/>
      <c r="AB171" s="450"/>
      <c r="AD171" s="448"/>
      <c r="AE171" s="448"/>
      <c r="AF171" s="449"/>
      <c r="AG171" s="449"/>
      <c r="AH171" s="449"/>
      <c r="AI171" s="450"/>
      <c r="AJ171" s="450"/>
      <c r="AK171" s="450"/>
      <c r="AL171" s="450"/>
      <c r="AM171" s="450"/>
      <c r="AN171" s="450"/>
      <c r="AO171" s="450"/>
      <c r="AP171" s="450"/>
      <c r="AQ171" s="450"/>
      <c r="AR171" s="450"/>
      <c r="AS171" s="450"/>
      <c r="AT171" s="450"/>
      <c r="AU171" s="450"/>
      <c r="AV171" s="450"/>
      <c r="AW171" s="450"/>
      <c r="AX171" s="450"/>
      <c r="AY171" s="450"/>
      <c r="AZ171" s="450"/>
    </row>
    <row r="172" spans="2:52" x14ac:dyDescent="0.25">
      <c r="O172" s="450"/>
      <c r="P172" s="450"/>
      <c r="Q172" s="450"/>
      <c r="R172" s="450"/>
      <c r="S172" s="450"/>
      <c r="T172" s="450"/>
      <c r="U172" s="450"/>
      <c r="V172" s="450"/>
      <c r="W172" s="450"/>
      <c r="X172" s="450"/>
      <c r="Y172" s="450"/>
      <c r="Z172" s="450"/>
      <c r="AA172" s="450"/>
      <c r="AB172" s="450"/>
      <c r="AD172" s="448"/>
      <c r="AE172" s="448"/>
      <c r="AF172" s="449"/>
      <c r="AG172" s="449"/>
      <c r="AH172" s="449"/>
      <c r="AI172" s="450"/>
      <c r="AJ172" s="450"/>
      <c r="AK172" s="450"/>
      <c r="AL172" s="450"/>
      <c r="AM172" s="450"/>
      <c r="AN172" s="450"/>
      <c r="AO172" s="450"/>
      <c r="AP172" s="450"/>
      <c r="AQ172" s="450"/>
      <c r="AR172" s="450"/>
      <c r="AS172" s="450"/>
      <c r="AT172" s="450"/>
      <c r="AU172" s="450"/>
      <c r="AV172" s="450"/>
      <c r="AW172" s="450"/>
      <c r="AX172" s="450"/>
      <c r="AY172" s="450"/>
      <c r="AZ172" s="450"/>
    </row>
    <row r="173" spans="2:52" ht="13" x14ac:dyDescent="0.25">
      <c r="B173" s="350" t="s">
        <v>553</v>
      </c>
      <c r="C173" s="88"/>
      <c r="D173" s="88"/>
      <c r="E173" s="88"/>
      <c r="F173" s="88"/>
      <c r="G173" s="88"/>
      <c r="H173" s="309"/>
      <c r="I173" s="309"/>
      <c r="J173" s="88"/>
      <c r="K173" s="309"/>
      <c r="L173" s="88"/>
      <c r="M173" s="88"/>
      <c r="N173" s="88"/>
      <c r="O173" s="273"/>
      <c r="P173" s="273"/>
      <c r="Q173" s="273"/>
      <c r="R173" s="273"/>
      <c r="S173" s="273"/>
      <c r="T173" s="273"/>
      <c r="U173" s="273"/>
      <c r="V173" s="273"/>
      <c r="W173" s="273"/>
      <c r="X173" s="273"/>
      <c r="Y173" s="273"/>
      <c r="Z173" s="273"/>
      <c r="AA173" s="273"/>
      <c r="AB173" s="273"/>
      <c r="AD173" s="448"/>
      <c r="AE173" s="448"/>
      <c r="AF173" s="449"/>
      <c r="AG173" s="449"/>
      <c r="AH173" s="449"/>
      <c r="AI173" s="450"/>
      <c r="AJ173" s="450"/>
      <c r="AK173" s="450"/>
      <c r="AL173" s="450"/>
      <c r="AM173" s="450"/>
      <c r="AN173" s="450"/>
      <c r="AO173" s="450"/>
      <c r="AP173" s="450"/>
      <c r="AQ173" s="450"/>
      <c r="AR173" s="450"/>
      <c r="AS173" s="450"/>
      <c r="AT173" s="450"/>
      <c r="AU173" s="450"/>
      <c r="AV173" s="450"/>
      <c r="AW173" s="450"/>
      <c r="AX173" s="450"/>
      <c r="AY173" s="450"/>
      <c r="AZ173" s="450"/>
    </row>
    <row r="174" spans="2:52" x14ac:dyDescent="0.25">
      <c r="B174" s="88"/>
      <c r="C174" s="88"/>
      <c r="D174" s="274"/>
      <c r="E174" s="274"/>
      <c r="F174" s="274"/>
      <c r="G174" s="88"/>
      <c r="H174" s="88"/>
      <c r="I174" s="88"/>
      <c r="J174" s="88"/>
      <c r="K174" s="88"/>
      <c r="L174" s="88"/>
      <c r="M174" s="88"/>
      <c r="N174" s="351"/>
      <c r="O174" s="1030"/>
      <c r="P174" s="1030"/>
      <c r="Q174" s="1030"/>
      <c r="R174" s="1030"/>
      <c r="S174" s="1030"/>
      <c r="T174" s="1030"/>
      <c r="U174" s="1030"/>
      <c r="V174" s="1030"/>
      <c r="W174" s="1030"/>
      <c r="X174" s="1030"/>
      <c r="Y174" s="1030"/>
      <c r="Z174" s="1030"/>
      <c r="AA174" s="1030"/>
      <c r="AB174" s="1030"/>
      <c r="AD174" s="448"/>
      <c r="AE174" s="448"/>
      <c r="AF174" s="449"/>
      <c r="AG174" s="449"/>
      <c r="AH174" s="449"/>
      <c r="AI174" s="450"/>
      <c r="AJ174" s="450"/>
      <c r="AK174" s="450"/>
      <c r="AL174" s="450"/>
      <c r="AM174" s="450"/>
      <c r="AN174" s="450"/>
      <c r="AO174" s="450"/>
      <c r="AP174" s="450"/>
      <c r="AQ174" s="450"/>
      <c r="AR174" s="450"/>
      <c r="AS174" s="450"/>
      <c r="AT174" s="450"/>
      <c r="AU174" s="450"/>
      <c r="AV174" s="450"/>
      <c r="AW174" s="450"/>
      <c r="AX174" s="450"/>
      <c r="AY174" s="450"/>
      <c r="AZ174" s="450"/>
    </row>
    <row r="175" spans="2:52" ht="15.5" x14ac:dyDescent="0.25">
      <c r="B175" s="317"/>
      <c r="C175" s="320" t="s">
        <v>230</v>
      </c>
      <c r="D175" s="361"/>
      <c r="E175" s="320" t="s">
        <v>231</v>
      </c>
      <c r="F175" s="333"/>
      <c r="G175" s="335" t="s">
        <v>272</v>
      </c>
      <c r="H175" s="321"/>
      <c r="I175" s="437" t="s">
        <v>510</v>
      </c>
      <c r="J175" s="438"/>
      <c r="K175" s="437" t="s">
        <v>511</v>
      </c>
      <c r="L175" s="438"/>
      <c r="M175" s="322"/>
      <c r="N175" s="343"/>
      <c r="O175" s="271"/>
      <c r="P175" s="437" t="s">
        <v>740</v>
      </c>
      <c r="Q175" s="437"/>
      <c r="R175" s="320"/>
      <c r="S175" s="320"/>
      <c r="T175" s="320"/>
      <c r="U175" s="320"/>
      <c r="V175" s="320"/>
      <c r="W175" s="437" t="s">
        <v>746</v>
      </c>
      <c r="X175" s="438"/>
      <c r="Y175" s="320"/>
      <c r="Z175" s="320"/>
      <c r="AA175" s="320"/>
      <c r="AB175" s="1315"/>
      <c r="AD175" s="448"/>
      <c r="AE175" s="448"/>
      <c r="AF175" s="449"/>
      <c r="AG175" s="449"/>
      <c r="AH175" s="449"/>
      <c r="AI175" s="450"/>
      <c r="AJ175" s="450"/>
      <c r="AK175" s="450"/>
      <c r="AL175" s="450"/>
      <c r="AM175" s="450"/>
      <c r="AN175" s="450"/>
      <c r="AO175" s="450"/>
      <c r="AP175" s="450"/>
      <c r="AQ175" s="450"/>
      <c r="AR175" s="450"/>
      <c r="AS175" s="450"/>
      <c r="AT175" s="450"/>
      <c r="AU175" s="450"/>
      <c r="AV175" s="450"/>
      <c r="AW175" s="450"/>
      <c r="AX175" s="450"/>
      <c r="AY175" s="450"/>
      <c r="AZ175" s="450"/>
    </row>
    <row r="176" spans="2:52" ht="14" x14ac:dyDescent="0.25">
      <c r="B176" s="318"/>
      <c r="C176" s="287" t="s">
        <v>237</v>
      </c>
      <c r="D176" s="362"/>
      <c r="E176" s="287" t="s">
        <v>238</v>
      </c>
      <c r="F176" s="334"/>
      <c r="G176" s="336" t="s">
        <v>274</v>
      </c>
      <c r="H176" s="288"/>
      <c r="I176" s="439" t="s">
        <v>275</v>
      </c>
      <c r="J176" s="440"/>
      <c r="K176" s="439" t="s">
        <v>275</v>
      </c>
      <c r="L176" s="440"/>
      <c r="M176" s="284"/>
      <c r="N176" s="344"/>
      <c r="O176" s="271"/>
      <c r="P176" s="1311" t="s">
        <v>748</v>
      </c>
      <c r="Q176" s="1311"/>
      <c r="R176" s="1312"/>
      <c r="S176" s="1312"/>
      <c r="T176" s="1312"/>
      <c r="U176" s="1312"/>
      <c r="V176" s="1316"/>
      <c r="W176" s="1311" t="s">
        <v>749</v>
      </c>
      <c r="X176" s="288"/>
      <c r="Y176" s="287"/>
      <c r="Z176" s="287"/>
      <c r="AA176" s="287"/>
      <c r="AB176" s="288"/>
      <c r="AD176" s="448"/>
      <c r="AE176" s="448"/>
      <c r="AF176" s="449"/>
      <c r="AG176" s="449"/>
      <c r="AH176" s="449"/>
      <c r="AI176" s="450"/>
      <c r="AJ176" s="450"/>
      <c r="AK176" s="450"/>
      <c r="AL176" s="450"/>
      <c r="AM176" s="450"/>
      <c r="AN176" s="450"/>
      <c r="AO176" s="450"/>
      <c r="AP176" s="450"/>
      <c r="AQ176" s="450"/>
      <c r="AR176" s="450"/>
      <c r="AS176" s="450"/>
      <c r="AT176" s="450"/>
      <c r="AU176" s="450"/>
      <c r="AV176" s="450"/>
      <c r="AW176" s="450"/>
      <c r="AX176" s="450"/>
      <c r="AY176" s="450"/>
      <c r="AZ176" s="450"/>
    </row>
    <row r="177" spans="2:52" ht="14" x14ac:dyDescent="0.25">
      <c r="B177" s="169" t="s">
        <v>135</v>
      </c>
      <c r="C177" s="316"/>
      <c r="D177" s="283"/>
      <c r="E177" s="316"/>
      <c r="F177" s="283"/>
      <c r="G177" s="316"/>
      <c r="H177" s="283"/>
      <c r="I177" s="316"/>
      <c r="J177" s="283"/>
      <c r="K177" s="316"/>
      <c r="L177" s="283"/>
      <c r="M177" s="286" t="s">
        <v>242</v>
      </c>
      <c r="N177" s="345" t="s">
        <v>139</v>
      </c>
      <c r="O177" s="465"/>
      <c r="P177" s="432"/>
      <c r="Q177" s="647"/>
      <c r="R177" s="647"/>
      <c r="S177" s="647"/>
      <c r="T177" s="647"/>
      <c r="U177" s="647"/>
      <c r="V177" s="1313"/>
      <c r="W177" s="432"/>
      <c r="X177" s="647"/>
      <c r="Y177" s="647"/>
      <c r="Z177" s="647"/>
      <c r="AA177" s="647"/>
      <c r="AB177" s="283"/>
      <c r="AD177" s="448"/>
      <c r="AE177" s="448"/>
      <c r="AF177" s="449"/>
      <c r="AG177" s="449"/>
      <c r="AH177" s="449"/>
      <c r="AI177" s="450"/>
      <c r="AJ177" s="450"/>
      <c r="AK177" s="450"/>
      <c r="AL177" s="450"/>
      <c r="AM177" s="450"/>
      <c r="AN177" s="450"/>
      <c r="AO177" s="450"/>
      <c r="AP177" s="450"/>
      <c r="AQ177" s="450"/>
      <c r="AR177" s="450"/>
      <c r="AS177" s="450"/>
      <c r="AT177" s="450"/>
      <c r="AU177" s="450"/>
      <c r="AV177" s="450"/>
      <c r="AW177" s="450"/>
      <c r="AX177" s="450"/>
      <c r="AY177" s="450"/>
      <c r="AZ177" s="450"/>
    </row>
    <row r="178" spans="2:52" ht="17" x14ac:dyDescent="0.25">
      <c r="B178" s="319"/>
      <c r="C178" s="324" t="s">
        <v>0</v>
      </c>
      <c r="D178" s="325" t="s">
        <v>1</v>
      </c>
      <c r="E178" s="324" t="s">
        <v>0</v>
      </c>
      <c r="F178" s="325" t="s">
        <v>1</v>
      </c>
      <c r="G178" s="324" t="s">
        <v>0</v>
      </c>
      <c r="H178" s="325" t="s">
        <v>1</v>
      </c>
      <c r="I178" s="324" t="s">
        <v>0</v>
      </c>
      <c r="J178" s="325" t="s">
        <v>1</v>
      </c>
      <c r="K178" s="324" t="s">
        <v>0</v>
      </c>
      <c r="L178" s="325" t="s">
        <v>1</v>
      </c>
      <c r="M178" s="326" t="s">
        <v>148</v>
      </c>
      <c r="N178" s="346" t="s">
        <v>149</v>
      </c>
      <c r="O178" s="465"/>
      <c r="P178" s="441" t="s">
        <v>380</v>
      </c>
      <c r="Q178" s="648" t="s">
        <v>741</v>
      </c>
      <c r="R178" s="648" t="s">
        <v>742</v>
      </c>
      <c r="S178" s="648" t="s">
        <v>743</v>
      </c>
      <c r="T178" s="648" t="s">
        <v>745</v>
      </c>
      <c r="U178" s="648" t="s">
        <v>384</v>
      </c>
      <c r="V178" s="1314" t="s">
        <v>744</v>
      </c>
      <c r="W178" s="441" t="s">
        <v>380</v>
      </c>
      <c r="X178" s="648" t="s">
        <v>741</v>
      </c>
      <c r="Y178" s="648" t="s">
        <v>742</v>
      </c>
      <c r="Z178" s="648" t="s">
        <v>743</v>
      </c>
      <c r="AA178" s="648" t="s">
        <v>745</v>
      </c>
      <c r="AB178" s="325" t="s">
        <v>384</v>
      </c>
      <c r="AD178" s="448"/>
      <c r="AE178" s="448"/>
      <c r="AF178" s="449"/>
      <c r="AG178" s="449"/>
      <c r="AH178" s="449"/>
      <c r="AI178" s="450"/>
      <c r="AJ178" s="450"/>
      <c r="AK178" s="450"/>
      <c r="AL178" s="450"/>
      <c r="AM178" s="450"/>
      <c r="AN178" s="450"/>
      <c r="AO178" s="450"/>
      <c r="AP178" s="450"/>
      <c r="AQ178" s="450"/>
      <c r="AR178" s="450"/>
      <c r="AS178" s="450"/>
      <c r="AT178" s="450"/>
      <c r="AU178" s="450"/>
      <c r="AV178" s="450"/>
      <c r="AW178" s="450"/>
      <c r="AX178" s="450"/>
      <c r="AY178" s="450"/>
      <c r="AZ178" s="450"/>
    </row>
    <row r="179" spans="2:52" x14ac:dyDescent="0.25">
      <c r="B179" s="327">
        <v>1</v>
      </c>
      <c r="C179" s="348">
        <f>PAV1NB*AnnualFactor</f>
        <v>0</v>
      </c>
      <c r="D179" s="349">
        <f>PAV1B*AnnualFactor</f>
        <v>0</v>
      </c>
      <c r="E179" s="363">
        <f>ROUND(PAS1NB,1)</f>
        <v>5</v>
      </c>
      <c r="F179" s="364">
        <f>ROUND(PAS1B,1)</f>
        <v>5</v>
      </c>
      <c r="G179" s="339">
        <f>SegmentA*C179</f>
        <v>0</v>
      </c>
      <c r="H179" s="434">
        <f>SegmentA*D179</f>
        <v>0</v>
      </c>
      <c r="I179" s="515" t="e">
        <f>IF(RADataAvail="Y",G179*0.00000110231131*(VLOOKUP(E179,EmAuto1,2)*VLOOKUP(ProjLoc,EmCost,2)+VLOOKUP(E179,EmAuto1,3)*VLOOKUP(ProjLoc,EmCost,3)*(1+CO2Uprater)^($B179+Construct-1)+VLOOKUP(E179,EmAuto1,4)*VLOOKUP(ProjLoc,EmCost,4)+VLOOKUP(E179,EmAuto1,5)*VLOOKUP(ProjLoc,EmCost,5)+VLOOKUP(E179,EmAuto1,6)*VLOOKUP(ProjLoc,EmCost,6)+VLOOKUP(E179,EmAuto1,7)*VLOOKUP(ProjLoc,EmCost,7)),SUM(I55,I86,I117)*VLOOKUP(TMSLookup,TMSAdj,8))</f>
        <v>#N/A</v>
      </c>
      <c r="J179" s="498" t="e">
        <f>IF(RADataAvail="Y",H179*0.00000110231131*(VLOOKUP(F179,EmAuto1,2)*VLOOKUP(ProjLoc,EmCost,2)+VLOOKUP(F179,EmAuto1,3)*VLOOKUP(ProjLoc,EmCost,3)*(1+CO2Uprater)^($B179+Construct-1)+VLOOKUP(F179,EmAuto1,4)*VLOOKUP(ProjLoc,EmCost,4)+VLOOKUP(F179,EmAuto1,5)*VLOOKUP(ProjLoc,EmCost,5)+VLOOKUP(F179,EmAuto1,6)*VLOOKUP(ProjLoc,EmCost,6)+VLOOKUP(F179,EmAuto1,7)*VLOOKUP(ProjLoc,EmCost,7)),SUM(J55,J86,J117)*VLOOKUP(TMSLookup,TMSAdj,8))</f>
        <v>#N/A</v>
      </c>
      <c r="K179" s="515" t="e">
        <f>IF(RADataAvail="Y",C179*0.00000110231131*(VLOOKUP(0,EmAuto1,2)*VLOOKUP(ProjLoc,EmCost,2)+VLOOKUP(0,EmAuto1,3)*VLOOKUP(ProjLoc,EmCost,3)*(1+CO2Uprater)^($B179+Construct-1)+VLOOKUP(0,EmAuto1,4)*VLOOKUP(ProjLoc,EmCost,4)+VLOOKUP(0,EmAuto1,5)*VLOOKUP(ProjLoc,EmCost,5)+VLOOKUP(0,EmAuto1,6)*VLOOKUP(ProjLoc,EmCost,6)+VLOOKUP(0,EmAuto1,7)*VLOOKUP(ProjLoc,EmCost,7)),SUM(K55,K86,K117)*VLOOKUP(TMSLookup,TMSAdj,8))</f>
        <v>#N/A</v>
      </c>
      <c r="L179" s="498" t="e">
        <f>IF(RADataAvail="Y",D179*0.00000110231131*(VLOOKUP(0,EmAuto1,2)*VLOOKUP(ProjLoc,EmCost,2)+VLOOKUP(0,EmAuto1,3)*VLOOKUP(ProjLoc,EmCost,3)*(1+CO2Uprater)^($B179+Construct-1)+VLOOKUP(0,EmAuto1,4)*VLOOKUP(ProjLoc,EmCost,4)+VLOOKUP(0,EmAuto1,5)*VLOOKUP(ProjLoc,EmCost,5)+VLOOKUP(0,EmAuto1,6)*VLOOKUP(ProjLoc,EmCost,6)+VLOOKUP(0,EmAuto1,7)*VLOOKUP(ProjLoc,EmCost,7)),SUM(L55,L86,L117)*VLOOKUP(TMSLookup,TMSAdj,8))</f>
        <v>#N/A</v>
      </c>
      <c r="M179" s="285" t="e">
        <f>(I179+K179)-(J179+L179)</f>
        <v>#N/A</v>
      </c>
      <c r="N179" s="323" t="e">
        <f>$M179/(1+DiscRate)^($B179+Construct-1)</f>
        <v>#N/A</v>
      </c>
      <c r="O179" s="474"/>
      <c r="P179" s="1036">
        <f>IF(RADataAvail="Y",0.00000110231131*(G179*VLOOKUP(E179,EmAuto1,2)-H179*VLOOKUP(F179,EmAuto1,2)+(C179-D179)*VLOOKUP(0,EmAuto1,2)),SUM(P55,P86,P117)*VLOOKUP(TMSLookup,TMSAdj,8))</f>
        <v>0</v>
      </c>
      <c r="Q179" s="1321">
        <f>IF(RADataAvail="Y",0.00000110231131*(G179*VLOOKUP(E179,EmAuto1,3)-H179*VLOOKUP(F179,EmAuto1,3)+(C179-D179)*VLOOKUP(0,EmAuto1,3)),SUM(Q55,Q86,Q117)*VLOOKUP(TMSLookup,TMSAdj,8))</f>
        <v>0</v>
      </c>
      <c r="R179" s="1321">
        <f>IF(RADataAvail="Y",0.00000110231131*(G179*VLOOKUP(E179,EmAuto1,4)-H179*VLOOKUP(F179,EmAuto1,4)+(C179-D179)*VLOOKUP(0,EmAuto1,4)),SUM(R55,R86,R117)*VLOOKUP(TMSLookup,TMSAdj,8))</f>
        <v>0</v>
      </c>
      <c r="S179" s="1321">
        <f>IF(RADataAvail="Y",0.00000110231131*(G179*VLOOKUP(E179,EmAuto1,5)-H179*VLOOKUP(F179,EmAuto1,5)+(C179-D179)*VLOOKUP(0,EmAuto1,5)),SUM(S55,S86,S117)*VLOOKUP(TMSLookup,TMSAdj,8))</f>
        <v>0</v>
      </c>
      <c r="T179" s="1321">
        <f>IF(RADataAvail="Y",0.00000110231131*(G179*VLOOKUP(E179,EmAuto1,6)-H179*VLOOKUP(F179,EmAuto1,6)+(C179-D179)*VLOOKUP(0,EmAuto1,6)),SUM(T55,T86,T117)*VLOOKUP(TMSLookup,TMSAdj,8))</f>
        <v>0</v>
      </c>
      <c r="U179" s="1321">
        <f>IF(RADataAvail="Y",0.00000110231131*(G179*VLOOKUP(E179,EmAuto1,7)-H179*VLOOKUP(F179,EmAuto1,7)+(C179-D179)*VLOOKUP(0,EmAuto1,7)),SUM(U55,U86,U117)*VLOOKUP(TMSLookup,TMSAdj,8))</f>
        <v>0</v>
      </c>
      <c r="V179" s="1329">
        <f>IF(RADataAvail="Y",0.00000110231131*(G179*VLOOKUP(E179,EmAuto1,8)-H179*VLOOKUP(F179,EmAuto1,8)+(C179-D179)*VLOOKUP(0,EmAuto1,8)),SUM(V55,V86,V117)*VLOOKUP(TMSLookup,TMSAdj,8))</f>
        <v>0</v>
      </c>
      <c r="W179" s="515" t="e">
        <f>P179*VLOOKUP(ProjLoc,EmCost,2)/(1+DiscRate)^($B179+Construct-1)</f>
        <v>#N/A</v>
      </c>
      <c r="X179" s="1331" t="e">
        <f>Q179*VLOOKUP(ProjLoc,EmCost,3)*(1+CO2Uprater)^($B179+Construct-1)/(1+DiscRate)^($B179+Construct-1)</f>
        <v>#N/A</v>
      </c>
      <c r="Y179" s="1331" t="e">
        <f>R179*VLOOKUP(ProjLoc,EmCost,4)/(1+DiscRate)^($B179+Construct-1)</f>
        <v>#N/A</v>
      </c>
      <c r="Z179" s="1331" t="e">
        <f>S179*VLOOKUP(ProjLoc,EmCost,5)/(1+DiscRate)^($B179+Construct-1)</f>
        <v>#N/A</v>
      </c>
      <c r="AA179" s="1331" t="e">
        <f>T179*VLOOKUP(ProjLoc,EmCost,6)/(1+DiscRate)^($B179+Construct-1)</f>
        <v>#N/A</v>
      </c>
      <c r="AB179" s="498" t="e">
        <f>U179*VLOOKUP(ProjLoc,EmCost,7)/(1+DiscRate)^($B179+Construct-1)</f>
        <v>#N/A</v>
      </c>
      <c r="AD179" s="448"/>
      <c r="AE179" s="448"/>
      <c r="AF179" s="449"/>
      <c r="AG179" s="449"/>
      <c r="AH179" s="449"/>
      <c r="AI179" s="450"/>
      <c r="AJ179" s="450"/>
      <c r="AK179" s="450"/>
      <c r="AL179" s="450"/>
      <c r="AM179" s="450"/>
      <c r="AN179" s="450"/>
      <c r="AO179" s="450"/>
      <c r="AP179" s="450"/>
      <c r="AQ179" s="450"/>
      <c r="AR179" s="450"/>
      <c r="AS179" s="450"/>
      <c r="AT179" s="450"/>
      <c r="AU179" s="450"/>
      <c r="AV179" s="450"/>
      <c r="AW179" s="450"/>
      <c r="AX179" s="450"/>
      <c r="AY179" s="450"/>
      <c r="AZ179" s="450"/>
    </row>
    <row r="180" spans="2:52" x14ac:dyDescent="0.25">
      <c r="B180" s="328">
        <v>20</v>
      </c>
      <c r="C180" s="353">
        <f>PAV20NB*AnnualFactor</f>
        <v>0</v>
      </c>
      <c r="D180" s="354">
        <f>PAV20B*AnnualFactor</f>
        <v>0</v>
      </c>
      <c r="E180" s="365">
        <f>ROUND(PAS20NB,1)</f>
        <v>5</v>
      </c>
      <c r="F180" s="366">
        <f>ROUND(PAS20B,1)</f>
        <v>5</v>
      </c>
      <c r="G180" s="339">
        <f>SegmentA*C180</f>
        <v>0</v>
      </c>
      <c r="H180" s="435">
        <f>SegmentA*D180</f>
        <v>0</v>
      </c>
      <c r="I180" s="520" t="e">
        <f>IF(RADataAvail="Y",G180*0.00000110231131*(VLOOKUP(E180,EmAuto20,2)*VLOOKUP(ProjLoc,EmCost,2)+VLOOKUP(E180,EmAuto20,3)*VLOOKUP(ProjLoc,EmCost,3)*(1+CO2Uprater)^($B180+Construct-1)+VLOOKUP(E180,EmAuto20,4)*VLOOKUP(ProjLoc,EmCost,4)+VLOOKUP(E180,EmAuto20,5)*VLOOKUP(ProjLoc,EmCost,5)+VLOOKUP(E180,EmAuto20,6)*VLOOKUP(ProjLoc,EmCost,6)+VLOOKUP(E180,EmAuto20,7)*VLOOKUP(ProjLoc,EmCost,7)),SUM(I56,I87,I118)*VLOOKUP(TMSLookup,TMSAdj,8))</f>
        <v>#N/A</v>
      </c>
      <c r="J180" s="499" t="e">
        <f>IF(RADataAvail="Y",H180*0.00000110231131*(VLOOKUP(F180,EmAuto20,2)*VLOOKUP(ProjLoc,EmCost,2)+VLOOKUP(F180,EmAuto20,3)*VLOOKUP(ProjLoc,EmCost,3)*(1+CO2Uprater)^($B180+Construct-1)+VLOOKUP(F180,EmAuto20,4)*VLOOKUP(ProjLoc,EmCost,4)+VLOOKUP(F180,EmAuto20,5)*VLOOKUP(ProjLoc,EmCost,5)+VLOOKUP(F180,EmAuto20,6)*VLOOKUP(ProjLoc,EmCost,6)+VLOOKUP(F180,EmAuto20,7)*VLOOKUP(ProjLoc,EmCost,7)),SUM(J56,J87,J118)*VLOOKUP(TMSLookup,TMSAdj,8))</f>
        <v>#N/A</v>
      </c>
      <c r="K180" s="520" t="e">
        <f>IF(RADataAvail="Y",C180*0.00000110231131*(VLOOKUP(0,EmAuto20,2)*VLOOKUP(ProjLoc,EmCost,2)+VLOOKUP(0,EmAuto20,3)*VLOOKUP(ProjLoc,EmCost,3)*(1+CO2Uprater)^($B180+Construct-1)+VLOOKUP(0,EmAuto20,4)*VLOOKUP(ProjLoc,EmCost,4)+VLOOKUP(0,EmAuto20,5)*VLOOKUP(ProjLoc,EmCost,5)+VLOOKUP(0,EmAuto20,6)*VLOOKUP(ProjLoc,EmCost,6)+VLOOKUP(0,EmAuto20,7)*VLOOKUP(ProjLoc,EmCost,7)),SUM(K56,K87,K118)*VLOOKUP(TMSLookup,TMSAdj,8))</f>
        <v>#N/A</v>
      </c>
      <c r="L180" s="499" t="e">
        <f>IF(RADataAvail="Y",D180*0.00000110231131*(VLOOKUP(0,EmAuto20,2)*VLOOKUP(ProjLoc,EmCost,2)+VLOOKUP(0,EmAuto20,3)*VLOOKUP(ProjLoc,EmCost,3)*(1+CO2Uprater)^($B180+Construct-1)+VLOOKUP(0,EmAuto20,4)*VLOOKUP(ProjLoc,EmCost,4)+VLOOKUP(0,EmAuto20,5)*VLOOKUP(ProjLoc,EmCost,5)+VLOOKUP(0,EmAuto20,6)*VLOOKUP(ProjLoc,EmCost,6)+VLOOKUP(0,EmAuto20,7)*VLOOKUP(ProjLoc,EmCost,7)),SUM(L56,L87,L118)*VLOOKUP(TMSLookup,TMSAdj,8))</f>
        <v>#N/A</v>
      </c>
      <c r="M180" s="285" t="e">
        <f>(I180+K180)-(J180+L180)</f>
        <v>#N/A</v>
      </c>
      <c r="N180" s="323" t="e">
        <f>$M180/(1+DiscRate)^($B180+Construct-1)</f>
        <v>#N/A</v>
      </c>
      <c r="O180" s="474"/>
      <c r="P180" s="1037">
        <f>IF(RADataAvail="Y",0.00000110231131*(G180*VLOOKUP(E180,EmAuto20,2)-H180*VLOOKUP(F180,EmAuto20,2)+(C180-D180)*VLOOKUP(0,EmAuto20,2)),SUM(P56,P87,P118)*VLOOKUP(TMSLookup,TMSAdj,8))</f>
        <v>0</v>
      </c>
      <c r="Q180" s="1322">
        <f t="shared" ref="Q180" si="311">IF(RADataAvail="Y",0.00000110231131*(G180*VLOOKUP(E180,EmAuto20,3)-H180*VLOOKUP(F180,EmAuto20,3)+(C180-D180)*VLOOKUP(0,EmAuto20,3)),SUM(Q56,Q87,Q118)*VLOOKUP(TMSLookup,TMSAdj,8))</f>
        <v>0</v>
      </c>
      <c r="R180" s="1322">
        <f>IF(RADataAvail="Y",0.00000110231131*(G180*VLOOKUP(E180,EmAuto20,4)-H180*VLOOKUP(F180,EmAuto20,4)+(C180-D180)*VLOOKUP(0,EmAuto20,4)),SUM(R56,R87,R118)*VLOOKUP(TMSLookup,TMSAdj,8))</f>
        <v>0</v>
      </c>
      <c r="S180" s="1322">
        <f>IF(RADataAvail="Y",0.00000110231131*(G180*VLOOKUP(E180,EmAuto20,5)-H180*VLOOKUP(F180,EmAuto20,5)+(C180-D180)*VLOOKUP(0,EmAuto20,5)),SUM(S56,S87,S118)*VLOOKUP(TMSLookup,TMSAdj,8))</f>
        <v>0</v>
      </c>
      <c r="T180" s="1322">
        <f>IF(RADataAvail="Y",0.00000110231131*(G180*VLOOKUP(E180,EmAuto20,6)-H180*VLOOKUP(F180,EmAuto20,6)+(C180-D180)*VLOOKUP(0,EmAuto20,6)),SUM(T56,T87,T118)*VLOOKUP(TMSLookup,TMSAdj,8))</f>
        <v>0</v>
      </c>
      <c r="U180" s="1322">
        <f>IF(RADataAvail="Y",0.00000110231131*(G180*VLOOKUP(E180,EmAuto20,7)-H180*VLOOKUP(F180,EmAuto20,7)+(C180-D180)*VLOOKUP(0,EmAuto20,7)),SUM(U56,U87,U118)*VLOOKUP(TMSLookup,TMSAdj,8))</f>
        <v>0</v>
      </c>
      <c r="V180" s="1330">
        <f>IF(RADataAvail="Y",0.00000110231131*(G180*VLOOKUP(E180,EmAuto20,8)-H180*VLOOKUP(F180,EmAuto20,8)+(C180-D180)*VLOOKUP(0,EmAuto20,8)),SUM(V56,V87,V118)*VLOOKUP(TMSLookup,TMSAdj,8))</f>
        <v>0</v>
      </c>
      <c r="W180" s="520" t="e">
        <f>P180*VLOOKUP(ProjLoc,EmCost,2)/(1+DiscRate)^($B180+Construct-1)</f>
        <v>#N/A</v>
      </c>
      <c r="X180" s="1332" t="e">
        <f>Q180*VLOOKUP(ProjLoc,EmCost,3)*(1+CO2Uprater)^($B180+Construct-1)/(1+DiscRate)^($B180+Construct-1)</f>
        <v>#N/A</v>
      </c>
      <c r="Y180" s="1332" t="e">
        <f>R180*VLOOKUP(ProjLoc,EmCost,4)/(1+DiscRate)^($B180+Construct-1)</f>
        <v>#N/A</v>
      </c>
      <c r="Z180" s="1332" t="e">
        <f>S180*VLOOKUP(ProjLoc,EmCost,5)/(1+DiscRate)^($B180+Construct-1)</f>
        <v>#N/A</v>
      </c>
      <c r="AA180" s="1332" t="e">
        <f>T180*VLOOKUP(ProjLoc,EmCost,6)/(1+DiscRate)^($B180+Construct-1)</f>
        <v>#N/A</v>
      </c>
      <c r="AB180" s="499" t="e">
        <f>U180*VLOOKUP(ProjLoc,EmCost,7)/(1+DiscRate)^($B180+Construct-1)</f>
        <v>#N/A</v>
      </c>
      <c r="AD180" s="448"/>
      <c r="AE180" s="448"/>
      <c r="AF180" s="449"/>
      <c r="AG180" s="449"/>
      <c r="AH180" s="449"/>
      <c r="AI180" s="450"/>
      <c r="AJ180" s="450"/>
      <c r="AK180" s="450"/>
      <c r="AL180" s="450"/>
      <c r="AM180" s="450"/>
      <c r="AN180" s="450"/>
      <c r="AO180" s="450"/>
      <c r="AP180" s="450"/>
      <c r="AQ180" s="450"/>
      <c r="AR180" s="450"/>
      <c r="AS180" s="450"/>
      <c r="AT180" s="450"/>
      <c r="AU180" s="450"/>
      <c r="AV180" s="450"/>
      <c r="AW180" s="450"/>
      <c r="AX180" s="450"/>
      <c r="AY180" s="450"/>
      <c r="AZ180" s="450"/>
    </row>
    <row r="181" spans="2:52" x14ac:dyDescent="0.25">
      <c r="B181" s="357"/>
      <c r="C181" s="355"/>
      <c r="D181" s="355"/>
      <c r="E181" s="367"/>
      <c r="F181" s="367"/>
      <c r="G181" s="356"/>
      <c r="H181" s="356"/>
      <c r="I181" s="356"/>
      <c r="J181" s="356"/>
      <c r="K181" s="356"/>
      <c r="L181" s="356"/>
      <c r="M181" s="356"/>
      <c r="N181" s="358"/>
      <c r="O181" s="475"/>
      <c r="P181" s="358"/>
      <c r="Q181" s="358"/>
      <c r="R181" s="358"/>
      <c r="S181" s="358"/>
      <c r="T181" s="358"/>
      <c r="U181" s="358"/>
      <c r="V181" s="358"/>
      <c r="W181" s="358"/>
      <c r="X181" s="356"/>
      <c r="Y181" s="358"/>
      <c r="Z181" s="358"/>
      <c r="AA181" s="358"/>
      <c r="AB181" s="358"/>
    </row>
    <row r="182" spans="2:52" x14ac:dyDescent="0.25">
      <c r="B182" s="352">
        <v>2</v>
      </c>
      <c r="C182" s="368">
        <f>TREND(C179:C180,B179:B180,B182)</f>
        <v>0</v>
      </c>
      <c r="D182" s="369">
        <f>TREND(D179:D180,B179:B180,B182)</f>
        <v>0</v>
      </c>
      <c r="E182" s="370">
        <f>TREND(E179:E180,B179:B180,B182)</f>
        <v>5</v>
      </c>
      <c r="F182" s="371">
        <f>TREND(F179:F180,B179:B180,B182)</f>
        <v>5</v>
      </c>
      <c r="G182" s="339">
        <f t="shared" ref="G182:G199" si="312">SegmentA*C182</f>
        <v>0</v>
      </c>
      <c r="H182" s="434">
        <f t="shared" ref="H182:H199" si="313">SegmentA*D182</f>
        <v>0</v>
      </c>
      <c r="I182" s="515" t="e">
        <f t="shared" ref="I182:J187" si="314">IF(RADataAvail="Y",G182*0.00000110231131*(VLOOKUP(E182,EmAuto1,2)*VLOOKUP(ProjLoc,EmCost,2)+VLOOKUP(E182,EmAuto1,3)*VLOOKUP(ProjLoc,EmCost,3)*(1+CO2Uprater)^($B182+Construct-1)+VLOOKUP(E182,EmAuto1,4)*VLOOKUP(ProjLoc,EmCost,4)+VLOOKUP(E182,EmAuto1,5)*VLOOKUP(ProjLoc,EmCost,5)+VLOOKUP(E182,EmAuto1,6)*VLOOKUP(ProjLoc,EmCost,6)+VLOOKUP(E182,EmAuto1,7)*VLOOKUP(ProjLoc,EmCost,7)),SUM(I58,I89,I120)*VLOOKUP(TMSLookup,TMSAdj,8))</f>
        <v>#N/A</v>
      </c>
      <c r="J182" s="498" t="e">
        <f t="shared" si="314"/>
        <v>#N/A</v>
      </c>
      <c r="K182" s="515" t="e">
        <f t="shared" ref="K182:L187" si="315">IF(RADataAvail="Y",C182*0.00000110231131*(VLOOKUP(0,EmAuto1,2)*VLOOKUP(ProjLoc,EmCost,2)+VLOOKUP(0,EmAuto1,3)*VLOOKUP(ProjLoc,EmCost,3)*(1+CO2Uprater)^($B182+Construct-1)+VLOOKUP(0,EmAuto1,4)*VLOOKUP(ProjLoc,EmCost,4)+VLOOKUP(0,EmAuto1,5)*VLOOKUP(ProjLoc,EmCost,5)+VLOOKUP(0,EmAuto1,6)*VLOOKUP(ProjLoc,EmCost,6)+VLOOKUP(0,EmAuto1,7)*VLOOKUP(ProjLoc,EmCost,7)),SUM(K58,K89,K120)*VLOOKUP(TMSLookup,TMSAdj,8))</f>
        <v>#N/A</v>
      </c>
      <c r="L182" s="498" t="e">
        <f t="shared" si="315"/>
        <v>#N/A</v>
      </c>
      <c r="M182" s="285" t="e">
        <f>(I182+K182)-(J182+L182)</f>
        <v>#N/A</v>
      </c>
      <c r="N182" s="323" t="e">
        <f t="shared" ref="N182:N199" si="316">$M182/(1+DiscRate)^($B182+Construct-1)</f>
        <v>#N/A</v>
      </c>
      <c r="O182" s="474"/>
      <c r="P182" s="1036">
        <f t="shared" ref="P182:P187" si="317">IF(RADataAvail="Y",0.00000110231131*(G182*VLOOKUP(E182,EmAuto1,2)-H182*VLOOKUP(F182,EmAuto1,2)+(C182-D182)*VLOOKUP(0,EmAuto1,2)),SUM(P58,P89,P120)*VLOOKUP(TMSLookup,TMSAdj,8))</f>
        <v>0</v>
      </c>
      <c r="Q182" s="1321">
        <f t="shared" ref="Q182:Q187" si="318">IF(RADataAvail="Y",0.00000110231131*(G182*VLOOKUP(E182,EmAuto1,3)-H182*VLOOKUP(F182,EmAuto1,3)+(C182-D182)*VLOOKUP(0,EmAuto1,3)),SUM(Q58,Q89,Q120)*VLOOKUP(TMSLookup,TMSAdj,8))</f>
        <v>0</v>
      </c>
      <c r="R182" s="1321">
        <f t="shared" ref="R182:R187" si="319">IF(RADataAvail="Y",0.00000110231131*(G182*VLOOKUP(E182,EmAuto1,4)-H182*VLOOKUP(F182,EmAuto1,4)+(C182-D182)*VLOOKUP(0,EmAuto1,4)),SUM(R58,R89,R120)*VLOOKUP(TMSLookup,TMSAdj,8))</f>
        <v>0</v>
      </c>
      <c r="S182" s="1321">
        <f t="shared" ref="S182:S187" si="320">IF(RADataAvail="Y",0.00000110231131*(G182*VLOOKUP(E182,EmAuto1,5)-H182*VLOOKUP(F182,EmAuto1,5)+(C182-D182)*VLOOKUP(0,EmAuto1,5)),SUM(S58,S89,S120)*VLOOKUP(TMSLookup,TMSAdj,8))</f>
        <v>0</v>
      </c>
      <c r="T182" s="1321">
        <f t="shared" ref="T182:T187" si="321">IF(RADataAvail="Y",0.00000110231131*(G182*VLOOKUP(E182,EmAuto1,6)-H182*VLOOKUP(F182,EmAuto1,6)+(C182-D182)*VLOOKUP(0,EmAuto1,6)),SUM(T58,T89,T120)*VLOOKUP(TMSLookup,TMSAdj,8))</f>
        <v>0</v>
      </c>
      <c r="U182" s="1321">
        <f t="shared" ref="U182:U187" si="322">IF(RADataAvail="Y",0.00000110231131*(G182*VLOOKUP(E182,EmAuto1,7)-H182*VLOOKUP(F182,EmAuto1,7)+(C182-D182)*VLOOKUP(0,EmAuto1,7)),SUM(U58,U89,U120)*VLOOKUP(TMSLookup,TMSAdj,8))</f>
        <v>0</v>
      </c>
      <c r="V182" s="1323">
        <f t="shared" ref="V182:V187" si="323">IF(RADataAvail="Y",0.00000110231131*(G182*VLOOKUP(E182,EmAuto1,8)-H182*VLOOKUP(F182,EmAuto1,8)+(C182-D182)*VLOOKUP(0,EmAuto1,8)),SUM(V58,V89,V120)*VLOOKUP(TMSLookup,TMSAdj,8))</f>
        <v>0</v>
      </c>
      <c r="W182" s="515" t="e">
        <f t="shared" ref="W182:W199" si="324">P182*VLOOKUP(ProjLoc,EmCost,2)/(1+DiscRate)^($B182+Construct-1)</f>
        <v>#N/A</v>
      </c>
      <c r="X182" s="1331" t="e">
        <f t="shared" ref="X182:X199" si="325">Q182*VLOOKUP(ProjLoc,EmCost,3)*(1+CO2Uprater)^($B182+Construct-1)/(1+DiscRate)^($B182+Construct-1)</f>
        <v>#N/A</v>
      </c>
      <c r="Y182" s="1331" t="e">
        <f t="shared" ref="Y182:Y199" si="326">R182*VLOOKUP(ProjLoc,EmCost,4)/(1+DiscRate)^($B182+Construct-1)</f>
        <v>#N/A</v>
      </c>
      <c r="Z182" s="1331" t="e">
        <f t="shared" ref="Z182:Z199" si="327">S182*VLOOKUP(ProjLoc,EmCost,5)/(1+DiscRate)^($B182+Construct-1)</f>
        <v>#N/A</v>
      </c>
      <c r="AA182" s="1331" t="e">
        <f t="shared" ref="AA182:AA199" si="328">T182*VLOOKUP(ProjLoc,EmCost,6)/(1+DiscRate)^($B182+Construct-1)</f>
        <v>#N/A</v>
      </c>
      <c r="AB182" s="498" t="e">
        <f t="shared" ref="AB182:AB199" si="329">U182*VLOOKUP(ProjLoc,EmCost,7)/(1+DiscRate)^($B182+Construct-1)</f>
        <v>#N/A</v>
      </c>
    </row>
    <row r="183" spans="2:52" x14ac:dyDescent="0.25">
      <c r="B183" s="327">
        <v>3</v>
      </c>
      <c r="C183" s="347">
        <f>TREND(C179:C180,B179:B180,B183)</f>
        <v>0</v>
      </c>
      <c r="D183" s="372">
        <f>TREND(D179:D180,B179:B180,B183)</f>
        <v>0</v>
      </c>
      <c r="E183" s="373">
        <f>TREND(E179:E180,B179:B180,B183)</f>
        <v>5</v>
      </c>
      <c r="F183" s="374">
        <f>TREND(F179:F180,B179:B180,B183)</f>
        <v>5</v>
      </c>
      <c r="G183" s="339">
        <f t="shared" si="312"/>
        <v>0</v>
      </c>
      <c r="H183" s="436">
        <f t="shared" si="313"/>
        <v>0</v>
      </c>
      <c r="I183" s="521" t="e">
        <f t="shared" si="314"/>
        <v>#N/A</v>
      </c>
      <c r="J183" s="500" t="e">
        <f t="shared" si="314"/>
        <v>#N/A</v>
      </c>
      <c r="K183" s="521" t="e">
        <f t="shared" si="315"/>
        <v>#N/A</v>
      </c>
      <c r="L183" s="500" t="e">
        <f t="shared" si="315"/>
        <v>#N/A</v>
      </c>
      <c r="M183" s="285" t="e">
        <f t="shared" ref="M183:M199" si="330">(I183+K183)-(J183+L183)</f>
        <v>#N/A</v>
      </c>
      <c r="N183" s="323" t="e">
        <f t="shared" si="316"/>
        <v>#N/A</v>
      </c>
      <c r="O183" s="474"/>
      <c r="P183" s="1038">
        <f t="shared" si="317"/>
        <v>0</v>
      </c>
      <c r="Q183" s="1324">
        <f t="shared" si="318"/>
        <v>0</v>
      </c>
      <c r="R183" s="1324">
        <f t="shared" si="319"/>
        <v>0</v>
      </c>
      <c r="S183" s="1324">
        <f t="shared" si="320"/>
        <v>0</v>
      </c>
      <c r="T183" s="1324">
        <f t="shared" si="321"/>
        <v>0</v>
      </c>
      <c r="U183" s="1324">
        <f t="shared" si="322"/>
        <v>0</v>
      </c>
      <c r="V183" s="1325">
        <f t="shared" si="323"/>
        <v>0</v>
      </c>
      <c r="W183" s="521" t="e">
        <f t="shared" si="324"/>
        <v>#N/A</v>
      </c>
      <c r="X183" s="1333" t="e">
        <f t="shared" si="325"/>
        <v>#N/A</v>
      </c>
      <c r="Y183" s="1333" t="e">
        <f t="shared" si="326"/>
        <v>#N/A</v>
      </c>
      <c r="Z183" s="1333" t="e">
        <f t="shared" si="327"/>
        <v>#N/A</v>
      </c>
      <c r="AA183" s="1333" t="e">
        <f t="shared" si="328"/>
        <v>#N/A</v>
      </c>
      <c r="AB183" s="500" t="e">
        <f t="shared" si="329"/>
        <v>#N/A</v>
      </c>
    </row>
    <row r="184" spans="2:52" x14ac:dyDescent="0.25">
      <c r="B184" s="327">
        <v>4</v>
      </c>
      <c r="C184" s="347">
        <f>TREND(C179:C180,B179:B180,B184)</f>
        <v>0</v>
      </c>
      <c r="D184" s="372">
        <f>TREND(D179:D180,B179:B180,B184)</f>
        <v>0</v>
      </c>
      <c r="E184" s="373">
        <f>TREND(E179:E180,B179:B180,B184)</f>
        <v>5</v>
      </c>
      <c r="F184" s="374">
        <f>TREND(F179:F180,B179:B180,B184)</f>
        <v>5</v>
      </c>
      <c r="G184" s="339">
        <f t="shared" si="312"/>
        <v>0</v>
      </c>
      <c r="H184" s="436">
        <f t="shared" si="313"/>
        <v>0</v>
      </c>
      <c r="I184" s="521" t="e">
        <f t="shared" si="314"/>
        <v>#N/A</v>
      </c>
      <c r="J184" s="500" t="e">
        <f t="shared" si="314"/>
        <v>#N/A</v>
      </c>
      <c r="K184" s="521" t="e">
        <f t="shared" si="315"/>
        <v>#N/A</v>
      </c>
      <c r="L184" s="500" t="e">
        <f t="shared" si="315"/>
        <v>#N/A</v>
      </c>
      <c r="M184" s="285" t="e">
        <f t="shared" si="330"/>
        <v>#N/A</v>
      </c>
      <c r="N184" s="323" t="e">
        <f t="shared" si="316"/>
        <v>#N/A</v>
      </c>
      <c r="O184" s="474"/>
      <c r="P184" s="1038">
        <f t="shared" si="317"/>
        <v>0</v>
      </c>
      <c r="Q184" s="1324">
        <f t="shared" si="318"/>
        <v>0</v>
      </c>
      <c r="R184" s="1324">
        <f t="shared" si="319"/>
        <v>0</v>
      </c>
      <c r="S184" s="1324">
        <f t="shared" si="320"/>
        <v>0</v>
      </c>
      <c r="T184" s="1324">
        <f t="shared" si="321"/>
        <v>0</v>
      </c>
      <c r="U184" s="1324">
        <f t="shared" si="322"/>
        <v>0</v>
      </c>
      <c r="V184" s="1325">
        <f t="shared" si="323"/>
        <v>0</v>
      </c>
      <c r="W184" s="521" t="e">
        <f t="shared" si="324"/>
        <v>#N/A</v>
      </c>
      <c r="X184" s="1333" t="e">
        <f t="shared" si="325"/>
        <v>#N/A</v>
      </c>
      <c r="Y184" s="1333" t="e">
        <f t="shared" si="326"/>
        <v>#N/A</v>
      </c>
      <c r="Z184" s="1333" t="e">
        <f t="shared" si="327"/>
        <v>#N/A</v>
      </c>
      <c r="AA184" s="1333" t="e">
        <f t="shared" si="328"/>
        <v>#N/A</v>
      </c>
      <c r="AB184" s="500" t="e">
        <f t="shared" si="329"/>
        <v>#N/A</v>
      </c>
    </row>
    <row r="185" spans="2:52" x14ac:dyDescent="0.25">
      <c r="B185" s="327">
        <v>5</v>
      </c>
      <c r="C185" s="347">
        <f>TREND(C179:C180,B179:B180,B185)</f>
        <v>0</v>
      </c>
      <c r="D185" s="372">
        <f>TREND(D179:D180,B179:B180,B185)</f>
        <v>0</v>
      </c>
      <c r="E185" s="373">
        <f>TREND(E179:E180,B179:B180,B185)</f>
        <v>5</v>
      </c>
      <c r="F185" s="374">
        <f>TREND(F179:F180,B179:B180,B185)</f>
        <v>5</v>
      </c>
      <c r="G185" s="339">
        <f t="shared" si="312"/>
        <v>0</v>
      </c>
      <c r="H185" s="436">
        <f t="shared" si="313"/>
        <v>0</v>
      </c>
      <c r="I185" s="521" t="e">
        <f t="shared" si="314"/>
        <v>#N/A</v>
      </c>
      <c r="J185" s="500" t="e">
        <f t="shared" si="314"/>
        <v>#N/A</v>
      </c>
      <c r="K185" s="521" t="e">
        <f t="shared" si="315"/>
        <v>#N/A</v>
      </c>
      <c r="L185" s="500" t="e">
        <f t="shared" si="315"/>
        <v>#N/A</v>
      </c>
      <c r="M185" s="285" t="e">
        <f t="shared" si="330"/>
        <v>#N/A</v>
      </c>
      <c r="N185" s="323" t="e">
        <f t="shared" si="316"/>
        <v>#N/A</v>
      </c>
      <c r="O185" s="474"/>
      <c r="P185" s="1038">
        <f t="shared" si="317"/>
        <v>0</v>
      </c>
      <c r="Q185" s="1324">
        <f t="shared" si="318"/>
        <v>0</v>
      </c>
      <c r="R185" s="1324">
        <f t="shared" si="319"/>
        <v>0</v>
      </c>
      <c r="S185" s="1324">
        <f t="shared" si="320"/>
        <v>0</v>
      </c>
      <c r="T185" s="1324">
        <f t="shared" si="321"/>
        <v>0</v>
      </c>
      <c r="U185" s="1324">
        <f t="shared" si="322"/>
        <v>0</v>
      </c>
      <c r="V185" s="1325">
        <f t="shared" si="323"/>
        <v>0</v>
      </c>
      <c r="W185" s="521" t="e">
        <f t="shared" si="324"/>
        <v>#N/A</v>
      </c>
      <c r="X185" s="1333" t="e">
        <f t="shared" si="325"/>
        <v>#N/A</v>
      </c>
      <c r="Y185" s="1333" t="e">
        <f t="shared" si="326"/>
        <v>#N/A</v>
      </c>
      <c r="Z185" s="1333" t="e">
        <f t="shared" si="327"/>
        <v>#N/A</v>
      </c>
      <c r="AA185" s="1333" t="e">
        <f t="shared" si="328"/>
        <v>#N/A</v>
      </c>
      <c r="AB185" s="500" t="e">
        <f t="shared" si="329"/>
        <v>#N/A</v>
      </c>
    </row>
    <row r="186" spans="2:52" x14ac:dyDescent="0.25">
      <c r="B186" s="327">
        <v>6</v>
      </c>
      <c r="C186" s="347">
        <f>TREND(C179:C180,B179:B180,B186)</f>
        <v>0</v>
      </c>
      <c r="D186" s="372">
        <f>TREND(D179:D180,B179:B180,B186)</f>
        <v>0</v>
      </c>
      <c r="E186" s="373">
        <f>TREND(E179:E180,B179:B180,B186)</f>
        <v>5</v>
      </c>
      <c r="F186" s="374">
        <f>TREND(F179:F180,B179:B180,B186)</f>
        <v>5</v>
      </c>
      <c r="G186" s="339">
        <f t="shared" si="312"/>
        <v>0</v>
      </c>
      <c r="H186" s="436">
        <f t="shared" si="313"/>
        <v>0</v>
      </c>
      <c r="I186" s="521" t="e">
        <f t="shared" si="314"/>
        <v>#N/A</v>
      </c>
      <c r="J186" s="500" t="e">
        <f t="shared" si="314"/>
        <v>#N/A</v>
      </c>
      <c r="K186" s="521" t="e">
        <f t="shared" si="315"/>
        <v>#N/A</v>
      </c>
      <c r="L186" s="500" t="e">
        <f t="shared" si="315"/>
        <v>#N/A</v>
      </c>
      <c r="M186" s="285" t="e">
        <f t="shared" si="330"/>
        <v>#N/A</v>
      </c>
      <c r="N186" s="323" t="e">
        <f t="shared" si="316"/>
        <v>#N/A</v>
      </c>
      <c r="O186" s="474"/>
      <c r="P186" s="1038">
        <f t="shared" si="317"/>
        <v>0</v>
      </c>
      <c r="Q186" s="1324">
        <f t="shared" si="318"/>
        <v>0</v>
      </c>
      <c r="R186" s="1324">
        <f t="shared" si="319"/>
        <v>0</v>
      </c>
      <c r="S186" s="1324">
        <f t="shared" si="320"/>
        <v>0</v>
      </c>
      <c r="T186" s="1324">
        <f t="shared" si="321"/>
        <v>0</v>
      </c>
      <c r="U186" s="1324">
        <f t="shared" si="322"/>
        <v>0</v>
      </c>
      <c r="V186" s="1325">
        <f t="shared" si="323"/>
        <v>0</v>
      </c>
      <c r="W186" s="521" t="e">
        <f t="shared" si="324"/>
        <v>#N/A</v>
      </c>
      <c r="X186" s="1333" t="e">
        <f t="shared" si="325"/>
        <v>#N/A</v>
      </c>
      <c r="Y186" s="1333" t="e">
        <f t="shared" si="326"/>
        <v>#N/A</v>
      </c>
      <c r="Z186" s="1333" t="e">
        <f t="shared" si="327"/>
        <v>#N/A</v>
      </c>
      <c r="AA186" s="1333" t="e">
        <f t="shared" si="328"/>
        <v>#N/A</v>
      </c>
      <c r="AB186" s="500" t="e">
        <f t="shared" si="329"/>
        <v>#N/A</v>
      </c>
    </row>
    <row r="187" spans="2:52" x14ac:dyDescent="0.25">
      <c r="B187" s="327">
        <v>7</v>
      </c>
      <c r="C187" s="347">
        <f>TREND(C179:C180,B179:B180,B187)</f>
        <v>0</v>
      </c>
      <c r="D187" s="372">
        <f>TREND(D179:D180,B179:B180,B187)</f>
        <v>0</v>
      </c>
      <c r="E187" s="373">
        <f>TREND(E179:E180,B179:B180,B187)</f>
        <v>5</v>
      </c>
      <c r="F187" s="374">
        <f>TREND(F179:F180,B179:B180,B187)</f>
        <v>5</v>
      </c>
      <c r="G187" s="339">
        <f t="shared" si="312"/>
        <v>0</v>
      </c>
      <c r="H187" s="436">
        <f t="shared" si="313"/>
        <v>0</v>
      </c>
      <c r="I187" s="521" t="e">
        <f t="shared" si="314"/>
        <v>#N/A</v>
      </c>
      <c r="J187" s="500" t="e">
        <f t="shared" si="314"/>
        <v>#N/A</v>
      </c>
      <c r="K187" s="521" t="e">
        <f t="shared" si="315"/>
        <v>#N/A</v>
      </c>
      <c r="L187" s="500" t="e">
        <f t="shared" si="315"/>
        <v>#N/A</v>
      </c>
      <c r="M187" s="285" t="e">
        <f t="shared" si="330"/>
        <v>#N/A</v>
      </c>
      <c r="N187" s="323" t="e">
        <f t="shared" si="316"/>
        <v>#N/A</v>
      </c>
      <c r="O187" s="474"/>
      <c r="P187" s="1038">
        <f t="shared" si="317"/>
        <v>0</v>
      </c>
      <c r="Q187" s="1324">
        <f t="shared" si="318"/>
        <v>0</v>
      </c>
      <c r="R187" s="1324">
        <f t="shared" si="319"/>
        <v>0</v>
      </c>
      <c r="S187" s="1324">
        <f t="shared" si="320"/>
        <v>0</v>
      </c>
      <c r="T187" s="1324">
        <f t="shared" si="321"/>
        <v>0</v>
      </c>
      <c r="U187" s="1324">
        <f t="shared" si="322"/>
        <v>0</v>
      </c>
      <c r="V187" s="1325">
        <f t="shared" si="323"/>
        <v>0</v>
      </c>
      <c r="W187" s="521" t="e">
        <f t="shared" si="324"/>
        <v>#N/A</v>
      </c>
      <c r="X187" s="1333" t="e">
        <f t="shared" si="325"/>
        <v>#N/A</v>
      </c>
      <c r="Y187" s="1333" t="e">
        <f t="shared" si="326"/>
        <v>#N/A</v>
      </c>
      <c r="Z187" s="1333" t="e">
        <f t="shared" si="327"/>
        <v>#N/A</v>
      </c>
      <c r="AA187" s="1333" t="e">
        <f t="shared" si="328"/>
        <v>#N/A</v>
      </c>
      <c r="AB187" s="500" t="e">
        <f t="shared" si="329"/>
        <v>#N/A</v>
      </c>
    </row>
    <row r="188" spans="2:52" x14ac:dyDescent="0.25">
      <c r="B188" s="327">
        <v>8</v>
      </c>
      <c r="C188" s="347">
        <f>TREND(C179:C180,B179:B180,B188)</f>
        <v>0</v>
      </c>
      <c r="D188" s="372">
        <f>TREND(D179:D180,B179:B180,B188)</f>
        <v>0</v>
      </c>
      <c r="E188" s="373">
        <f>TREND(E179:E180,B179:B180,B188)</f>
        <v>5</v>
      </c>
      <c r="F188" s="374">
        <f>TREND(F179:F180,B179:B180,B188)</f>
        <v>5</v>
      </c>
      <c r="G188" s="339">
        <f t="shared" si="312"/>
        <v>0</v>
      </c>
      <c r="H188" s="436">
        <f t="shared" si="313"/>
        <v>0</v>
      </c>
      <c r="I188" s="521" t="e">
        <f t="shared" ref="I188:I199" si="331">IF(RADataAvail="Y",G188*0.00000110231131*(VLOOKUP(E188,EmAuto20,2)*VLOOKUP(ProjLoc,EmCost,2)+VLOOKUP(E188,EmAuto20,3)*VLOOKUP(ProjLoc,EmCost,3)*(1+CO2Uprater)^($B188+Construct-1)+VLOOKUP(E188,EmAuto20,4)*VLOOKUP(ProjLoc,EmCost,4)+VLOOKUP(E188,EmAuto20,5)*VLOOKUP(ProjLoc,EmCost,5)+VLOOKUP(E188,EmAuto20,6)*VLOOKUP(ProjLoc,EmCost,6)+VLOOKUP(E188,EmAuto20,7)*VLOOKUP(ProjLoc,EmCost,7)),SUM(I64,I95,I126)*VLOOKUP(TMSLookup,TMSAdj,8))</f>
        <v>#N/A</v>
      </c>
      <c r="J188" s="500" t="e">
        <f t="shared" ref="J188:J199" si="332">IF(RADataAvail="Y",H188*0.00000110231131*(VLOOKUP(F188,EmAuto20,2)*VLOOKUP(ProjLoc,EmCost,2)+VLOOKUP(F188,EmAuto20,3)*VLOOKUP(ProjLoc,EmCost,3)*(1+CO2Uprater)^($B188+Construct-1)+VLOOKUP(F188,EmAuto20,4)*VLOOKUP(ProjLoc,EmCost,4)+VLOOKUP(F188,EmAuto20,5)*VLOOKUP(ProjLoc,EmCost,5)+VLOOKUP(F188,EmAuto20,6)*VLOOKUP(ProjLoc,EmCost,6)+VLOOKUP(F188,EmAuto20,7)*VLOOKUP(ProjLoc,EmCost,7)),SUM(J64,J95,J126)*VLOOKUP(TMSLookup,TMSAdj,8))</f>
        <v>#N/A</v>
      </c>
      <c r="K188" s="521" t="e">
        <f t="shared" ref="K188:K199" si="333">IF(RADataAvail="Y",C188*0.00000110231131*(VLOOKUP(0,EmAuto20,2)*VLOOKUP(ProjLoc,EmCost,2)+VLOOKUP(0,EmAuto20,3)*VLOOKUP(ProjLoc,EmCost,3)*(1+CO2Uprater)^($B188+Construct-1)+VLOOKUP(0,EmAuto20,4)*VLOOKUP(ProjLoc,EmCost,4)+VLOOKUP(0,EmAuto20,5)*VLOOKUP(ProjLoc,EmCost,5)+VLOOKUP(0,EmAuto20,6)*VLOOKUP(ProjLoc,EmCost,6)+VLOOKUP(0,EmAuto20,7)*VLOOKUP(ProjLoc,EmCost,7)),SUM(K64,K95,K126)*VLOOKUP(TMSLookup,TMSAdj,8))</f>
        <v>#N/A</v>
      </c>
      <c r="L188" s="500" t="e">
        <f t="shared" ref="L188:L199" si="334">IF(RADataAvail="Y",D188*0.00000110231131*(VLOOKUP(0,EmAuto20,2)*VLOOKUP(ProjLoc,EmCost,2)+VLOOKUP(0,EmAuto20,3)*VLOOKUP(ProjLoc,EmCost,3)*(1+CO2Uprater)^($B188+Construct-1)+VLOOKUP(0,EmAuto20,4)*VLOOKUP(ProjLoc,EmCost,4)+VLOOKUP(0,EmAuto20,5)*VLOOKUP(ProjLoc,EmCost,5)+VLOOKUP(0,EmAuto20,6)*VLOOKUP(ProjLoc,EmCost,6)+VLOOKUP(0,EmAuto20,7)*VLOOKUP(ProjLoc,EmCost,7)),SUM(L64,L95,L126)*VLOOKUP(TMSLookup,TMSAdj,8))</f>
        <v>#N/A</v>
      </c>
      <c r="M188" s="285" t="e">
        <f t="shared" si="330"/>
        <v>#N/A</v>
      </c>
      <c r="N188" s="323" t="e">
        <f t="shared" si="316"/>
        <v>#N/A</v>
      </c>
      <c r="O188" s="474"/>
      <c r="P188" s="1038">
        <f t="shared" ref="P188:P199" si="335">IF(RADataAvail="Y",0.00000110231131*(G188*VLOOKUP(E188,EmAuto20,2)-H188*VLOOKUP(F188,EmAuto20,2)+(C188-D188)*VLOOKUP(0,EmAuto20,2)),SUM(P64,P95,P126)*VLOOKUP(TMSLookup,TMSAdj,8))</f>
        <v>0</v>
      </c>
      <c r="Q188" s="1324">
        <f t="shared" ref="Q188:Q199" si="336">IF(RADataAvail="Y",0.00000110231131*(G188*VLOOKUP(E188,EmAuto20,3)-H188*VLOOKUP(F188,EmAuto20,3)+(C188-D188)*VLOOKUP(0,EmAuto20,3)),SUM(Q64,Q95,Q126)*VLOOKUP(TMSLookup,TMSAdj,8))</f>
        <v>0</v>
      </c>
      <c r="R188" s="1324">
        <f t="shared" ref="R188:R199" si="337">IF(RADataAvail="Y",0.00000110231131*(G188*VLOOKUP(E188,EmAuto20,4)-H188*VLOOKUP(F188,EmAuto20,4)+(C188-D188)*VLOOKUP(0,EmAuto20,4)),SUM(R64,R95,R126)*VLOOKUP(TMSLookup,TMSAdj,8))</f>
        <v>0</v>
      </c>
      <c r="S188" s="1324">
        <f t="shared" ref="S188:S199" si="338">IF(RADataAvail="Y",0.00000110231131*(G188*VLOOKUP(E188,EmAuto20,5)-H188*VLOOKUP(F188,EmAuto20,5)+(C188-D188)*VLOOKUP(0,EmAuto20,5)),SUM(S64,S95,S126)*VLOOKUP(TMSLookup,TMSAdj,8))</f>
        <v>0</v>
      </c>
      <c r="T188" s="1324">
        <f t="shared" ref="T188:T199" si="339">IF(RADataAvail="Y",0.00000110231131*(G188*VLOOKUP(E188,EmAuto20,6)-H188*VLOOKUP(F188,EmAuto20,6)+(C188-D188)*VLOOKUP(0,EmAuto20,6)),SUM(T64,T95,T126)*VLOOKUP(TMSLookup,TMSAdj,8))</f>
        <v>0</v>
      </c>
      <c r="U188" s="1324">
        <f t="shared" ref="U188:U199" si="340">IF(RADataAvail="Y",0.00000110231131*(G188*VLOOKUP(E188,EmAuto20,7)-H188*VLOOKUP(F188,EmAuto20,7)+(C188-D188)*VLOOKUP(0,EmAuto20,7)),SUM(U64,U95,U126)*VLOOKUP(TMSLookup,TMSAdj,8))</f>
        <v>0</v>
      </c>
      <c r="V188" s="1325">
        <f t="shared" ref="V188:V199" si="341">IF(RADataAvail="Y",0.00000110231131*(G188*VLOOKUP(E188,EmAuto20,8)-H188*VLOOKUP(F188,EmAuto20,8)+(C188-D188)*VLOOKUP(0,EmAuto20,8)),SUM(V64,V95,V126)*VLOOKUP(TMSLookup,TMSAdj,8))</f>
        <v>0</v>
      </c>
      <c r="W188" s="521" t="e">
        <f t="shared" si="324"/>
        <v>#N/A</v>
      </c>
      <c r="X188" s="1333" t="e">
        <f t="shared" si="325"/>
        <v>#N/A</v>
      </c>
      <c r="Y188" s="1333" t="e">
        <f t="shared" si="326"/>
        <v>#N/A</v>
      </c>
      <c r="Z188" s="1333" t="e">
        <f t="shared" si="327"/>
        <v>#N/A</v>
      </c>
      <c r="AA188" s="1333" t="e">
        <f t="shared" si="328"/>
        <v>#N/A</v>
      </c>
      <c r="AB188" s="500" t="e">
        <f t="shared" si="329"/>
        <v>#N/A</v>
      </c>
    </row>
    <row r="189" spans="2:52" x14ac:dyDescent="0.25">
      <c r="B189" s="327">
        <v>9</v>
      </c>
      <c r="C189" s="347">
        <f>TREND(C179:C180,B179:B180,B189)</f>
        <v>0</v>
      </c>
      <c r="D189" s="372">
        <f>TREND(D179:D180,B179:B180,B189)</f>
        <v>0</v>
      </c>
      <c r="E189" s="373">
        <f>TREND(E179:E180,B179:B180,B189)</f>
        <v>5</v>
      </c>
      <c r="F189" s="374">
        <f>TREND(F179:F180,B179:B180,B189)</f>
        <v>5</v>
      </c>
      <c r="G189" s="339">
        <f t="shared" si="312"/>
        <v>0</v>
      </c>
      <c r="H189" s="436">
        <f t="shared" si="313"/>
        <v>0</v>
      </c>
      <c r="I189" s="521" t="e">
        <f t="shared" si="331"/>
        <v>#N/A</v>
      </c>
      <c r="J189" s="500" t="e">
        <f t="shared" si="332"/>
        <v>#N/A</v>
      </c>
      <c r="K189" s="521" t="e">
        <f t="shared" si="333"/>
        <v>#N/A</v>
      </c>
      <c r="L189" s="500" t="e">
        <f t="shared" si="334"/>
        <v>#N/A</v>
      </c>
      <c r="M189" s="285" t="e">
        <f t="shared" si="330"/>
        <v>#N/A</v>
      </c>
      <c r="N189" s="323" t="e">
        <f t="shared" si="316"/>
        <v>#N/A</v>
      </c>
      <c r="O189" s="474"/>
      <c r="P189" s="1038">
        <f t="shared" si="335"/>
        <v>0</v>
      </c>
      <c r="Q189" s="1324">
        <f t="shared" si="336"/>
        <v>0</v>
      </c>
      <c r="R189" s="1324">
        <f t="shared" si="337"/>
        <v>0</v>
      </c>
      <c r="S189" s="1324">
        <f t="shared" si="338"/>
        <v>0</v>
      </c>
      <c r="T189" s="1324">
        <f t="shared" si="339"/>
        <v>0</v>
      </c>
      <c r="U189" s="1324">
        <f t="shared" si="340"/>
        <v>0</v>
      </c>
      <c r="V189" s="1325">
        <f t="shared" si="341"/>
        <v>0</v>
      </c>
      <c r="W189" s="521" t="e">
        <f t="shared" si="324"/>
        <v>#N/A</v>
      </c>
      <c r="X189" s="1333" t="e">
        <f t="shared" si="325"/>
        <v>#N/A</v>
      </c>
      <c r="Y189" s="1333" t="e">
        <f t="shared" si="326"/>
        <v>#N/A</v>
      </c>
      <c r="Z189" s="1333" t="e">
        <f t="shared" si="327"/>
        <v>#N/A</v>
      </c>
      <c r="AA189" s="1333" t="e">
        <f t="shared" si="328"/>
        <v>#N/A</v>
      </c>
      <c r="AB189" s="500" t="e">
        <f t="shared" si="329"/>
        <v>#N/A</v>
      </c>
    </row>
    <row r="190" spans="2:52" x14ac:dyDescent="0.25">
      <c r="B190" s="327">
        <v>10</v>
      </c>
      <c r="C190" s="347">
        <f>TREND(C179:C180,B179:B180,B190)</f>
        <v>0</v>
      </c>
      <c r="D190" s="372">
        <f>TREND(D179:D180,B179:B180,B190)</f>
        <v>0</v>
      </c>
      <c r="E190" s="373">
        <f>TREND(E179:E180,B179:B180,B190)</f>
        <v>5</v>
      </c>
      <c r="F190" s="374">
        <f>TREND(F179:F180,B179:B180,B190)</f>
        <v>5</v>
      </c>
      <c r="G190" s="339">
        <f t="shared" si="312"/>
        <v>0</v>
      </c>
      <c r="H190" s="436">
        <f t="shared" si="313"/>
        <v>0</v>
      </c>
      <c r="I190" s="521" t="e">
        <f t="shared" si="331"/>
        <v>#N/A</v>
      </c>
      <c r="J190" s="500" t="e">
        <f t="shared" si="332"/>
        <v>#N/A</v>
      </c>
      <c r="K190" s="521" t="e">
        <f t="shared" si="333"/>
        <v>#N/A</v>
      </c>
      <c r="L190" s="500" t="e">
        <f t="shared" si="334"/>
        <v>#N/A</v>
      </c>
      <c r="M190" s="285" t="e">
        <f t="shared" si="330"/>
        <v>#N/A</v>
      </c>
      <c r="N190" s="323" t="e">
        <f t="shared" si="316"/>
        <v>#N/A</v>
      </c>
      <c r="O190" s="474"/>
      <c r="P190" s="1038">
        <f t="shared" si="335"/>
        <v>0</v>
      </c>
      <c r="Q190" s="1324">
        <f t="shared" si="336"/>
        <v>0</v>
      </c>
      <c r="R190" s="1324">
        <f t="shared" si="337"/>
        <v>0</v>
      </c>
      <c r="S190" s="1324">
        <f t="shared" si="338"/>
        <v>0</v>
      </c>
      <c r="T190" s="1324">
        <f t="shared" si="339"/>
        <v>0</v>
      </c>
      <c r="U190" s="1324">
        <f t="shared" si="340"/>
        <v>0</v>
      </c>
      <c r="V190" s="1325">
        <f t="shared" si="341"/>
        <v>0</v>
      </c>
      <c r="W190" s="521" t="e">
        <f t="shared" si="324"/>
        <v>#N/A</v>
      </c>
      <c r="X190" s="1333" t="e">
        <f t="shared" si="325"/>
        <v>#N/A</v>
      </c>
      <c r="Y190" s="1333" t="e">
        <f t="shared" si="326"/>
        <v>#N/A</v>
      </c>
      <c r="Z190" s="1333" t="e">
        <f t="shared" si="327"/>
        <v>#N/A</v>
      </c>
      <c r="AA190" s="1333" t="e">
        <f t="shared" si="328"/>
        <v>#N/A</v>
      </c>
      <c r="AB190" s="500" t="e">
        <f t="shared" si="329"/>
        <v>#N/A</v>
      </c>
    </row>
    <row r="191" spans="2:52" x14ac:dyDescent="0.25">
      <c r="B191" s="327">
        <v>11</v>
      </c>
      <c r="C191" s="347">
        <f>TREND(C179:C180,B179:B180,B191)</f>
        <v>0</v>
      </c>
      <c r="D191" s="372">
        <f>TREND(D179:D180,B179:B180,B191)</f>
        <v>0</v>
      </c>
      <c r="E191" s="373">
        <f>TREND(E179:E180,B179:B180,B191)</f>
        <v>5</v>
      </c>
      <c r="F191" s="374">
        <f>TREND(F179:F180,B179:B180,B191)</f>
        <v>5</v>
      </c>
      <c r="G191" s="339">
        <f t="shared" si="312"/>
        <v>0</v>
      </c>
      <c r="H191" s="436">
        <f t="shared" si="313"/>
        <v>0</v>
      </c>
      <c r="I191" s="521" t="e">
        <f t="shared" si="331"/>
        <v>#N/A</v>
      </c>
      <c r="J191" s="500" t="e">
        <f t="shared" si="332"/>
        <v>#N/A</v>
      </c>
      <c r="K191" s="521" t="e">
        <f t="shared" si="333"/>
        <v>#N/A</v>
      </c>
      <c r="L191" s="500" t="e">
        <f t="shared" si="334"/>
        <v>#N/A</v>
      </c>
      <c r="M191" s="285" t="e">
        <f t="shared" si="330"/>
        <v>#N/A</v>
      </c>
      <c r="N191" s="323" t="e">
        <f t="shared" si="316"/>
        <v>#N/A</v>
      </c>
      <c r="O191" s="474"/>
      <c r="P191" s="1038">
        <f t="shared" si="335"/>
        <v>0</v>
      </c>
      <c r="Q191" s="1324">
        <f t="shared" si="336"/>
        <v>0</v>
      </c>
      <c r="R191" s="1324">
        <f t="shared" si="337"/>
        <v>0</v>
      </c>
      <c r="S191" s="1324">
        <f t="shared" si="338"/>
        <v>0</v>
      </c>
      <c r="T191" s="1324">
        <f t="shared" si="339"/>
        <v>0</v>
      </c>
      <c r="U191" s="1324">
        <f t="shared" si="340"/>
        <v>0</v>
      </c>
      <c r="V191" s="1325">
        <f t="shared" si="341"/>
        <v>0</v>
      </c>
      <c r="W191" s="521" t="e">
        <f t="shared" si="324"/>
        <v>#N/A</v>
      </c>
      <c r="X191" s="1333" t="e">
        <f t="shared" si="325"/>
        <v>#N/A</v>
      </c>
      <c r="Y191" s="1333" t="e">
        <f t="shared" si="326"/>
        <v>#N/A</v>
      </c>
      <c r="Z191" s="1333" t="e">
        <f t="shared" si="327"/>
        <v>#N/A</v>
      </c>
      <c r="AA191" s="1333" t="e">
        <f t="shared" si="328"/>
        <v>#N/A</v>
      </c>
      <c r="AB191" s="500" t="e">
        <f t="shared" si="329"/>
        <v>#N/A</v>
      </c>
    </row>
    <row r="192" spans="2:52" x14ac:dyDescent="0.25">
      <c r="B192" s="327">
        <v>12</v>
      </c>
      <c r="C192" s="347">
        <f>TREND(C179:C180,B179:B180,B192)</f>
        <v>0</v>
      </c>
      <c r="D192" s="372">
        <f>TREND(D179:D180,B179:B180,B192)</f>
        <v>0</v>
      </c>
      <c r="E192" s="373">
        <f>TREND(E179:E180,B179:B180,B192)</f>
        <v>5</v>
      </c>
      <c r="F192" s="374">
        <f>TREND(F179:F180,B179:B180,B192)</f>
        <v>5</v>
      </c>
      <c r="G192" s="339">
        <f t="shared" si="312"/>
        <v>0</v>
      </c>
      <c r="H192" s="436">
        <f t="shared" si="313"/>
        <v>0</v>
      </c>
      <c r="I192" s="521" t="e">
        <f t="shared" si="331"/>
        <v>#N/A</v>
      </c>
      <c r="J192" s="500" t="e">
        <f t="shared" si="332"/>
        <v>#N/A</v>
      </c>
      <c r="K192" s="521" t="e">
        <f t="shared" si="333"/>
        <v>#N/A</v>
      </c>
      <c r="L192" s="500" t="e">
        <f t="shared" si="334"/>
        <v>#N/A</v>
      </c>
      <c r="M192" s="285" t="e">
        <f t="shared" si="330"/>
        <v>#N/A</v>
      </c>
      <c r="N192" s="323" t="e">
        <f t="shared" si="316"/>
        <v>#N/A</v>
      </c>
      <c r="O192" s="474"/>
      <c r="P192" s="1038">
        <f t="shared" si="335"/>
        <v>0</v>
      </c>
      <c r="Q192" s="1324">
        <f t="shared" si="336"/>
        <v>0</v>
      </c>
      <c r="R192" s="1324">
        <f t="shared" si="337"/>
        <v>0</v>
      </c>
      <c r="S192" s="1324">
        <f t="shared" si="338"/>
        <v>0</v>
      </c>
      <c r="T192" s="1324">
        <f t="shared" si="339"/>
        <v>0</v>
      </c>
      <c r="U192" s="1324">
        <f t="shared" si="340"/>
        <v>0</v>
      </c>
      <c r="V192" s="1325">
        <f t="shared" si="341"/>
        <v>0</v>
      </c>
      <c r="W192" s="521" t="e">
        <f t="shared" si="324"/>
        <v>#N/A</v>
      </c>
      <c r="X192" s="1333" t="e">
        <f t="shared" si="325"/>
        <v>#N/A</v>
      </c>
      <c r="Y192" s="1333" t="e">
        <f t="shared" si="326"/>
        <v>#N/A</v>
      </c>
      <c r="Z192" s="1333" t="e">
        <f t="shared" si="327"/>
        <v>#N/A</v>
      </c>
      <c r="AA192" s="1333" t="e">
        <f t="shared" si="328"/>
        <v>#N/A</v>
      </c>
      <c r="AB192" s="500" t="e">
        <f t="shared" si="329"/>
        <v>#N/A</v>
      </c>
    </row>
    <row r="193" spans="2:28" x14ac:dyDescent="0.25">
      <c r="B193" s="327">
        <v>13</v>
      </c>
      <c r="C193" s="347">
        <f>TREND(C179:C180,B179:B180,B193)</f>
        <v>0</v>
      </c>
      <c r="D193" s="372">
        <f>TREND(D179:D180,B179:B180,B193)</f>
        <v>0</v>
      </c>
      <c r="E193" s="373">
        <f>TREND(E179:E180,B179:B180,B193)</f>
        <v>5</v>
      </c>
      <c r="F193" s="374">
        <f>TREND(F179:F180,B179:B180,B193)</f>
        <v>5</v>
      </c>
      <c r="G193" s="339">
        <f t="shared" si="312"/>
        <v>0</v>
      </c>
      <c r="H193" s="436">
        <f t="shared" si="313"/>
        <v>0</v>
      </c>
      <c r="I193" s="521" t="e">
        <f t="shared" si="331"/>
        <v>#N/A</v>
      </c>
      <c r="J193" s="500" t="e">
        <f t="shared" si="332"/>
        <v>#N/A</v>
      </c>
      <c r="K193" s="521" t="e">
        <f t="shared" si="333"/>
        <v>#N/A</v>
      </c>
      <c r="L193" s="500" t="e">
        <f t="shared" si="334"/>
        <v>#N/A</v>
      </c>
      <c r="M193" s="285" t="e">
        <f t="shared" si="330"/>
        <v>#N/A</v>
      </c>
      <c r="N193" s="323" t="e">
        <f t="shared" si="316"/>
        <v>#N/A</v>
      </c>
      <c r="O193" s="474"/>
      <c r="P193" s="1038">
        <f t="shared" si="335"/>
        <v>0</v>
      </c>
      <c r="Q193" s="1324">
        <f t="shared" si="336"/>
        <v>0</v>
      </c>
      <c r="R193" s="1324">
        <f t="shared" si="337"/>
        <v>0</v>
      </c>
      <c r="S193" s="1324">
        <f t="shared" si="338"/>
        <v>0</v>
      </c>
      <c r="T193" s="1324">
        <f t="shared" si="339"/>
        <v>0</v>
      </c>
      <c r="U193" s="1324">
        <f t="shared" si="340"/>
        <v>0</v>
      </c>
      <c r="V193" s="1325">
        <f t="shared" si="341"/>
        <v>0</v>
      </c>
      <c r="W193" s="521" t="e">
        <f t="shared" si="324"/>
        <v>#N/A</v>
      </c>
      <c r="X193" s="1333" t="e">
        <f t="shared" si="325"/>
        <v>#N/A</v>
      </c>
      <c r="Y193" s="1333" t="e">
        <f t="shared" si="326"/>
        <v>#N/A</v>
      </c>
      <c r="Z193" s="1333" t="e">
        <f t="shared" si="327"/>
        <v>#N/A</v>
      </c>
      <c r="AA193" s="1333" t="e">
        <f t="shared" si="328"/>
        <v>#N/A</v>
      </c>
      <c r="AB193" s="500" t="e">
        <f t="shared" si="329"/>
        <v>#N/A</v>
      </c>
    </row>
    <row r="194" spans="2:28" x14ac:dyDescent="0.25">
      <c r="B194" s="327">
        <v>14</v>
      </c>
      <c r="C194" s="347">
        <f>TREND(C179:C180,B179:B180,B194)</f>
        <v>0</v>
      </c>
      <c r="D194" s="372">
        <f>TREND(D179:D180,B179:B180,B194)</f>
        <v>0</v>
      </c>
      <c r="E194" s="373">
        <f>TREND(E179:E180,B179:B180,B194)</f>
        <v>5</v>
      </c>
      <c r="F194" s="374">
        <f>TREND(F179:F180,B179:B180,B194)</f>
        <v>5</v>
      </c>
      <c r="G194" s="339">
        <f t="shared" si="312"/>
        <v>0</v>
      </c>
      <c r="H194" s="436">
        <f t="shared" si="313"/>
        <v>0</v>
      </c>
      <c r="I194" s="521" t="e">
        <f t="shared" si="331"/>
        <v>#N/A</v>
      </c>
      <c r="J194" s="500" t="e">
        <f t="shared" si="332"/>
        <v>#N/A</v>
      </c>
      <c r="K194" s="521" t="e">
        <f t="shared" si="333"/>
        <v>#N/A</v>
      </c>
      <c r="L194" s="500" t="e">
        <f t="shared" si="334"/>
        <v>#N/A</v>
      </c>
      <c r="M194" s="285" t="e">
        <f t="shared" si="330"/>
        <v>#N/A</v>
      </c>
      <c r="N194" s="323" t="e">
        <f t="shared" si="316"/>
        <v>#N/A</v>
      </c>
      <c r="O194" s="474"/>
      <c r="P194" s="1038">
        <f t="shared" si="335"/>
        <v>0</v>
      </c>
      <c r="Q194" s="1324">
        <f t="shared" si="336"/>
        <v>0</v>
      </c>
      <c r="R194" s="1324">
        <f t="shared" si="337"/>
        <v>0</v>
      </c>
      <c r="S194" s="1324">
        <f t="shared" si="338"/>
        <v>0</v>
      </c>
      <c r="T194" s="1324">
        <f t="shared" si="339"/>
        <v>0</v>
      </c>
      <c r="U194" s="1324">
        <f t="shared" si="340"/>
        <v>0</v>
      </c>
      <c r="V194" s="1325">
        <f t="shared" si="341"/>
        <v>0</v>
      </c>
      <c r="W194" s="521" t="e">
        <f t="shared" si="324"/>
        <v>#N/A</v>
      </c>
      <c r="X194" s="1333" t="e">
        <f t="shared" si="325"/>
        <v>#N/A</v>
      </c>
      <c r="Y194" s="1333" t="e">
        <f t="shared" si="326"/>
        <v>#N/A</v>
      </c>
      <c r="Z194" s="1333" t="e">
        <f t="shared" si="327"/>
        <v>#N/A</v>
      </c>
      <c r="AA194" s="1333" t="e">
        <f t="shared" si="328"/>
        <v>#N/A</v>
      </c>
      <c r="AB194" s="500" t="e">
        <f t="shared" si="329"/>
        <v>#N/A</v>
      </c>
    </row>
    <row r="195" spans="2:28" x14ac:dyDescent="0.25">
      <c r="B195" s="327">
        <v>15</v>
      </c>
      <c r="C195" s="347">
        <f>TREND(C179:C180,B179:B180,B195)</f>
        <v>0</v>
      </c>
      <c r="D195" s="372">
        <f>TREND(D179:D180,B179:B180,B195)</f>
        <v>0</v>
      </c>
      <c r="E195" s="373">
        <f>TREND(E179:E180,B179:B180,B195)</f>
        <v>5</v>
      </c>
      <c r="F195" s="374">
        <f>TREND(F179:F180,B179:B180,B195)</f>
        <v>5</v>
      </c>
      <c r="G195" s="339">
        <f t="shared" si="312"/>
        <v>0</v>
      </c>
      <c r="H195" s="436">
        <f t="shared" si="313"/>
        <v>0</v>
      </c>
      <c r="I195" s="521" t="e">
        <f t="shared" si="331"/>
        <v>#N/A</v>
      </c>
      <c r="J195" s="500" t="e">
        <f t="shared" si="332"/>
        <v>#N/A</v>
      </c>
      <c r="K195" s="521" t="e">
        <f t="shared" si="333"/>
        <v>#N/A</v>
      </c>
      <c r="L195" s="500" t="e">
        <f t="shared" si="334"/>
        <v>#N/A</v>
      </c>
      <c r="M195" s="285" t="e">
        <f t="shared" si="330"/>
        <v>#N/A</v>
      </c>
      <c r="N195" s="323" t="e">
        <f t="shared" si="316"/>
        <v>#N/A</v>
      </c>
      <c r="O195" s="474"/>
      <c r="P195" s="1038">
        <f t="shared" si="335"/>
        <v>0</v>
      </c>
      <c r="Q195" s="1324">
        <f t="shared" si="336"/>
        <v>0</v>
      </c>
      <c r="R195" s="1324">
        <f t="shared" si="337"/>
        <v>0</v>
      </c>
      <c r="S195" s="1324">
        <f t="shared" si="338"/>
        <v>0</v>
      </c>
      <c r="T195" s="1324">
        <f t="shared" si="339"/>
        <v>0</v>
      </c>
      <c r="U195" s="1324">
        <f t="shared" si="340"/>
        <v>0</v>
      </c>
      <c r="V195" s="1325">
        <f t="shared" si="341"/>
        <v>0</v>
      </c>
      <c r="W195" s="521" t="e">
        <f t="shared" si="324"/>
        <v>#N/A</v>
      </c>
      <c r="X195" s="1333" t="e">
        <f t="shared" si="325"/>
        <v>#N/A</v>
      </c>
      <c r="Y195" s="1333" t="e">
        <f t="shared" si="326"/>
        <v>#N/A</v>
      </c>
      <c r="Z195" s="1333" t="e">
        <f t="shared" si="327"/>
        <v>#N/A</v>
      </c>
      <c r="AA195" s="1333" t="e">
        <f t="shared" si="328"/>
        <v>#N/A</v>
      </c>
      <c r="AB195" s="500" t="e">
        <f t="shared" si="329"/>
        <v>#N/A</v>
      </c>
    </row>
    <row r="196" spans="2:28" x14ac:dyDescent="0.25">
      <c r="B196" s="327">
        <v>16</v>
      </c>
      <c r="C196" s="347">
        <f>TREND(C179:C180,B179:B180,B196)</f>
        <v>0</v>
      </c>
      <c r="D196" s="372">
        <f>TREND(D179:D180,B179:B180,B196)</f>
        <v>0</v>
      </c>
      <c r="E196" s="373">
        <f>TREND(E179:E180,B179:B180,B196)</f>
        <v>5</v>
      </c>
      <c r="F196" s="374">
        <f>TREND(F179:F180,B179:B180,B196)</f>
        <v>5</v>
      </c>
      <c r="G196" s="339">
        <f t="shared" si="312"/>
        <v>0</v>
      </c>
      <c r="H196" s="436">
        <f t="shared" si="313"/>
        <v>0</v>
      </c>
      <c r="I196" s="521" t="e">
        <f t="shared" si="331"/>
        <v>#N/A</v>
      </c>
      <c r="J196" s="500" t="e">
        <f t="shared" si="332"/>
        <v>#N/A</v>
      </c>
      <c r="K196" s="521" t="e">
        <f t="shared" si="333"/>
        <v>#N/A</v>
      </c>
      <c r="L196" s="500" t="e">
        <f t="shared" si="334"/>
        <v>#N/A</v>
      </c>
      <c r="M196" s="285" t="e">
        <f t="shared" si="330"/>
        <v>#N/A</v>
      </c>
      <c r="N196" s="323" t="e">
        <f t="shared" si="316"/>
        <v>#N/A</v>
      </c>
      <c r="O196" s="474"/>
      <c r="P196" s="1038">
        <f t="shared" si="335"/>
        <v>0</v>
      </c>
      <c r="Q196" s="1324">
        <f t="shared" si="336"/>
        <v>0</v>
      </c>
      <c r="R196" s="1324">
        <f t="shared" si="337"/>
        <v>0</v>
      </c>
      <c r="S196" s="1324">
        <f t="shared" si="338"/>
        <v>0</v>
      </c>
      <c r="T196" s="1324">
        <f t="shared" si="339"/>
        <v>0</v>
      </c>
      <c r="U196" s="1324">
        <f t="shared" si="340"/>
        <v>0</v>
      </c>
      <c r="V196" s="1325">
        <f t="shared" si="341"/>
        <v>0</v>
      </c>
      <c r="W196" s="521" t="e">
        <f t="shared" si="324"/>
        <v>#N/A</v>
      </c>
      <c r="X196" s="1333" t="e">
        <f t="shared" si="325"/>
        <v>#N/A</v>
      </c>
      <c r="Y196" s="1333" t="e">
        <f t="shared" si="326"/>
        <v>#N/A</v>
      </c>
      <c r="Z196" s="1333" t="e">
        <f t="shared" si="327"/>
        <v>#N/A</v>
      </c>
      <c r="AA196" s="1333" t="e">
        <f t="shared" si="328"/>
        <v>#N/A</v>
      </c>
      <c r="AB196" s="500" t="e">
        <f t="shared" si="329"/>
        <v>#N/A</v>
      </c>
    </row>
    <row r="197" spans="2:28" x14ac:dyDescent="0.25">
      <c r="B197" s="327">
        <v>17</v>
      </c>
      <c r="C197" s="347">
        <f>TREND(C179:C180,B179:B180,B197)</f>
        <v>0</v>
      </c>
      <c r="D197" s="372">
        <f>TREND(D179:D180,B179:B180,B197)</f>
        <v>0</v>
      </c>
      <c r="E197" s="373">
        <f>TREND(E179:E180,B179:B180,B197)</f>
        <v>5</v>
      </c>
      <c r="F197" s="374">
        <f>TREND(F179:F180,B179:B180,B197)</f>
        <v>5</v>
      </c>
      <c r="G197" s="339">
        <f t="shared" si="312"/>
        <v>0</v>
      </c>
      <c r="H197" s="436">
        <f t="shared" si="313"/>
        <v>0</v>
      </c>
      <c r="I197" s="521" t="e">
        <f t="shared" si="331"/>
        <v>#N/A</v>
      </c>
      <c r="J197" s="500" t="e">
        <f t="shared" si="332"/>
        <v>#N/A</v>
      </c>
      <c r="K197" s="521" t="e">
        <f t="shared" si="333"/>
        <v>#N/A</v>
      </c>
      <c r="L197" s="500" t="e">
        <f t="shared" si="334"/>
        <v>#N/A</v>
      </c>
      <c r="M197" s="285" t="e">
        <f t="shared" si="330"/>
        <v>#N/A</v>
      </c>
      <c r="N197" s="323" t="e">
        <f t="shared" si="316"/>
        <v>#N/A</v>
      </c>
      <c r="O197" s="474"/>
      <c r="P197" s="1038">
        <f t="shared" si="335"/>
        <v>0</v>
      </c>
      <c r="Q197" s="1324">
        <f t="shared" si="336"/>
        <v>0</v>
      </c>
      <c r="R197" s="1324">
        <f t="shared" si="337"/>
        <v>0</v>
      </c>
      <c r="S197" s="1324">
        <f t="shared" si="338"/>
        <v>0</v>
      </c>
      <c r="T197" s="1324">
        <f t="shared" si="339"/>
        <v>0</v>
      </c>
      <c r="U197" s="1324">
        <f t="shared" si="340"/>
        <v>0</v>
      </c>
      <c r="V197" s="1325">
        <f t="shared" si="341"/>
        <v>0</v>
      </c>
      <c r="W197" s="521" t="e">
        <f t="shared" si="324"/>
        <v>#N/A</v>
      </c>
      <c r="X197" s="1333" t="e">
        <f t="shared" si="325"/>
        <v>#N/A</v>
      </c>
      <c r="Y197" s="1333" t="e">
        <f t="shared" si="326"/>
        <v>#N/A</v>
      </c>
      <c r="Z197" s="1333" t="e">
        <f t="shared" si="327"/>
        <v>#N/A</v>
      </c>
      <c r="AA197" s="1333" t="e">
        <f t="shared" si="328"/>
        <v>#N/A</v>
      </c>
      <c r="AB197" s="500" t="e">
        <f t="shared" si="329"/>
        <v>#N/A</v>
      </c>
    </row>
    <row r="198" spans="2:28" x14ac:dyDescent="0.25">
      <c r="B198" s="327">
        <v>18</v>
      </c>
      <c r="C198" s="347">
        <f>TREND(C179:C180,B179:B180,B198)</f>
        <v>0</v>
      </c>
      <c r="D198" s="372">
        <f>TREND(D179:D180,B179:B180,B198)</f>
        <v>0</v>
      </c>
      <c r="E198" s="373">
        <f>TREND(E179:E180,B179:B180,B198)</f>
        <v>5</v>
      </c>
      <c r="F198" s="374">
        <f>TREND(F179:F180,B179:B180,B198)</f>
        <v>5</v>
      </c>
      <c r="G198" s="339">
        <f t="shared" si="312"/>
        <v>0</v>
      </c>
      <c r="H198" s="436">
        <f t="shared" si="313"/>
        <v>0</v>
      </c>
      <c r="I198" s="521" t="e">
        <f t="shared" si="331"/>
        <v>#N/A</v>
      </c>
      <c r="J198" s="500" t="e">
        <f t="shared" si="332"/>
        <v>#N/A</v>
      </c>
      <c r="K198" s="521" t="e">
        <f t="shared" si="333"/>
        <v>#N/A</v>
      </c>
      <c r="L198" s="500" t="e">
        <f t="shared" si="334"/>
        <v>#N/A</v>
      </c>
      <c r="M198" s="285" t="e">
        <f t="shared" si="330"/>
        <v>#N/A</v>
      </c>
      <c r="N198" s="323" t="e">
        <f t="shared" si="316"/>
        <v>#N/A</v>
      </c>
      <c r="O198" s="474"/>
      <c r="P198" s="1038">
        <f t="shared" si="335"/>
        <v>0</v>
      </c>
      <c r="Q198" s="1324">
        <f t="shared" si="336"/>
        <v>0</v>
      </c>
      <c r="R198" s="1324">
        <f t="shared" si="337"/>
        <v>0</v>
      </c>
      <c r="S198" s="1324">
        <f t="shared" si="338"/>
        <v>0</v>
      </c>
      <c r="T198" s="1324">
        <f t="shared" si="339"/>
        <v>0</v>
      </c>
      <c r="U198" s="1324">
        <f t="shared" si="340"/>
        <v>0</v>
      </c>
      <c r="V198" s="1325">
        <f t="shared" si="341"/>
        <v>0</v>
      </c>
      <c r="W198" s="521" t="e">
        <f t="shared" si="324"/>
        <v>#N/A</v>
      </c>
      <c r="X198" s="1333" t="e">
        <f t="shared" si="325"/>
        <v>#N/A</v>
      </c>
      <c r="Y198" s="1333" t="e">
        <f t="shared" si="326"/>
        <v>#N/A</v>
      </c>
      <c r="Z198" s="1333" t="e">
        <f t="shared" si="327"/>
        <v>#N/A</v>
      </c>
      <c r="AA198" s="1333" t="e">
        <f t="shared" si="328"/>
        <v>#N/A</v>
      </c>
      <c r="AB198" s="500" t="e">
        <f t="shared" si="329"/>
        <v>#N/A</v>
      </c>
    </row>
    <row r="199" spans="2:28" x14ac:dyDescent="0.25">
      <c r="B199" s="359">
        <v>19</v>
      </c>
      <c r="C199" s="360">
        <f>TREND(C179:C180,B179:B180,B199)</f>
        <v>0</v>
      </c>
      <c r="D199" s="375">
        <f>TREND(D179:D180,B179:B180,B199)</f>
        <v>0</v>
      </c>
      <c r="E199" s="376">
        <f>TREND(E179:E180,B179:B180,B199)</f>
        <v>5</v>
      </c>
      <c r="F199" s="377">
        <f>TREND(F179:F180,B179:B180,B199)</f>
        <v>5</v>
      </c>
      <c r="G199" s="339">
        <f t="shared" si="312"/>
        <v>0</v>
      </c>
      <c r="H199" s="435">
        <f t="shared" si="313"/>
        <v>0</v>
      </c>
      <c r="I199" s="520" t="e">
        <f t="shared" si="331"/>
        <v>#N/A</v>
      </c>
      <c r="J199" s="499" t="e">
        <f t="shared" si="332"/>
        <v>#N/A</v>
      </c>
      <c r="K199" s="520" t="e">
        <f t="shared" si="333"/>
        <v>#N/A</v>
      </c>
      <c r="L199" s="499" t="e">
        <f t="shared" si="334"/>
        <v>#N/A</v>
      </c>
      <c r="M199" s="285" t="e">
        <f t="shared" si="330"/>
        <v>#N/A</v>
      </c>
      <c r="N199" s="323" t="e">
        <f t="shared" si="316"/>
        <v>#N/A</v>
      </c>
      <c r="O199" s="474"/>
      <c r="P199" s="1037">
        <f t="shared" si="335"/>
        <v>0</v>
      </c>
      <c r="Q199" s="1322">
        <f t="shared" si="336"/>
        <v>0</v>
      </c>
      <c r="R199" s="1322">
        <f t="shared" si="337"/>
        <v>0</v>
      </c>
      <c r="S199" s="1322">
        <f t="shared" si="338"/>
        <v>0</v>
      </c>
      <c r="T199" s="1322">
        <f t="shared" si="339"/>
        <v>0</v>
      </c>
      <c r="U199" s="1322">
        <f t="shared" si="340"/>
        <v>0</v>
      </c>
      <c r="V199" s="1326">
        <f t="shared" si="341"/>
        <v>0</v>
      </c>
      <c r="W199" s="520" t="e">
        <f t="shared" si="324"/>
        <v>#N/A</v>
      </c>
      <c r="X199" s="1332" t="e">
        <f t="shared" si="325"/>
        <v>#N/A</v>
      </c>
      <c r="Y199" s="1332" t="e">
        <f t="shared" si="326"/>
        <v>#N/A</v>
      </c>
      <c r="Z199" s="1332" t="e">
        <f t="shared" si="327"/>
        <v>#N/A</v>
      </c>
      <c r="AA199" s="1332" t="e">
        <f t="shared" si="328"/>
        <v>#N/A</v>
      </c>
      <c r="AB199" s="499" t="e">
        <f t="shared" si="329"/>
        <v>#N/A</v>
      </c>
    </row>
    <row r="200" spans="2:28" x14ac:dyDescent="0.25">
      <c r="B200" s="357"/>
      <c r="C200" s="355"/>
      <c r="D200" s="355"/>
      <c r="E200" s="355"/>
      <c r="F200" s="355"/>
      <c r="G200" s="356"/>
      <c r="H200" s="356"/>
      <c r="I200" s="356"/>
      <c r="J200" s="356"/>
      <c r="K200" s="356"/>
      <c r="L200" s="356"/>
      <c r="M200" s="356"/>
      <c r="N200" s="358"/>
      <c r="O200" s="475"/>
      <c r="P200" s="358"/>
      <c r="Q200" s="358"/>
      <c r="R200" s="358"/>
      <c r="S200" s="358"/>
      <c r="T200" s="358"/>
      <c r="U200" s="358"/>
      <c r="V200" s="358"/>
      <c r="W200" s="475"/>
      <c r="X200" s="475"/>
      <c r="Y200" s="475"/>
      <c r="Z200" s="475"/>
      <c r="AA200" s="475"/>
      <c r="AB200" s="475"/>
    </row>
    <row r="201" spans="2:28" ht="13" x14ac:dyDescent="0.25">
      <c r="B201" s="329" t="s">
        <v>172</v>
      </c>
      <c r="C201" s="330"/>
      <c r="D201" s="331"/>
      <c r="E201" s="331"/>
      <c r="F201" s="331"/>
      <c r="G201" s="331"/>
      <c r="H201" s="331"/>
      <c r="I201" s="331"/>
      <c r="J201" s="332"/>
      <c r="K201" s="331"/>
      <c r="L201" s="332"/>
      <c r="M201" s="341"/>
      <c r="N201" s="342" t="e">
        <f>SUM(N179:N199)</f>
        <v>#N/A</v>
      </c>
      <c r="O201" s="477"/>
      <c r="P201" s="1039">
        <f t="shared" ref="P201" si="342">SUM(P179:P199)</f>
        <v>0</v>
      </c>
      <c r="Q201" s="1327">
        <f>SUM(Q179:Q199)</f>
        <v>0</v>
      </c>
      <c r="R201" s="1327">
        <f t="shared" ref="R201:V201" si="343">SUM(R179:R199)</f>
        <v>0</v>
      </c>
      <c r="S201" s="1327">
        <f t="shared" si="343"/>
        <v>0</v>
      </c>
      <c r="T201" s="1327">
        <f t="shared" si="343"/>
        <v>0</v>
      </c>
      <c r="U201" s="1327">
        <f t="shared" si="343"/>
        <v>0</v>
      </c>
      <c r="V201" s="1328">
        <f t="shared" si="343"/>
        <v>0</v>
      </c>
      <c r="W201" s="1334" t="e">
        <f>SUM(W179:W199)</f>
        <v>#N/A</v>
      </c>
      <c r="X201" s="1335" t="e">
        <f>SUM(X179:X199)</f>
        <v>#N/A</v>
      </c>
      <c r="Y201" s="1335" t="e">
        <f t="shared" ref="Y201:AB201" si="344">SUM(Y179:Y199)</f>
        <v>#N/A</v>
      </c>
      <c r="Z201" s="1335" t="e">
        <f t="shared" si="344"/>
        <v>#N/A</v>
      </c>
      <c r="AA201" s="1335" t="e">
        <f t="shared" si="344"/>
        <v>#N/A</v>
      </c>
      <c r="AB201" s="1040" t="e">
        <f t="shared" si="344"/>
        <v>#N/A</v>
      </c>
    </row>
    <row r="202" spans="2:28" x14ac:dyDescent="0.25">
      <c r="O202" s="450"/>
      <c r="P202" s="450"/>
      <c r="Q202" s="450"/>
      <c r="R202" s="450"/>
      <c r="S202" s="450"/>
      <c r="T202" s="450"/>
      <c r="U202" s="450"/>
      <c r="V202" s="450"/>
      <c r="W202" s="450"/>
      <c r="X202" s="450"/>
      <c r="Y202" s="450"/>
      <c r="Z202" s="450"/>
      <c r="AA202" s="450"/>
      <c r="AB202" s="450"/>
    </row>
    <row r="203" spans="2:28" x14ac:dyDescent="0.25">
      <c r="O203" s="450"/>
      <c r="P203" s="450"/>
      <c r="Q203" s="450"/>
      <c r="R203" s="450"/>
      <c r="S203" s="450"/>
      <c r="T203" s="450"/>
      <c r="U203" s="450"/>
      <c r="V203" s="450"/>
      <c r="W203" s="450"/>
      <c r="X203" s="450"/>
      <c r="Y203" s="450"/>
      <c r="Z203" s="450"/>
      <c r="AA203" s="450"/>
      <c r="AB203" s="450"/>
    </row>
    <row r="204" spans="2:28" ht="13" x14ac:dyDescent="0.25">
      <c r="B204" s="350" t="s">
        <v>254</v>
      </c>
      <c r="C204" s="88"/>
      <c r="D204" s="88"/>
      <c r="E204" s="88"/>
      <c r="F204" s="88"/>
      <c r="G204" s="88"/>
      <c r="H204" s="309"/>
      <c r="I204" s="309"/>
      <c r="J204" s="88"/>
      <c r="K204" s="309"/>
      <c r="L204" s="88"/>
      <c r="M204" s="88"/>
      <c r="N204" s="88"/>
      <c r="O204" s="273"/>
      <c r="P204" s="273"/>
      <c r="Q204" s="273"/>
      <c r="R204" s="273"/>
      <c r="S204" s="273"/>
      <c r="T204" s="273"/>
      <c r="U204" s="273"/>
      <c r="V204" s="273"/>
      <c r="W204" s="273"/>
      <c r="X204" s="273"/>
      <c r="Y204" s="273"/>
      <c r="Z204" s="273"/>
      <c r="AA204" s="273"/>
      <c r="AB204" s="273"/>
    </row>
    <row r="205" spans="2:28" x14ac:dyDescent="0.25">
      <c r="B205" s="88"/>
      <c r="C205" s="88"/>
      <c r="D205" s="274"/>
      <c r="E205" s="274"/>
      <c r="F205" s="274"/>
      <c r="G205" s="88"/>
      <c r="H205" s="88"/>
      <c r="I205" s="88"/>
      <c r="J205" s="88"/>
      <c r="K205" s="88"/>
      <c r="L205" s="88"/>
      <c r="M205" s="88"/>
      <c r="N205" s="351"/>
      <c r="O205" s="1030"/>
      <c r="P205" s="1030"/>
      <c r="Q205" s="1030"/>
      <c r="R205" s="1030"/>
      <c r="S205" s="1030"/>
      <c r="T205" s="1030"/>
      <c r="U205" s="1030"/>
      <c r="V205" s="1030"/>
      <c r="W205" s="1030"/>
      <c r="X205" s="1030"/>
      <c r="Y205" s="1030"/>
      <c r="Z205" s="1030"/>
      <c r="AA205" s="1030"/>
      <c r="AB205" s="1030"/>
    </row>
    <row r="206" spans="2:28" ht="15.5" x14ac:dyDescent="0.25">
      <c r="B206" s="317"/>
      <c r="C206" s="320" t="s">
        <v>230</v>
      </c>
      <c r="D206" s="361"/>
      <c r="E206" s="320" t="s">
        <v>231</v>
      </c>
      <c r="F206" s="333"/>
      <c r="G206" s="335" t="s">
        <v>272</v>
      </c>
      <c r="H206" s="321"/>
      <c r="I206" s="437" t="s">
        <v>510</v>
      </c>
      <c r="J206" s="438"/>
      <c r="K206" s="437" t="s">
        <v>511</v>
      </c>
      <c r="L206" s="438"/>
      <c r="M206" s="322"/>
      <c r="N206" s="343"/>
      <c r="O206" s="271"/>
      <c r="P206" s="437" t="s">
        <v>740</v>
      </c>
      <c r="Q206" s="437"/>
      <c r="R206" s="320"/>
      <c r="S206" s="320"/>
      <c r="T206" s="320"/>
      <c r="U206" s="320"/>
      <c r="V206" s="320"/>
      <c r="W206" s="437" t="s">
        <v>746</v>
      </c>
      <c r="X206" s="438"/>
      <c r="Y206" s="320"/>
      <c r="Z206" s="320"/>
      <c r="AA206" s="320"/>
      <c r="AB206" s="1315"/>
    </row>
    <row r="207" spans="2:28" ht="14" x14ac:dyDescent="0.25">
      <c r="B207" s="318"/>
      <c r="C207" s="287" t="s">
        <v>237</v>
      </c>
      <c r="D207" s="362"/>
      <c r="E207" s="287" t="s">
        <v>238</v>
      </c>
      <c r="F207" s="334"/>
      <c r="G207" s="336" t="s">
        <v>274</v>
      </c>
      <c r="H207" s="288"/>
      <c r="I207" s="439" t="s">
        <v>275</v>
      </c>
      <c r="J207" s="440"/>
      <c r="K207" s="439" t="s">
        <v>275</v>
      </c>
      <c r="L207" s="440"/>
      <c r="M207" s="284"/>
      <c r="N207" s="344"/>
      <c r="O207" s="271"/>
      <c r="P207" s="1311" t="s">
        <v>748</v>
      </c>
      <c r="Q207" s="1311"/>
      <c r="R207" s="1312"/>
      <c r="S207" s="1312"/>
      <c r="T207" s="1312"/>
      <c r="U207" s="1312"/>
      <c r="V207" s="1316"/>
      <c r="W207" s="1311" t="s">
        <v>749</v>
      </c>
      <c r="X207" s="288"/>
      <c r="Y207" s="287"/>
      <c r="Z207" s="287"/>
      <c r="AA207" s="287"/>
      <c r="AB207" s="288"/>
    </row>
    <row r="208" spans="2:28" ht="14" x14ac:dyDescent="0.25">
      <c r="B208" s="169" t="s">
        <v>135</v>
      </c>
      <c r="C208" s="316"/>
      <c r="D208" s="283"/>
      <c r="E208" s="316"/>
      <c r="F208" s="283"/>
      <c r="G208" s="316"/>
      <c r="H208" s="283"/>
      <c r="I208" s="316"/>
      <c r="J208" s="283"/>
      <c r="K208" s="316"/>
      <c r="L208" s="283"/>
      <c r="M208" s="286" t="s">
        <v>242</v>
      </c>
      <c r="N208" s="345" t="s">
        <v>139</v>
      </c>
      <c r="O208" s="465"/>
      <c r="P208" s="432"/>
      <c r="Q208" s="647"/>
      <c r="R208" s="647"/>
      <c r="S208" s="647"/>
      <c r="T208" s="647"/>
      <c r="U208" s="647"/>
      <c r="V208" s="1313"/>
      <c r="W208" s="432"/>
      <c r="X208" s="647"/>
      <c r="Y208" s="647"/>
      <c r="Z208" s="647"/>
      <c r="AA208" s="647"/>
      <c r="AB208" s="283"/>
    </row>
    <row r="209" spans="2:28" ht="17" x14ac:dyDescent="0.25">
      <c r="B209" s="319"/>
      <c r="C209" s="324" t="s">
        <v>0</v>
      </c>
      <c r="D209" s="325" t="s">
        <v>1</v>
      </c>
      <c r="E209" s="324" t="s">
        <v>0</v>
      </c>
      <c r="F209" s="325" t="s">
        <v>1</v>
      </c>
      <c r="G209" s="324" t="s">
        <v>0</v>
      </c>
      <c r="H209" s="325" t="s">
        <v>1</v>
      </c>
      <c r="I209" s="324" t="s">
        <v>0</v>
      </c>
      <c r="J209" s="325" t="s">
        <v>1</v>
      </c>
      <c r="K209" s="324" t="s">
        <v>0</v>
      </c>
      <c r="L209" s="325" t="s">
        <v>1</v>
      </c>
      <c r="M209" s="326" t="s">
        <v>148</v>
      </c>
      <c r="N209" s="346" t="s">
        <v>149</v>
      </c>
      <c r="O209" s="465"/>
      <c r="P209" s="441" t="s">
        <v>380</v>
      </c>
      <c r="Q209" s="648" t="s">
        <v>741</v>
      </c>
      <c r="R209" s="648" t="s">
        <v>742</v>
      </c>
      <c r="S209" s="648" t="s">
        <v>743</v>
      </c>
      <c r="T209" s="648" t="s">
        <v>745</v>
      </c>
      <c r="U209" s="648" t="s">
        <v>384</v>
      </c>
      <c r="V209" s="1314" t="s">
        <v>744</v>
      </c>
      <c r="W209" s="441" t="s">
        <v>380</v>
      </c>
      <c r="X209" s="648" t="s">
        <v>741</v>
      </c>
      <c r="Y209" s="648" t="s">
        <v>742</v>
      </c>
      <c r="Z209" s="648" t="s">
        <v>743</v>
      </c>
      <c r="AA209" s="648" t="s">
        <v>745</v>
      </c>
      <c r="AB209" s="325" t="s">
        <v>384</v>
      </c>
    </row>
    <row r="210" spans="2:28" x14ac:dyDescent="0.25">
      <c r="B210" s="327">
        <v>1</v>
      </c>
      <c r="C210" s="348">
        <f>NNV1NB*AnnualFactor</f>
        <v>0</v>
      </c>
      <c r="D210" s="349">
        <f>NNV1B*AnnualFactor</f>
        <v>0</v>
      </c>
      <c r="E210" s="363">
        <f>ROUND(NNS1NB,1)</f>
        <v>55</v>
      </c>
      <c r="F210" s="364">
        <f>ROUND(NNS1B,1)</f>
        <v>55</v>
      </c>
      <c r="G210" s="339">
        <f>IF(HwyRail,(IdleSpeed/60)*(GateTime1/2)*C210,ImpactedNB*C210)</f>
        <v>0</v>
      </c>
      <c r="H210" s="434">
        <f>IF(HwyRail,(IdleSpeed/60)*(GateTime1/2)*D210,ImpactedB*D210)</f>
        <v>0</v>
      </c>
      <c r="I210" s="515" t="e">
        <f>G210*0.00000110231131*(VLOOKUP(E210,EmAuto1,2)*VLOOKUP(ProjLoc,EmCost,2)+VLOOKUP(E210,EmAuto1,3)*VLOOKUP(ProjLoc,EmCost,3)*(1+CO2Uprater)^($B210+Construct-1)+VLOOKUP(E210,EmAuto1,4)*VLOOKUP(ProjLoc,EmCost,4)+VLOOKUP(E210,EmAuto1,5)*VLOOKUP(ProjLoc,EmCost,5)+VLOOKUP(E210,EmAuto1,6)*VLOOKUP(ProjLoc,EmCost,6)+VLOOKUP(E210,EmAuto1,7)*VLOOKUP(ProjLoc,EmCost,7))</f>
        <v>#N/A</v>
      </c>
      <c r="J210" s="498" t="e">
        <f>H210*0.00000110231131*(VLOOKUP(F210,EmAuto1,2)*VLOOKUP(ProjLoc,EmCost,2)+VLOOKUP(F210,EmAuto1,3)*VLOOKUP(ProjLoc,EmCost,3)*(1+CO2Uprater)^($B210+Construct-1)+VLOOKUP(F210,EmAuto1,4)*VLOOKUP(ProjLoc,EmCost,4)+VLOOKUP(F210,EmAuto1,5)*VLOOKUP(ProjLoc,EmCost,5)+VLOOKUP(F210,EmAuto1,6)*VLOOKUP(ProjLoc,EmCost,6)+VLOOKUP(F210,EmAuto1,7)*VLOOKUP(ProjLoc,EmCost,7))</f>
        <v>#N/A</v>
      </c>
      <c r="K210" s="515" t="e">
        <f>C210*0.00000110231131*(VLOOKUP(0,EmAuto1,2)*VLOOKUP(ProjLoc,EmCost,2)+VLOOKUP(0,EmAuto1,3)*VLOOKUP(ProjLoc,EmCost,3)*(1+CO2Uprater)^($B210+Construct-1)+VLOOKUP(0,EmAuto1,4)*VLOOKUP(ProjLoc,EmCost,4)+VLOOKUP(0,EmAuto1,5)*VLOOKUP(ProjLoc,EmCost,5)+VLOOKUP(0,EmAuto1,6)*VLOOKUP(ProjLoc,EmCost,6)+VLOOKUP(0,EmAuto1,7)*VLOOKUP(ProjLoc,EmCost,7))</f>
        <v>#N/A</v>
      </c>
      <c r="L210" s="498" t="e">
        <f>D210*0.00000110231131*(VLOOKUP(0,EmAuto1,2)*VLOOKUP(ProjLoc,EmCost,2)+VLOOKUP(0,EmAuto1,3)*VLOOKUP(ProjLoc,EmCost,3)*(1+CO2Uprater)^($B210+Construct-1)+VLOOKUP(0,EmAuto1,4)*VLOOKUP(ProjLoc,EmCost,4)+VLOOKUP(0,EmAuto1,5)*VLOOKUP(ProjLoc,EmCost,5)+VLOOKUP(0,EmAuto1,6)*VLOOKUP(ProjLoc,EmCost,6)+VLOOKUP(0,EmAuto1,7)*VLOOKUP(ProjLoc,EmCost,7))</f>
        <v>#N/A</v>
      </c>
      <c r="M210" s="285" t="e">
        <f>(I210+K210)-(J210+L210)</f>
        <v>#N/A</v>
      </c>
      <c r="N210" s="323" t="e">
        <f>$M210/(1+DiscRate)^($B210+Construct-1)</f>
        <v>#N/A</v>
      </c>
      <c r="O210" s="474"/>
      <c r="P210" s="1036">
        <f>0.00000110231131*(G210*VLOOKUP(E210,EmAuto1,2)-H210*VLOOKUP(F210,EmAuto1,2)+(C210-D210)*VLOOKUP(0,EmAuto1,2))</f>
        <v>0</v>
      </c>
      <c r="Q210" s="1321">
        <f t="shared" ref="Q210" si="345">0.00000110231131*(G210*VLOOKUP(E210,EmAuto1,3)-H210*VLOOKUP(F210,EmAuto1,3)+(C210-D210)*VLOOKUP(0,EmAuto1,3))</f>
        <v>0</v>
      </c>
      <c r="R210" s="1321">
        <f>0.00000110231131*(G210*VLOOKUP(E210,EmAuto1,4)-H210*VLOOKUP(F210,EmAuto1,4)+(C210-D210)*VLOOKUP(0,EmAuto1,4))</f>
        <v>0</v>
      </c>
      <c r="S210" s="1321">
        <f>0.00000110231131*(G210*VLOOKUP(E210,EmAuto1,5)-H210*VLOOKUP(F210,EmAuto1,5)+(C210-D210)*VLOOKUP(0,EmAuto1,5))</f>
        <v>0</v>
      </c>
      <c r="T210" s="1321">
        <f>0.00000110231131*(G210*VLOOKUP(E210,EmAuto1,6)-H210*VLOOKUP(F210,EmAuto1,6)+(C210-D210)*VLOOKUP(0,EmAuto1,6))</f>
        <v>0</v>
      </c>
      <c r="U210" s="1321">
        <f>0.00000110231131*(G210*VLOOKUP(E210,EmAuto1,7)-H210*VLOOKUP(F210,EmAuto1,7)+(C210-D210)*VLOOKUP(0,EmAuto1,7))</f>
        <v>0</v>
      </c>
      <c r="V210" s="1329">
        <f>0.00000110231131*(G210*VLOOKUP(E210,EmAuto1,8)-H210*VLOOKUP(F210,EmAuto1,8)+(C210-D210)*VLOOKUP(0,EmAuto1,8))</f>
        <v>0</v>
      </c>
      <c r="W210" s="515" t="e">
        <f>P210*VLOOKUP(ProjLoc,EmCost,2)/(1+DiscRate)^($B210+Construct-1)</f>
        <v>#N/A</v>
      </c>
      <c r="X210" s="1331" t="e">
        <f>Q210*VLOOKUP(ProjLoc,EmCost,3)*(1+CO2Uprater)^($B210+Construct-1)/(1+DiscRate)^($B210+Construct-1)</f>
        <v>#N/A</v>
      </c>
      <c r="Y210" s="1331" t="e">
        <f>R210*VLOOKUP(ProjLoc,EmCost,4)/(1+DiscRate)^($B210+Construct-1)</f>
        <v>#N/A</v>
      </c>
      <c r="Z210" s="1331" t="e">
        <f>S210*VLOOKUP(ProjLoc,EmCost,5)/(1+DiscRate)^($B210+Construct-1)</f>
        <v>#N/A</v>
      </c>
      <c r="AA210" s="1331" t="e">
        <f>T210*VLOOKUP(ProjLoc,EmCost,6)/(1+DiscRate)^($B210+Construct-1)</f>
        <v>#N/A</v>
      </c>
      <c r="AB210" s="498" t="e">
        <f>U210*VLOOKUP(ProjLoc,EmCost,7)/(1+DiscRate)^($B210+Construct-1)</f>
        <v>#N/A</v>
      </c>
    </row>
    <row r="211" spans="2:28" x14ac:dyDescent="0.25">
      <c r="B211" s="328">
        <v>20</v>
      </c>
      <c r="C211" s="353">
        <f>NNV20NB*AnnualFactor</f>
        <v>0</v>
      </c>
      <c r="D211" s="354">
        <f>NNV20B*AnnualFactor</f>
        <v>0</v>
      </c>
      <c r="E211" s="365">
        <f>ROUND(NNS20NB,1)</f>
        <v>55</v>
      </c>
      <c r="F211" s="366">
        <f>ROUND(NNS20B,1)</f>
        <v>55</v>
      </c>
      <c r="G211" s="339">
        <f>IF(HwyRail,(IdleSpeed/60)*(GateTime20/2)*C211,ImpactedNB*C211)</f>
        <v>0</v>
      </c>
      <c r="H211" s="435">
        <f>IF(HwyRail,(IdleSpeed/60)*(GateTime20/2)*D211,ImpactedB*D211)</f>
        <v>0</v>
      </c>
      <c r="I211" s="520" t="e">
        <f>G211*0.00000110231131*(VLOOKUP(E211,EmAuto20,2)*VLOOKUP(ProjLoc,EmCost,2)+VLOOKUP(E211,EmAuto20,3)*VLOOKUP(ProjLoc,EmCost,3)*(1+CO2Uprater)^($B211+Construct-1)+VLOOKUP(E211,EmAuto20,4)*VLOOKUP(ProjLoc,EmCost,4)+VLOOKUP(E211,EmAuto20,5)*VLOOKUP(ProjLoc,EmCost,5)+VLOOKUP(E211,EmAuto20,6)*VLOOKUP(ProjLoc,EmCost,6)+VLOOKUP(E211,EmAuto20,7)*VLOOKUP(ProjLoc,EmCost,7))</f>
        <v>#N/A</v>
      </c>
      <c r="J211" s="499" t="e">
        <f>H211*0.00000110231131*(VLOOKUP(F211,EmAuto20,2)*VLOOKUP(ProjLoc,EmCost,2)+VLOOKUP(F211,EmAuto20,3)*VLOOKUP(ProjLoc,EmCost,3)*(1+CO2Uprater)^($B211+Construct-1)+VLOOKUP(F211,EmAuto20,4)*VLOOKUP(ProjLoc,EmCost,4)+VLOOKUP(F211,EmAuto20,5)*VLOOKUP(ProjLoc,EmCost,5)+VLOOKUP(F211,EmAuto20,6)*VLOOKUP(ProjLoc,EmCost,6)+VLOOKUP(F211,EmAuto20,7)*VLOOKUP(ProjLoc,EmCost,7))</f>
        <v>#N/A</v>
      </c>
      <c r="K211" s="520" t="e">
        <f>C211*0.00000110231131*(VLOOKUP(0,EmAuto20,2)*VLOOKUP(ProjLoc,EmCost,2)+VLOOKUP(0,EmAuto20,3)*VLOOKUP(ProjLoc,EmCost,3)*(1+CO2Uprater)^($B211+Construct-1)+VLOOKUP(0,EmAuto20,4)*VLOOKUP(ProjLoc,EmCost,4)+VLOOKUP(0,EmAuto20,5)*VLOOKUP(ProjLoc,EmCost,5)+VLOOKUP(0,EmAuto20,6)*VLOOKUP(ProjLoc,EmCost,6)+VLOOKUP(0,EmAuto20,7)*VLOOKUP(ProjLoc,EmCost,7))</f>
        <v>#N/A</v>
      </c>
      <c r="L211" s="499" t="e">
        <f>D211*0.00000110231131*(VLOOKUP(0,EmAuto20,2)*VLOOKUP(ProjLoc,EmCost,2)+VLOOKUP(0,EmAuto20,3)*VLOOKUP(ProjLoc,EmCost,3)*(1+CO2Uprater)^($B211+Construct-1)+VLOOKUP(0,EmAuto20,4)*VLOOKUP(ProjLoc,EmCost,4)+VLOOKUP(0,EmAuto20,5)*VLOOKUP(ProjLoc,EmCost,5)+VLOOKUP(0,EmAuto20,6)*VLOOKUP(ProjLoc,EmCost,6)+VLOOKUP(0,EmAuto20,7)*VLOOKUP(ProjLoc,EmCost,7))</f>
        <v>#N/A</v>
      </c>
      <c r="M211" s="285" t="e">
        <f>(I211+K211)-(J211+L211)</f>
        <v>#N/A</v>
      </c>
      <c r="N211" s="323" t="e">
        <f>$M211/(1+DiscRate)^($B211+Construct-1)</f>
        <v>#N/A</v>
      </c>
      <c r="O211" s="474"/>
      <c r="P211" s="1037">
        <f>0.00000110231131*(G211*VLOOKUP(E211,EmAuto20,2)-H211*VLOOKUP(F211,EmAuto20,2)+(C211-D211)*VLOOKUP(0,EmAuto20,2))</f>
        <v>0</v>
      </c>
      <c r="Q211" s="1322">
        <f t="shared" ref="Q211" si="346">0.00000110231131*(G211*VLOOKUP(E211,EmAuto20,3)-H211*VLOOKUP(F211,EmAuto20,3)+(C211-D211)*VLOOKUP(0,EmAuto20,3))</f>
        <v>0</v>
      </c>
      <c r="R211" s="1322">
        <f>0.00000110231131*(G211*VLOOKUP(E211,EmAuto20,4)-H211*VLOOKUP(F211,EmAuto20,4)+(C211-D211)*VLOOKUP(0,EmAuto20,4))</f>
        <v>0</v>
      </c>
      <c r="S211" s="1322">
        <f>0.00000110231131*(G211*VLOOKUP(E211,EmAuto20,5)-H211*VLOOKUP(F211,EmAuto20,5)+(C211-D211)*VLOOKUP(0,EmAuto20,5))</f>
        <v>0</v>
      </c>
      <c r="T211" s="1322">
        <f>0.00000110231131*(G211*VLOOKUP(E211,EmAuto20,6)-H211*VLOOKUP(F211,EmAuto20,6)+(C211-D211)*VLOOKUP(0,EmAuto20,6))</f>
        <v>0</v>
      </c>
      <c r="U211" s="1322">
        <f>0.00000110231131*(G211*VLOOKUP(E211,EmAuto20,7)-H211*VLOOKUP(F211,EmAuto20,7)+(C211-D211)*VLOOKUP(0,EmAuto20,7))</f>
        <v>0</v>
      </c>
      <c r="V211" s="1330">
        <f>0.00000110231131*(G211*VLOOKUP(E211,EmAuto20,8)-H211*VLOOKUP(F211,EmAuto20,8)+(C211-D211)*VLOOKUP(0,EmAuto20,8))</f>
        <v>0</v>
      </c>
      <c r="W211" s="520" t="e">
        <f>P211*VLOOKUP(ProjLoc,EmCost,2)/(1+DiscRate)^($B211+Construct-1)</f>
        <v>#N/A</v>
      </c>
      <c r="X211" s="1332" t="e">
        <f>Q211*VLOOKUP(ProjLoc,EmCost,3)*(1+CO2Uprater)^($B211+Construct-1)/(1+DiscRate)^($B211+Construct-1)</f>
        <v>#N/A</v>
      </c>
      <c r="Y211" s="1332" t="e">
        <f>R211*VLOOKUP(ProjLoc,EmCost,4)/(1+DiscRate)^($B211+Construct-1)</f>
        <v>#N/A</v>
      </c>
      <c r="Z211" s="1332" t="e">
        <f>S211*VLOOKUP(ProjLoc,EmCost,5)/(1+DiscRate)^($B211+Construct-1)</f>
        <v>#N/A</v>
      </c>
      <c r="AA211" s="1332" t="e">
        <f>T211*VLOOKUP(ProjLoc,EmCost,6)/(1+DiscRate)^($B211+Construct-1)</f>
        <v>#N/A</v>
      </c>
      <c r="AB211" s="499" t="e">
        <f>U211*VLOOKUP(ProjLoc,EmCost,7)/(1+DiscRate)^($B211+Construct-1)</f>
        <v>#N/A</v>
      </c>
    </row>
    <row r="212" spans="2:28" x14ac:dyDescent="0.25">
      <c r="B212" s="357"/>
      <c r="C212" s="355"/>
      <c r="D212" s="355"/>
      <c r="E212" s="367"/>
      <c r="F212" s="367"/>
      <c r="G212" s="356"/>
      <c r="H212" s="356"/>
      <c r="I212" s="356"/>
      <c r="J212" s="356"/>
      <c r="K212" s="356"/>
      <c r="L212" s="356"/>
      <c r="M212" s="356"/>
      <c r="N212" s="358"/>
      <c r="O212" s="475"/>
      <c r="P212" s="358"/>
      <c r="Q212" s="358"/>
      <c r="R212" s="358"/>
      <c r="S212" s="358"/>
      <c r="T212" s="358"/>
      <c r="U212" s="358"/>
      <c r="V212" s="358"/>
      <c r="W212" s="358"/>
      <c r="X212" s="356"/>
      <c r="Y212" s="358"/>
      <c r="Z212" s="358"/>
      <c r="AA212" s="358"/>
      <c r="AB212" s="358"/>
    </row>
    <row r="213" spans="2:28" x14ac:dyDescent="0.25">
      <c r="B213" s="352">
        <v>2</v>
      </c>
      <c r="C213" s="368">
        <f>TREND(C210:C211,B210:B211,B213)</f>
        <v>0</v>
      </c>
      <c r="D213" s="369">
        <f>TREND(D210:D211,B210:B211,B213)</f>
        <v>0</v>
      </c>
      <c r="E213" s="370">
        <f>TREND(E210:E211,B210:B211,B213)</f>
        <v>55</v>
      </c>
      <c r="F213" s="371">
        <f>TREND(F210:F211,B210:B211,B213)</f>
        <v>55</v>
      </c>
      <c r="G213" s="339">
        <f>IF(HwyRail,TREND(G210:G211,B210:B211,B213),ImpactedNB*C213)</f>
        <v>0</v>
      </c>
      <c r="H213" s="434">
        <f>IF(HwyRail,TREND(H210:H211,B210:B211,B213),ImpactedB*D213)</f>
        <v>0</v>
      </c>
      <c r="I213" s="515" t="e">
        <f t="shared" ref="I213:J218" si="347">G213*0.00000110231131*(VLOOKUP(E213,EmAuto1,2)*VLOOKUP(ProjLoc,EmCost,2)+VLOOKUP(E213,EmAuto1,3)*VLOOKUP(ProjLoc,EmCost,3)*(1+CO2Uprater)^($B213+Construct-1)+VLOOKUP(E213,EmAuto1,4)*VLOOKUP(ProjLoc,EmCost,4)+VLOOKUP(E213,EmAuto1,5)*VLOOKUP(ProjLoc,EmCost,5)+VLOOKUP(E213,EmAuto1,6)*VLOOKUP(ProjLoc,EmCost,6)+VLOOKUP(E213,EmAuto1,7)*VLOOKUP(ProjLoc,EmCost,7))</f>
        <v>#N/A</v>
      </c>
      <c r="J213" s="498" t="e">
        <f t="shared" si="347"/>
        <v>#N/A</v>
      </c>
      <c r="K213" s="515" t="e">
        <f t="shared" ref="K213:L218" si="348">C213*0.00000110231131*(VLOOKUP(0,EmAuto1,2)*VLOOKUP(ProjLoc,EmCost,2)+VLOOKUP(0,EmAuto1,3)*VLOOKUP(ProjLoc,EmCost,3)*(1+CO2Uprater)^($B213+Construct-1)+VLOOKUP(0,EmAuto1,4)*VLOOKUP(ProjLoc,EmCost,4)+VLOOKUP(0,EmAuto1,5)*VLOOKUP(ProjLoc,EmCost,5)+VLOOKUP(0,EmAuto1,6)*VLOOKUP(ProjLoc,EmCost,6)+VLOOKUP(0,EmAuto1,7)*VLOOKUP(ProjLoc,EmCost,7))</f>
        <v>#N/A</v>
      </c>
      <c r="L213" s="498" t="e">
        <f t="shared" si="348"/>
        <v>#N/A</v>
      </c>
      <c r="M213" s="285" t="e">
        <f>(I213+K213)-(J213+L213)</f>
        <v>#N/A</v>
      </c>
      <c r="N213" s="323" t="e">
        <f t="shared" ref="N213:N230" si="349">$M213/(1+DiscRate)^($B213+Construct-1)</f>
        <v>#N/A</v>
      </c>
      <c r="O213" s="474"/>
      <c r="P213" s="1036">
        <f t="shared" ref="P213:P218" si="350">0.00000110231131*(G213*VLOOKUP(E213,EmAuto1,2)-H213*VLOOKUP(F213,EmAuto1,2)+(C213-D213)*VLOOKUP(0,EmAuto1,2))</f>
        <v>0</v>
      </c>
      <c r="Q213" s="1321">
        <f t="shared" ref="Q213:Q218" si="351">0.00000110231131*(G213*VLOOKUP(E213,EmAuto1,3)-H213*VLOOKUP(F213,EmAuto1,3)+(C213-D213)*VLOOKUP(0,EmAuto1,3))</f>
        <v>0</v>
      </c>
      <c r="R213" s="1321">
        <f t="shared" ref="R213:R218" si="352">0.00000110231131*(G213*VLOOKUP(E213,EmAuto1,4)-H213*VLOOKUP(F213,EmAuto1,4)+(C213-D213)*VLOOKUP(0,EmAuto1,4))</f>
        <v>0</v>
      </c>
      <c r="S213" s="1321">
        <f t="shared" ref="S213:S218" si="353">0.00000110231131*(G213*VLOOKUP(E213,EmAuto1,5)-H213*VLOOKUP(F213,EmAuto1,5)+(C213-D213)*VLOOKUP(0,EmAuto1,5))</f>
        <v>0</v>
      </c>
      <c r="T213" s="1321">
        <f t="shared" ref="T213:T218" si="354">0.00000110231131*(G213*VLOOKUP(E213,EmAuto1,6)-H213*VLOOKUP(F213,EmAuto1,6)+(C213-D213)*VLOOKUP(0,EmAuto1,6))</f>
        <v>0</v>
      </c>
      <c r="U213" s="1321">
        <f t="shared" ref="U213:U218" si="355">0.00000110231131*(G213*VLOOKUP(E213,EmAuto1,7)-H213*VLOOKUP(F213,EmAuto1,7)+(C213-D213)*VLOOKUP(0,EmAuto1,7))</f>
        <v>0</v>
      </c>
      <c r="V213" s="1323">
        <f t="shared" ref="V213:V218" si="356">0.00000110231131*(G213*VLOOKUP(E213,EmAuto1,8)-H213*VLOOKUP(F213,EmAuto1,8)+(C213-D213)*VLOOKUP(0,EmAuto1,8))</f>
        <v>0</v>
      </c>
      <c r="W213" s="515" t="e">
        <f t="shared" ref="W213:W230" si="357">P213*VLOOKUP(ProjLoc,EmCost,2)/(1+DiscRate)^($B213+Construct-1)</f>
        <v>#N/A</v>
      </c>
      <c r="X213" s="1331" t="e">
        <f t="shared" ref="X213:X230" si="358">Q213*VLOOKUP(ProjLoc,EmCost,3)*(1+CO2Uprater)^($B213+Construct-1)/(1+DiscRate)^($B213+Construct-1)</f>
        <v>#N/A</v>
      </c>
      <c r="Y213" s="1331" t="e">
        <f t="shared" ref="Y213:Y230" si="359">R213*VLOOKUP(ProjLoc,EmCost,4)/(1+DiscRate)^($B213+Construct-1)</f>
        <v>#N/A</v>
      </c>
      <c r="Z213" s="1331" t="e">
        <f t="shared" ref="Z213:Z230" si="360">S213*VLOOKUP(ProjLoc,EmCost,5)/(1+DiscRate)^($B213+Construct-1)</f>
        <v>#N/A</v>
      </c>
      <c r="AA213" s="1331" t="e">
        <f t="shared" ref="AA213:AA230" si="361">T213*VLOOKUP(ProjLoc,EmCost,6)/(1+DiscRate)^($B213+Construct-1)</f>
        <v>#N/A</v>
      </c>
      <c r="AB213" s="498" t="e">
        <f t="shared" ref="AB213:AB230" si="362">U213*VLOOKUP(ProjLoc,EmCost,7)/(1+DiscRate)^($B213+Construct-1)</f>
        <v>#N/A</v>
      </c>
    </row>
    <row r="214" spans="2:28" x14ac:dyDescent="0.25">
      <c r="B214" s="327">
        <v>3</v>
      </c>
      <c r="C214" s="347">
        <f>TREND(C210:C211,B210:B211,B214)</f>
        <v>0</v>
      </c>
      <c r="D214" s="372">
        <f>TREND(D210:D211,B210:B211,B214)</f>
        <v>0</v>
      </c>
      <c r="E214" s="373">
        <f>TREND(E210:E211,B210:B211,B214)</f>
        <v>55</v>
      </c>
      <c r="F214" s="374">
        <f>TREND(F210:F211,B210:B211,B214)</f>
        <v>55</v>
      </c>
      <c r="G214" s="339">
        <f>IF(HwyRail,TREND(G210:G211,B210:B211,B214),ImpactedNB*C214)</f>
        <v>0</v>
      </c>
      <c r="H214" s="436">
        <f>IF(HwyRail,TREND(H210:H211,B210:B211,B214),ImpactedB*D214)</f>
        <v>0</v>
      </c>
      <c r="I214" s="521" t="e">
        <f t="shared" si="347"/>
        <v>#N/A</v>
      </c>
      <c r="J214" s="500" t="e">
        <f t="shared" si="347"/>
        <v>#N/A</v>
      </c>
      <c r="K214" s="521" t="e">
        <f t="shared" si="348"/>
        <v>#N/A</v>
      </c>
      <c r="L214" s="500" t="e">
        <f t="shared" si="348"/>
        <v>#N/A</v>
      </c>
      <c r="M214" s="285" t="e">
        <f t="shared" ref="M214:M230" si="363">(I214+K214)-(J214+L214)</f>
        <v>#N/A</v>
      </c>
      <c r="N214" s="323" t="e">
        <f t="shared" si="349"/>
        <v>#N/A</v>
      </c>
      <c r="O214" s="474"/>
      <c r="P214" s="1038">
        <f t="shared" si="350"/>
        <v>0</v>
      </c>
      <c r="Q214" s="1324">
        <f t="shared" si="351"/>
        <v>0</v>
      </c>
      <c r="R214" s="1324">
        <f t="shared" si="352"/>
        <v>0</v>
      </c>
      <c r="S214" s="1324">
        <f t="shared" si="353"/>
        <v>0</v>
      </c>
      <c r="T214" s="1324">
        <f t="shared" si="354"/>
        <v>0</v>
      </c>
      <c r="U214" s="1324">
        <f t="shared" si="355"/>
        <v>0</v>
      </c>
      <c r="V214" s="1325">
        <f t="shared" si="356"/>
        <v>0</v>
      </c>
      <c r="W214" s="521" t="e">
        <f t="shared" si="357"/>
        <v>#N/A</v>
      </c>
      <c r="X214" s="1333" t="e">
        <f t="shared" si="358"/>
        <v>#N/A</v>
      </c>
      <c r="Y214" s="1333" t="e">
        <f t="shared" si="359"/>
        <v>#N/A</v>
      </c>
      <c r="Z214" s="1333" t="e">
        <f t="shared" si="360"/>
        <v>#N/A</v>
      </c>
      <c r="AA214" s="1333" t="e">
        <f t="shared" si="361"/>
        <v>#N/A</v>
      </c>
      <c r="AB214" s="500" t="e">
        <f t="shared" si="362"/>
        <v>#N/A</v>
      </c>
    </row>
    <row r="215" spans="2:28" x14ac:dyDescent="0.25">
      <c r="B215" s="327">
        <v>4</v>
      </c>
      <c r="C215" s="347">
        <f>TREND(C210:C211,B210:B211,B215)</f>
        <v>0</v>
      </c>
      <c r="D215" s="372">
        <f>TREND(D210:D211,B210:B211,B215)</f>
        <v>0</v>
      </c>
      <c r="E215" s="373">
        <f>TREND(E210:E211,B210:B211,B215)</f>
        <v>55</v>
      </c>
      <c r="F215" s="374">
        <f>TREND(F210:F211,B210:B211,B215)</f>
        <v>55</v>
      </c>
      <c r="G215" s="339">
        <f>IF(HwyRail,TREND(G210:G211,B210:B211,B215),ImpactedNB*C215)</f>
        <v>0</v>
      </c>
      <c r="H215" s="436">
        <f>IF(HwyRail,TREND(H210:H211,B210:B211,B215),ImpactedB*D215)</f>
        <v>0</v>
      </c>
      <c r="I215" s="521" t="e">
        <f t="shared" si="347"/>
        <v>#N/A</v>
      </c>
      <c r="J215" s="500" t="e">
        <f t="shared" si="347"/>
        <v>#N/A</v>
      </c>
      <c r="K215" s="521" t="e">
        <f t="shared" si="348"/>
        <v>#N/A</v>
      </c>
      <c r="L215" s="500" t="e">
        <f t="shared" si="348"/>
        <v>#N/A</v>
      </c>
      <c r="M215" s="285" t="e">
        <f t="shared" si="363"/>
        <v>#N/A</v>
      </c>
      <c r="N215" s="323" t="e">
        <f t="shared" si="349"/>
        <v>#N/A</v>
      </c>
      <c r="O215" s="474"/>
      <c r="P215" s="1038">
        <f t="shared" si="350"/>
        <v>0</v>
      </c>
      <c r="Q215" s="1324">
        <f t="shared" si="351"/>
        <v>0</v>
      </c>
      <c r="R215" s="1324">
        <f t="shared" si="352"/>
        <v>0</v>
      </c>
      <c r="S215" s="1324">
        <f t="shared" si="353"/>
        <v>0</v>
      </c>
      <c r="T215" s="1324">
        <f t="shared" si="354"/>
        <v>0</v>
      </c>
      <c r="U215" s="1324">
        <f t="shared" si="355"/>
        <v>0</v>
      </c>
      <c r="V215" s="1325">
        <f t="shared" si="356"/>
        <v>0</v>
      </c>
      <c r="W215" s="521" t="e">
        <f t="shared" si="357"/>
        <v>#N/A</v>
      </c>
      <c r="X215" s="1333" t="e">
        <f t="shared" si="358"/>
        <v>#N/A</v>
      </c>
      <c r="Y215" s="1333" t="e">
        <f t="shared" si="359"/>
        <v>#N/A</v>
      </c>
      <c r="Z215" s="1333" t="e">
        <f t="shared" si="360"/>
        <v>#N/A</v>
      </c>
      <c r="AA215" s="1333" t="e">
        <f t="shared" si="361"/>
        <v>#N/A</v>
      </c>
      <c r="AB215" s="500" t="e">
        <f t="shared" si="362"/>
        <v>#N/A</v>
      </c>
    </row>
    <row r="216" spans="2:28" x14ac:dyDescent="0.25">
      <c r="B216" s="327">
        <v>5</v>
      </c>
      <c r="C216" s="347">
        <f>TREND(C210:C211,B210:B211,B216)</f>
        <v>0</v>
      </c>
      <c r="D216" s="372">
        <f>TREND(D210:D211,B210:B211,B216)</f>
        <v>0</v>
      </c>
      <c r="E216" s="373">
        <f>TREND(E210:E211,B210:B211,B216)</f>
        <v>55</v>
      </c>
      <c r="F216" s="374">
        <f>TREND(F210:F211,B210:B211,B216)</f>
        <v>55</v>
      </c>
      <c r="G216" s="339">
        <f>IF(HwyRail,TREND(G210:G211,B210:B211,B216),ImpactedNB*C216)</f>
        <v>0</v>
      </c>
      <c r="H216" s="436">
        <f>IF(HwyRail,TREND(H210:H211,B210:B211,B216),ImpactedB*D216)</f>
        <v>0</v>
      </c>
      <c r="I216" s="521" t="e">
        <f t="shared" si="347"/>
        <v>#N/A</v>
      </c>
      <c r="J216" s="500" t="e">
        <f t="shared" si="347"/>
        <v>#N/A</v>
      </c>
      <c r="K216" s="521" t="e">
        <f t="shared" si="348"/>
        <v>#N/A</v>
      </c>
      <c r="L216" s="500" t="e">
        <f t="shared" si="348"/>
        <v>#N/A</v>
      </c>
      <c r="M216" s="285" t="e">
        <f t="shared" si="363"/>
        <v>#N/A</v>
      </c>
      <c r="N216" s="323" t="e">
        <f t="shared" si="349"/>
        <v>#N/A</v>
      </c>
      <c r="O216" s="474"/>
      <c r="P216" s="1038">
        <f t="shared" si="350"/>
        <v>0</v>
      </c>
      <c r="Q216" s="1324">
        <f t="shared" si="351"/>
        <v>0</v>
      </c>
      <c r="R216" s="1324">
        <f t="shared" si="352"/>
        <v>0</v>
      </c>
      <c r="S216" s="1324">
        <f t="shared" si="353"/>
        <v>0</v>
      </c>
      <c r="T216" s="1324">
        <f t="shared" si="354"/>
        <v>0</v>
      </c>
      <c r="U216" s="1324">
        <f t="shared" si="355"/>
        <v>0</v>
      </c>
      <c r="V216" s="1325">
        <f t="shared" si="356"/>
        <v>0</v>
      </c>
      <c r="W216" s="521" t="e">
        <f t="shared" si="357"/>
        <v>#N/A</v>
      </c>
      <c r="X216" s="1333" t="e">
        <f t="shared" si="358"/>
        <v>#N/A</v>
      </c>
      <c r="Y216" s="1333" t="e">
        <f t="shared" si="359"/>
        <v>#N/A</v>
      </c>
      <c r="Z216" s="1333" t="e">
        <f t="shared" si="360"/>
        <v>#N/A</v>
      </c>
      <c r="AA216" s="1333" t="e">
        <f t="shared" si="361"/>
        <v>#N/A</v>
      </c>
      <c r="AB216" s="500" t="e">
        <f t="shared" si="362"/>
        <v>#N/A</v>
      </c>
    </row>
    <row r="217" spans="2:28" x14ac:dyDescent="0.25">
      <c r="B217" s="327">
        <v>6</v>
      </c>
      <c r="C217" s="347">
        <f>TREND(C210:C211,B210:B211,B217)</f>
        <v>0</v>
      </c>
      <c r="D217" s="372">
        <f>TREND(D210:D211,B210:B211,B217)</f>
        <v>0</v>
      </c>
      <c r="E217" s="373">
        <f>TREND(E210:E211,B210:B211,B217)</f>
        <v>55</v>
      </c>
      <c r="F217" s="374">
        <f>TREND(F210:F211,B210:B211,B217)</f>
        <v>55</v>
      </c>
      <c r="G217" s="339">
        <f>IF(HwyRail,TREND(G210:G211,B210:B211,B217),ImpactedNB*C217)</f>
        <v>0</v>
      </c>
      <c r="H217" s="436">
        <f>IF(HwyRail,TREND(H210:H211,B210:B211,B217),ImpactedB*D217)</f>
        <v>0</v>
      </c>
      <c r="I217" s="521" t="e">
        <f t="shared" si="347"/>
        <v>#N/A</v>
      </c>
      <c r="J217" s="500" t="e">
        <f t="shared" si="347"/>
        <v>#N/A</v>
      </c>
      <c r="K217" s="521" t="e">
        <f t="shared" si="348"/>
        <v>#N/A</v>
      </c>
      <c r="L217" s="500" t="e">
        <f t="shared" si="348"/>
        <v>#N/A</v>
      </c>
      <c r="M217" s="285" t="e">
        <f t="shared" si="363"/>
        <v>#N/A</v>
      </c>
      <c r="N217" s="323" t="e">
        <f t="shared" si="349"/>
        <v>#N/A</v>
      </c>
      <c r="O217" s="474"/>
      <c r="P217" s="1038">
        <f t="shared" si="350"/>
        <v>0</v>
      </c>
      <c r="Q217" s="1324">
        <f t="shared" si="351"/>
        <v>0</v>
      </c>
      <c r="R217" s="1324">
        <f t="shared" si="352"/>
        <v>0</v>
      </c>
      <c r="S217" s="1324">
        <f t="shared" si="353"/>
        <v>0</v>
      </c>
      <c r="T217" s="1324">
        <f t="shared" si="354"/>
        <v>0</v>
      </c>
      <c r="U217" s="1324">
        <f t="shared" si="355"/>
        <v>0</v>
      </c>
      <c r="V217" s="1325">
        <f t="shared" si="356"/>
        <v>0</v>
      </c>
      <c r="W217" s="521" t="e">
        <f t="shared" si="357"/>
        <v>#N/A</v>
      </c>
      <c r="X217" s="1333" t="e">
        <f t="shared" si="358"/>
        <v>#N/A</v>
      </c>
      <c r="Y217" s="1333" t="e">
        <f t="shared" si="359"/>
        <v>#N/A</v>
      </c>
      <c r="Z217" s="1333" t="e">
        <f t="shared" si="360"/>
        <v>#N/A</v>
      </c>
      <c r="AA217" s="1333" t="e">
        <f t="shared" si="361"/>
        <v>#N/A</v>
      </c>
      <c r="AB217" s="500" t="e">
        <f t="shared" si="362"/>
        <v>#N/A</v>
      </c>
    </row>
    <row r="218" spans="2:28" x14ac:dyDescent="0.25">
      <c r="B218" s="327">
        <v>7</v>
      </c>
      <c r="C218" s="347">
        <f>TREND(C210:C211,B210:B211,B218)</f>
        <v>0</v>
      </c>
      <c r="D218" s="372">
        <f>TREND(D210:D211,B210:B211,B218)</f>
        <v>0</v>
      </c>
      <c r="E218" s="373">
        <f>TREND(E210:E211,B210:B211,B218)</f>
        <v>55</v>
      </c>
      <c r="F218" s="374">
        <f>TREND(F210:F211,B210:B211,B218)</f>
        <v>55</v>
      </c>
      <c r="G218" s="339">
        <f>IF(HwyRail,TREND(G210:G211,B210:B211,B218),ImpactedNB*C218)</f>
        <v>0</v>
      </c>
      <c r="H218" s="436">
        <f>IF(HwyRail,TREND(H210:H211,B210:B211,B218),ImpactedB*D218)</f>
        <v>0</v>
      </c>
      <c r="I218" s="521" t="e">
        <f t="shared" si="347"/>
        <v>#N/A</v>
      </c>
      <c r="J218" s="500" t="e">
        <f t="shared" si="347"/>
        <v>#N/A</v>
      </c>
      <c r="K218" s="521" t="e">
        <f t="shared" si="348"/>
        <v>#N/A</v>
      </c>
      <c r="L218" s="500" t="e">
        <f t="shared" si="348"/>
        <v>#N/A</v>
      </c>
      <c r="M218" s="285" t="e">
        <f t="shared" si="363"/>
        <v>#N/A</v>
      </c>
      <c r="N218" s="323" t="e">
        <f t="shared" si="349"/>
        <v>#N/A</v>
      </c>
      <c r="O218" s="474"/>
      <c r="P218" s="1038">
        <f t="shared" si="350"/>
        <v>0</v>
      </c>
      <c r="Q218" s="1324">
        <f t="shared" si="351"/>
        <v>0</v>
      </c>
      <c r="R218" s="1324">
        <f t="shared" si="352"/>
        <v>0</v>
      </c>
      <c r="S218" s="1324">
        <f t="shared" si="353"/>
        <v>0</v>
      </c>
      <c r="T218" s="1324">
        <f t="shared" si="354"/>
        <v>0</v>
      </c>
      <c r="U218" s="1324">
        <f t="shared" si="355"/>
        <v>0</v>
      </c>
      <c r="V218" s="1325">
        <f t="shared" si="356"/>
        <v>0</v>
      </c>
      <c r="W218" s="521" t="e">
        <f t="shared" si="357"/>
        <v>#N/A</v>
      </c>
      <c r="X218" s="1333" t="e">
        <f t="shared" si="358"/>
        <v>#N/A</v>
      </c>
      <c r="Y218" s="1333" t="e">
        <f t="shared" si="359"/>
        <v>#N/A</v>
      </c>
      <c r="Z218" s="1333" t="e">
        <f t="shared" si="360"/>
        <v>#N/A</v>
      </c>
      <c r="AA218" s="1333" t="e">
        <f t="shared" si="361"/>
        <v>#N/A</v>
      </c>
      <c r="AB218" s="500" t="e">
        <f t="shared" si="362"/>
        <v>#N/A</v>
      </c>
    </row>
    <row r="219" spans="2:28" x14ac:dyDescent="0.25">
      <c r="B219" s="327">
        <v>8</v>
      </c>
      <c r="C219" s="347">
        <f>TREND(C210:C211,B210:B211,B219)</f>
        <v>0</v>
      </c>
      <c r="D219" s="372">
        <f>TREND(D210:D211,B210:B211,B219)</f>
        <v>0</v>
      </c>
      <c r="E219" s="373">
        <f>TREND(E210:E211,B210:B211,B219)</f>
        <v>55</v>
      </c>
      <c r="F219" s="374">
        <f>TREND(F210:F211,B210:B211,B219)</f>
        <v>55</v>
      </c>
      <c r="G219" s="339">
        <f>IF(HwyRail,TREND(G210:G211,B210:B211,B219),ImpactedNB*C219)</f>
        <v>0</v>
      </c>
      <c r="H219" s="436">
        <f>IF(HwyRail,TREND(H210:H211,B210:B211,B219),ImpactedB*D219)</f>
        <v>0</v>
      </c>
      <c r="I219" s="521" t="e">
        <f t="shared" ref="I219:I230" si="364">G219*0.00000110231131*(VLOOKUP(E219,EmAuto20,2)*VLOOKUP(ProjLoc,EmCost,2)+VLOOKUP(E219,EmAuto20,3)*VLOOKUP(ProjLoc,EmCost,3)*(1+CO2Uprater)^($B219+Construct-1)+VLOOKUP(E219,EmAuto20,4)*VLOOKUP(ProjLoc,EmCost,4)+VLOOKUP(E219,EmAuto20,5)*VLOOKUP(ProjLoc,EmCost,5)+VLOOKUP(E219,EmAuto20,6)*VLOOKUP(ProjLoc,EmCost,6)+VLOOKUP(E219,EmAuto20,7)*VLOOKUP(ProjLoc,EmCost,7))</f>
        <v>#N/A</v>
      </c>
      <c r="J219" s="500" t="e">
        <f t="shared" ref="J219:J230" si="365">H219*0.00000110231131*(VLOOKUP(F219,EmAuto20,2)*VLOOKUP(ProjLoc,EmCost,2)+VLOOKUP(F219,EmAuto20,3)*VLOOKUP(ProjLoc,EmCost,3)*(1+CO2Uprater)^($B219+Construct-1)+VLOOKUP(F219,EmAuto20,4)*VLOOKUP(ProjLoc,EmCost,4)+VLOOKUP(F219,EmAuto20,5)*VLOOKUP(ProjLoc,EmCost,5)+VLOOKUP(F219,EmAuto20,6)*VLOOKUP(ProjLoc,EmCost,6)+VLOOKUP(F219,EmAuto20,7)*VLOOKUP(ProjLoc,EmCost,7))</f>
        <v>#N/A</v>
      </c>
      <c r="K219" s="521" t="e">
        <f t="shared" ref="K219:K230" si="366">C219*0.00000110231131*(VLOOKUP(0,EmAuto20,2)*VLOOKUP(ProjLoc,EmCost,2)+VLOOKUP(0,EmAuto20,3)*VLOOKUP(ProjLoc,EmCost,3)*(1+CO2Uprater)^($B219+Construct-1)+VLOOKUP(0,EmAuto20,4)*VLOOKUP(ProjLoc,EmCost,4)+VLOOKUP(0,EmAuto20,5)*VLOOKUP(ProjLoc,EmCost,5)+VLOOKUP(0,EmAuto20,6)*VLOOKUP(ProjLoc,EmCost,6)+VLOOKUP(0,EmAuto20,7)*VLOOKUP(ProjLoc,EmCost,7))</f>
        <v>#N/A</v>
      </c>
      <c r="L219" s="500" t="e">
        <f t="shared" ref="L219:L230" si="367">D219*0.00000110231131*(VLOOKUP(0,EmAuto20,2)*VLOOKUP(ProjLoc,EmCost,2)+VLOOKUP(0,EmAuto20,3)*VLOOKUP(ProjLoc,EmCost,3)*(1+CO2Uprater)^($B219+Construct-1)+VLOOKUP(0,EmAuto20,4)*VLOOKUP(ProjLoc,EmCost,4)+VLOOKUP(0,EmAuto20,5)*VLOOKUP(ProjLoc,EmCost,5)+VLOOKUP(0,EmAuto20,6)*VLOOKUP(ProjLoc,EmCost,6)+VLOOKUP(0,EmAuto20,7)*VLOOKUP(ProjLoc,EmCost,7))</f>
        <v>#N/A</v>
      </c>
      <c r="M219" s="285" t="e">
        <f t="shared" si="363"/>
        <v>#N/A</v>
      </c>
      <c r="N219" s="323" t="e">
        <f t="shared" si="349"/>
        <v>#N/A</v>
      </c>
      <c r="O219" s="474"/>
      <c r="P219" s="1038">
        <f t="shared" ref="P219:P230" si="368">0.00000110231131*(G219*VLOOKUP(E219,EmAuto20,2)-H219*VLOOKUP(F219,EmAuto20,2)+(C219-D219)*VLOOKUP(0,EmAuto20,2))</f>
        <v>0</v>
      </c>
      <c r="Q219" s="1324">
        <f t="shared" ref="Q219:Q230" si="369">0.00000110231131*(G219*VLOOKUP(E219,EmAuto20,3)-H219*VLOOKUP(F219,EmAuto20,3)+(C219-D219)*VLOOKUP(0,EmAuto20,3))</f>
        <v>0</v>
      </c>
      <c r="R219" s="1324">
        <f t="shared" ref="R219:R230" si="370">0.00000110231131*(G219*VLOOKUP(E219,EmAuto20,4)-H219*VLOOKUP(F219,EmAuto20,4)+(C219-D219)*VLOOKUP(0,EmAuto20,4))</f>
        <v>0</v>
      </c>
      <c r="S219" s="1324">
        <f t="shared" ref="S219:S230" si="371">0.00000110231131*(G219*VLOOKUP(E219,EmAuto20,5)-H219*VLOOKUP(F219,EmAuto20,5)+(C219-D219)*VLOOKUP(0,EmAuto20,5))</f>
        <v>0</v>
      </c>
      <c r="T219" s="1324">
        <f t="shared" ref="T219:T230" si="372">0.00000110231131*(G219*VLOOKUP(E219,EmAuto20,6)-H219*VLOOKUP(F219,EmAuto20,6)+(C219-D219)*VLOOKUP(0,EmAuto20,6))</f>
        <v>0</v>
      </c>
      <c r="U219" s="1324">
        <f t="shared" ref="U219:U230" si="373">0.00000110231131*(G219*VLOOKUP(E219,EmAuto20,7)-H219*VLOOKUP(F219,EmAuto20,7)+(C219-D219)*VLOOKUP(0,EmAuto20,7))</f>
        <v>0</v>
      </c>
      <c r="V219" s="1325">
        <f t="shared" ref="V219:V230" si="374">0.00000110231131*(G219*VLOOKUP(E219,EmAuto20,8)-H219*VLOOKUP(F219,EmAuto20,8)+(C219-D219)*VLOOKUP(0,EmAuto20,8))</f>
        <v>0</v>
      </c>
      <c r="W219" s="521" t="e">
        <f t="shared" si="357"/>
        <v>#N/A</v>
      </c>
      <c r="X219" s="1333" t="e">
        <f t="shared" si="358"/>
        <v>#N/A</v>
      </c>
      <c r="Y219" s="1333" t="e">
        <f t="shared" si="359"/>
        <v>#N/A</v>
      </c>
      <c r="Z219" s="1333" t="e">
        <f t="shared" si="360"/>
        <v>#N/A</v>
      </c>
      <c r="AA219" s="1333" t="e">
        <f t="shared" si="361"/>
        <v>#N/A</v>
      </c>
      <c r="AB219" s="500" t="e">
        <f t="shared" si="362"/>
        <v>#N/A</v>
      </c>
    </row>
    <row r="220" spans="2:28" x14ac:dyDescent="0.25">
      <c r="B220" s="327">
        <v>9</v>
      </c>
      <c r="C220" s="347">
        <f>TREND(C210:C211,B210:B211,B220)</f>
        <v>0</v>
      </c>
      <c r="D220" s="372">
        <f>TREND(D210:D211,B210:B211,B220)</f>
        <v>0</v>
      </c>
      <c r="E220" s="373">
        <f>TREND(E210:E211,B210:B211,B220)</f>
        <v>55</v>
      </c>
      <c r="F220" s="374">
        <f>TREND(F210:F211,B210:B211,B220)</f>
        <v>55</v>
      </c>
      <c r="G220" s="339">
        <f>IF(HwyRail,TREND(G210:G211,B210:B211,B220),ImpactedNB*C220)</f>
        <v>0</v>
      </c>
      <c r="H220" s="436">
        <f>IF(HwyRail,TREND(H210:H211,B210:B211,B220),ImpactedB*D220)</f>
        <v>0</v>
      </c>
      <c r="I220" s="521" t="e">
        <f t="shared" si="364"/>
        <v>#N/A</v>
      </c>
      <c r="J220" s="500" t="e">
        <f t="shared" si="365"/>
        <v>#N/A</v>
      </c>
      <c r="K220" s="521" t="e">
        <f t="shared" si="366"/>
        <v>#N/A</v>
      </c>
      <c r="L220" s="500" t="e">
        <f t="shared" si="367"/>
        <v>#N/A</v>
      </c>
      <c r="M220" s="285" t="e">
        <f t="shared" si="363"/>
        <v>#N/A</v>
      </c>
      <c r="N220" s="323" t="e">
        <f t="shared" si="349"/>
        <v>#N/A</v>
      </c>
      <c r="O220" s="474"/>
      <c r="P220" s="1038">
        <f t="shared" si="368"/>
        <v>0</v>
      </c>
      <c r="Q220" s="1324">
        <f t="shared" si="369"/>
        <v>0</v>
      </c>
      <c r="R220" s="1324">
        <f t="shared" si="370"/>
        <v>0</v>
      </c>
      <c r="S220" s="1324">
        <f t="shared" si="371"/>
        <v>0</v>
      </c>
      <c r="T220" s="1324">
        <f t="shared" si="372"/>
        <v>0</v>
      </c>
      <c r="U220" s="1324">
        <f t="shared" si="373"/>
        <v>0</v>
      </c>
      <c r="V220" s="1325">
        <f t="shared" si="374"/>
        <v>0</v>
      </c>
      <c r="W220" s="521" t="e">
        <f t="shared" si="357"/>
        <v>#N/A</v>
      </c>
      <c r="X220" s="1333" t="e">
        <f t="shared" si="358"/>
        <v>#N/A</v>
      </c>
      <c r="Y220" s="1333" t="e">
        <f t="shared" si="359"/>
        <v>#N/A</v>
      </c>
      <c r="Z220" s="1333" t="e">
        <f t="shared" si="360"/>
        <v>#N/A</v>
      </c>
      <c r="AA220" s="1333" t="e">
        <f t="shared" si="361"/>
        <v>#N/A</v>
      </c>
      <c r="AB220" s="500" t="e">
        <f t="shared" si="362"/>
        <v>#N/A</v>
      </c>
    </row>
    <row r="221" spans="2:28" x14ac:dyDescent="0.25">
      <c r="B221" s="327">
        <v>10</v>
      </c>
      <c r="C221" s="347">
        <f>TREND(C210:C211,B210:B211,B221)</f>
        <v>0</v>
      </c>
      <c r="D221" s="372">
        <f>TREND(D210:D211,B210:B211,B221)</f>
        <v>0</v>
      </c>
      <c r="E221" s="373">
        <f>TREND(E210:E211,B210:B211,B221)</f>
        <v>55</v>
      </c>
      <c r="F221" s="374">
        <f>TREND(F210:F211,B210:B211,B221)</f>
        <v>55</v>
      </c>
      <c r="G221" s="339">
        <f>IF(HwyRail,TREND(G210:G211,B210:B211,B221),ImpactedNB*C221)</f>
        <v>0</v>
      </c>
      <c r="H221" s="436">
        <f>IF(HwyRail,TREND(H210:H211,B210:B211,B221),ImpactedB*D221)</f>
        <v>0</v>
      </c>
      <c r="I221" s="521" t="e">
        <f t="shared" si="364"/>
        <v>#N/A</v>
      </c>
      <c r="J221" s="500" t="e">
        <f t="shared" si="365"/>
        <v>#N/A</v>
      </c>
      <c r="K221" s="521" t="e">
        <f t="shared" si="366"/>
        <v>#N/A</v>
      </c>
      <c r="L221" s="500" t="e">
        <f t="shared" si="367"/>
        <v>#N/A</v>
      </c>
      <c r="M221" s="285" t="e">
        <f t="shared" si="363"/>
        <v>#N/A</v>
      </c>
      <c r="N221" s="323" t="e">
        <f t="shared" si="349"/>
        <v>#N/A</v>
      </c>
      <c r="O221" s="474"/>
      <c r="P221" s="1038">
        <f t="shared" si="368"/>
        <v>0</v>
      </c>
      <c r="Q221" s="1324">
        <f t="shared" si="369"/>
        <v>0</v>
      </c>
      <c r="R221" s="1324">
        <f t="shared" si="370"/>
        <v>0</v>
      </c>
      <c r="S221" s="1324">
        <f t="shared" si="371"/>
        <v>0</v>
      </c>
      <c r="T221" s="1324">
        <f t="shared" si="372"/>
        <v>0</v>
      </c>
      <c r="U221" s="1324">
        <f t="shared" si="373"/>
        <v>0</v>
      </c>
      <c r="V221" s="1325">
        <f t="shared" si="374"/>
        <v>0</v>
      </c>
      <c r="W221" s="521" t="e">
        <f t="shared" si="357"/>
        <v>#N/A</v>
      </c>
      <c r="X221" s="1333" t="e">
        <f t="shared" si="358"/>
        <v>#N/A</v>
      </c>
      <c r="Y221" s="1333" t="e">
        <f t="shared" si="359"/>
        <v>#N/A</v>
      </c>
      <c r="Z221" s="1333" t="e">
        <f t="shared" si="360"/>
        <v>#N/A</v>
      </c>
      <c r="AA221" s="1333" t="e">
        <f t="shared" si="361"/>
        <v>#N/A</v>
      </c>
      <c r="AB221" s="500" t="e">
        <f t="shared" si="362"/>
        <v>#N/A</v>
      </c>
    </row>
    <row r="222" spans="2:28" x14ac:dyDescent="0.25">
      <c r="B222" s="327">
        <v>11</v>
      </c>
      <c r="C222" s="347">
        <f>TREND(C210:C211,B210:B211,B222)</f>
        <v>0</v>
      </c>
      <c r="D222" s="372">
        <f>TREND(D210:D211,B210:B211,B222)</f>
        <v>0</v>
      </c>
      <c r="E222" s="373">
        <f>TREND(E210:E211,B210:B211,B222)</f>
        <v>55</v>
      </c>
      <c r="F222" s="374">
        <f>TREND(F210:F211,B210:B211,B222)</f>
        <v>55</v>
      </c>
      <c r="G222" s="339">
        <f>IF(HwyRail,TREND(G210:G211,B210:B211,B222),ImpactedNB*C222)</f>
        <v>0</v>
      </c>
      <c r="H222" s="436">
        <f>IF(HwyRail,TREND(H210:H211,B210:B211,B222),ImpactedB*D222)</f>
        <v>0</v>
      </c>
      <c r="I222" s="521" t="e">
        <f t="shared" si="364"/>
        <v>#N/A</v>
      </c>
      <c r="J222" s="500" t="e">
        <f t="shared" si="365"/>
        <v>#N/A</v>
      </c>
      <c r="K222" s="521" t="e">
        <f t="shared" si="366"/>
        <v>#N/A</v>
      </c>
      <c r="L222" s="500" t="e">
        <f t="shared" si="367"/>
        <v>#N/A</v>
      </c>
      <c r="M222" s="285" t="e">
        <f t="shared" si="363"/>
        <v>#N/A</v>
      </c>
      <c r="N222" s="323" t="e">
        <f t="shared" si="349"/>
        <v>#N/A</v>
      </c>
      <c r="O222" s="474"/>
      <c r="P222" s="1038">
        <f t="shared" si="368"/>
        <v>0</v>
      </c>
      <c r="Q222" s="1324">
        <f t="shared" si="369"/>
        <v>0</v>
      </c>
      <c r="R222" s="1324">
        <f t="shared" si="370"/>
        <v>0</v>
      </c>
      <c r="S222" s="1324">
        <f t="shared" si="371"/>
        <v>0</v>
      </c>
      <c r="T222" s="1324">
        <f t="shared" si="372"/>
        <v>0</v>
      </c>
      <c r="U222" s="1324">
        <f t="shared" si="373"/>
        <v>0</v>
      </c>
      <c r="V222" s="1325">
        <f t="shared" si="374"/>
        <v>0</v>
      </c>
      <c r="W222" s="521" t="e">
        <f t="shared" si="357"/>
        <v>#N/A</v>
      </c>
      <c r="X222" s="1333" t="e">
        <f t="shared" si="358"/>
        <v>#N/A</v>
      </c>
      <c r="Y222" s="1333" t="e">
        <f t="shared" si="359"/>
        <v>#N/A</v>
      </c>
      <c r="Z222" s="1333" t="e">
        <f t="shared" si="360"/>
        <v>#N/A</v>
      </c>
      <c r="AA222" s="1333" t="e">
        <f t="shared" si="361"/>
        <v>#N/A</v>
      </c>
      <c r="AB222" s="500" t="e">
        <f t="shared" si="362"/>
        <v>#N/A</v>
      </c>
    </row>
    <row r="223" spans="2:28" x14ac:dyDescent="0.25">
      <c r="B223" s="327">
        <v>12</v>
      </c>
      <c r="C223" s="347">
        <f>TREND(C210:C211,B210:B211,B223)</f>
        <v>0</v>
      </c>
      <c r="D223" s="372">
        <f>TREND(D210:D211,B210:B211,B223)</f>
        <v>0</v>
      </c>
      <c r="E223" s="373">
        <f>TREND(E210:E211,B210:B211,B223)</f>
        <v>55</v>
      </c>
      <c r="F223" s="374">
        <f>TREND(F210:F211,B210:B211,B223)</f>
        <v>55</v>
      </c>
      <c r="G223" s="339">
        <f>IF(HwyRail,TREND(G210:G211,B210:B211,B223),ImpactedNB*C223)</f>
        <v>0</v>
      </c>
      <c r="H223" s="436">
        <f>IF(HwyRail,TREND(H210:H211,B210:B211,B223),ImpactedB*D223)</f>
        <v>0</v>
      </c>
      <c r="I223" s="521" t="e">
        <f t="shared" si="364"/>
        <v>#N/A</v>
      </c>
      <c r="J223" s="500" t="e">
        <f t="shared" si="365"/>
        <v>#N/A</v>
      </c>
      <c r="K223" s="521" t="e">
        <f t="shared" si="366"/>
        <v>#N/A</v>
      </c>
      <c r="L223" s="500" t="e">
        <f t="shared" si="367"/>
        <v>#N/A</v>
      </c>
      <c r="M223" s="285" t="e">
        <f t="shared" si="363"/>
        <v>#N/A</v>
      </c>
      <c r="N223" s="323" t="e">
        <f t="shared" si="349"/>
        <v>#N/A</v>
      </c>
      <c r="O223" s="474"/>
      <c r="P223" s="1038">
        <f t="shared" si="368"/>
        <v>0</v>
      </c>
      <c r="Q223" s="1324">
        <f t="shared" si="369"/>
        <v>0</v>
      </c>
      <c r="R223" s="1324">
        <f t="shared" si="370"/>
        <v>0</v>
      </c>
      <c r="S223" s="1324">
        <f t="shared" si="371"/>
        <v>0</v>
      </c>
      <c r="T223" s="1324">
        <f t="shared" si="372"/>
        <v>0</v>
      </c>
      <c r="U223" s="1324">
        <f t="shared" si="373"/>
        <v>0</v>
      </c>
      <c r="V223" s="1325">
        <f t="shared" si="374"/>
        <v>0</v>
      </c>
      <c r="W223" s="521" t="e">
        <f t="shared" si="357"/>
        <v>#N/A</v>
      </c>
      <c r="X223" s="1333" t="e">
        <f t="shared" si="358"/>
        <v>#N/A</v>
      </c>
      <c r="Y223" s="1333" t="e">
        <f t="shared" si="359"/>
        <v>#N/A</v>
      </c>
      <c r="Z223" s="1333" t="e">
        <f t="shared" si="360"/>
        <v>#N/A</v>
      </c>
      <c r="AA223" s="1333" t="e">
        <f t="shared" si="361"/>
        <v>#N/A</v>
      </c>
      <c r="AB223" s="500" t="e">
        <f t="shared" si="362"/>
        <v>#N/A</v>
      </c>
    </row>
    <row r="224" spans="2:28" x14ac:dyDescent="0.25">
      <c r="B224" s="327">
        <v>13</v>
      </c>
      <c r="C224" s="347">
        <f>TREND(C210:C211,B210:B211,B224)</f>
        <v>0</v>
      </c>
      <c r="D224" s="372">
        <f>TREND(D210:D211,B210:B211,B224)</f>
        <v>0</v>
      </c>
      <c r="E224" s="373">
        <f>TREND(E210:E211,B210:B211,B224)</f>
        <v>55</v>
      </c>
      <c r="F224" s="374">
        <f>TREND(F210:F211,B210:B211,B224)</f>
        <v>55</v>
      </c>
      <c r="G224" s="339">
        <f>IF(HwyRail,TREND(G210:G211,B210:B211,B224),ImpactedNB*C224)</f>
        <v>0</v>
      </c>
      <c r="H224" s="436">
        <f>IF(HwyRail,TREND(H210:H211,B210:B211,B224),ImpactedB*D224)</f>
        <v>0</v>
      </c>
      <c r="I224" s="521" t="e">
        <f t="shared" si="364"/>
        <v>#N/A</v>
      </c>
      <c r="J224" s="500" t="e">
        <f t="shared" si="365"/>
        <v>#N/A</v>
      </c>
      <c r="K224" s="521" t="e">
        <f t="shared" si="366"/>
        <v>#N/A</v>
      </c>
      <c r="L224" s="500" t="e">
        <f t="shared" si="367"/>
        <v>#N/A</v>
      </c>
      <c r="M224" s="285" t="e">
        <f t="shared" si="363"/>
        <v>#N/A</v>
      </c>
      <c r="N224" s="323" t="e">
        <f t="shared" si="349"/>
        <v>#N/A</v>
      </c>
      <c r="O224" s="474"/>
      <c r="P224" s="1038">
        <f t="shared" si="368"/>
        <v>0</v>
      </c>
      <c r="Q224" s="1324">
        <f t="shared" si="369"/>
        <v>0</v>
      </c>
      <c r="R224" s="1324">
        <f t="shared" si="370"/>
        <v>0</v>
      </c>
      <c r="S224" s="1324">
        <f t="shared" si="371"/>
        <v>0</v>
      </c>
      <c r="T224" s="1324">
        <f t="shared" si="372"/>
        <v>0</v>
      </c>
      <c r="U224" s="1324">
        <f t="shared" si="373"/>
        <v>0</v>
      </c>
      <c r="V224" s="1325">
        <f t="shared" si="374"/>
        <v>0</v>
      </c>
      <c r="W224" s="521" t="e">
        <f t="shared" si="357"/>
        <v>#N/A</v>
      </c>
      <c r="X224" s="1333" t="e">
        <f t="shared" si="358"/>
        <v>#N/A</v>
      </c>
      <c r="Y224" s="1333" t="e">
        <f t="shared" si="359"/>
        <v>#N/A</v>
      </c>
      <c r="Z224" s="1333" t="e">
        <f t="shared" si="360"/>
        <v>#N/A</v>
      </c>
      <c r="AA224" s="1333" t="e">
        <f t="shared" si="361"/>
        <v>#N/A</v>
      </c>
      <c r="AB224" s="500" t="e">
        <f t="shared" si="362"/>
        <v>#N/A</v>
      </c>
    </row>
    <row r="225" spans="2:28" x14ac:dyDescent="0.25">
      <c r="B225" s="327">
        <v>14</v>
      </c>
      <c r="C225" s="347">
        <f>TREND(C210:C211,B210:B211,B225)</f>
        <v>0</v>
      </c>
      <c r="D225" s="372">
        <f>TREND(D210:D211,B210:B211,B225)</f>
        <v>0</v>
      </c>
      <c r="E225" s="373">
        <f>TREND(E210:E211,B210:B211,B225)</f>
        <v>55</v>
      </c>
      <c r="F225" s="374">
        <f>TREND(F210:F211,B210:B211,B225)</f>
        <v>55</v>
      </c>
      <c r="G225" s="339">
        <f>IF(HwyRail,TREND(G210:G211,B210:B211,B225),ImpactedNB*C225)</f>
        <v>0</v>
      </c>
      <c r="H225" s="436">
        <f>IF(HwyRail,TREND(H210:H211,B210:B211,B225),ImpactedB*D225)</f>
        <v>0</v>
      </c>
      <c r="I225" s="521" t="e">
        <f t="shared" si="364"/>
        <v>#N/A</v>
      </c>
      <c r="J225" s="500" t="e">
        <f t="shared" si="365"/>
        <v>#N/A</v>
      </c>
      <c r="K225" s="521" t="e">
        <f t="shared" si="366"/>
        <v>#N/A</v>
      </c>
      <c r="L225" s="500" t="e">
        <f t="shared" si="367"/>
        <v>#N/A</v>
      </c>
      <c r="M225" s="285" t="e">
        <f t="shared" si="363"/>
        <v>#N/A</v>
      </c>
      <c r="N225" s="323" t="e">
        <f t="shared" si="349"/>
        <v>#N/A</v>
      </c>
      <c r="O225" s="474"/>
      <c r="P225" s="1038">
        <f t="shared" si="368"/>
        <v>0</v>
      </c>
      <c r="Q225" s="1324">
        <f t="shared" si="369"/>
        <v>0</v>
      </c>
      <c r="R225" s="1324">
        <f t="shared" si="370"/>
        <v>0</v>
      </c>
      <c r="S225" s="1324">
        <f t="shared" si="371"/>
        <v>0</v>
      </c>
      <c r="T225" s="1324">
        <f t="shared" si="372"/>
        <v>0</v>
      </c>
      <c r="U225" s="1324">
        <f t="shared" si="373"/>
        <v>0</v>
      </c>
      <c r="V225" s="1325">
        <f t="shared" si="374"/>
        <v>0</v>
      </c>
      <c r="W225" s="521" t="e">
        <f t="shared" si="357"/>
        <v>#N/A</v>
      </c>
      <c r="X225" s="1333" t="e">
        <f t="shared" si="358"/>
        <v>#N/A</v>
      </c>
      <c r="Y225" s="1333" t="e">
        <f t="shared" si="359"/>
        <v>#N/A</v>
      </c>
      <c r="Z225" s="1333" t="e">
        <f t="shared" si="360"/>
        <v>#N/A</v>
      </c>
      <c r="AA225" s="1333" t="e">
        <f t="shared" si="361"/>
        <v>#N/A</v>
      </c>
      <c r="AB225" s="500" t="e">
        <f t="shared" si="362"/>
        <v>#N/A</v>
      </c>
    </row>
    <row r="226" spans="2:28" x14ac:dyDescent="0.25">
      <c r="B226" s="327">
        <v>15</v>
      </c>
      <c r="C226" s="347">
        <f>TREND(C210:C211,B210:B211,B226)</f>
        <v>0</v>
      </c>
      <c r="D226" s="372">
        <f>TREND(D210:D211,B210:B211,B226)</f>
        <v>0</v>
      </c>
      <c r="E226" s="373">
        <f>TREND(E210:E211,B210:B211,B226)</f>
        <v>55</v>
      </c>
      <c r="F226" s="374">
        <f>TREND(F210:F211,B210:B211,B226)</f>
        <v>55</v>
      </c>
      <c r="G226" s="339">
        <f>IF(HwyRail,TREND(G210:G211,B210:B211,B226),ImpactedNB*C226)</f>
        <v>0</v>
      </c>
      <c r="H226" s="436">
        <f>IF(HwyRail,TREND(H210:H211,B210:B211,B226),ImpactedB*D226)</f>
        <v>0</v>
      </c>
      <c r="I226" s="521" t="e">
        <f t="shared" si="364"/>
        <v>#N/A</v>
      </c>
      <c r="J226" s="500" t="e">
        <f t="shared" si="365"/>
        <v>#N/A</v>
      </c>
      <c r="K226" s="521" t="e">
        <f t="shared" si="366"/>
        <v>#N/A</v>
      </c>
      <c r="L226" s="500" t="e">
        <f t="shared" si="367"/>
        <v>#N/A</v>
      </c>
      <c r="M226" s="285" t="e">
        <f t="shared" si="363"/>
        <v>#N/A</v>
      </c>
      <c r="N226" s="323" t="e">
        <f t="shared" si="349"/>
        <v>#N/A</v>
      </c>
      <c r="O226" s="474"/>
      <c r="P226" s="1038">
        <f t="shared" si="368"/>
        <v>0</v>
      </c>
      <c r="Q226" s="1324">
        <f t="shared" si="369"/>
        <v>0</v>
      </c>
      <c r="R226" s="1324">
        <f t="shared" si="370"/>
        <v>0</v>
      </c>
      <c r="S226" s="1324">
        <f t="shared" si="371"/>
        <v>0</v>
      </c>
      <c r="T226" s="1324">
        <f t="shared" si="372"/>
        <v>0</v>
      </c>
      <c r="U226" s="1324">
        <f t="shared" si="373"/>
        <v>0</v>
      </c>
      <c r="V226" s="1325">
        <f t="shared" si="374"/>
        <v>0</v>
      </c>
      <c r="W226" s="521" t="e">
        <f t="shared" si="357"/>
        <v>#N/A</v>
      </c>
      <c r="X226" s="1333" t="e">
        <f t="shared" si="358"/>
        <v>#N/A</v>
      </c>
      <c r="Y226" s="1333" t="e">
        <f t="shared" si="359"/>
        <v>#N/A</v>
      </c>
      <c r="Z226" s="1333" t="e">
        <f t="shared" si="360"/>
        <v>#N/A</v>
      </c>
      <c r="AA226" s="1333" t="e">
        <f t="shared" si="361"/>
        <v>#N/A</v>
      </c>
      <c r="AB226" s="500" t="e">
        <f t="shared" si="362"/>
        <v>#N/A</v>
      </c>
    </row>
    <row r="227" spans="2:28" x14ac:dyDescent="0.25">
      <c r="B227" s="327">
        <v>16</v>
      </c>
      <c r="C227" s="347">
        <f>TREND(C210:C211,B210:B211,B227)</f>
        <v>0</v>
      </c>
      <c r="D227" s="372">
        <f>TREND(D210:D211,B210:B211,B227)</f>
        <v>0</v>
      </c>
      <c r="E227" s="373">
        <f>TREND(E210:E211,B210:B211,B227)</f>
        <v>55</v>
      </c>
      <c r="F227" s="374">
        <f>TREND(F210:F211,B210:B211,B227)</f>
        <v>55</v>
      </c>
      <c r="G227" s="339">
        <f>IF(HwyRail,TREND(G210:G211,B210:B211,B227),ImpactedNB*C227)</f>
        <v>0</v>
      </c>
      <c r="H227" s="436">
        <f>IF(HwyRail,TREND(H210:H211,B210:B211,B227),ImpactedB*D227)</f>
        <v>0</v>
      </c>
      <c r="I227" s="521" t="e">
        <f t="shared" si="364"/>
        <v>#N/A</v>
      </c>
      <c r="J227" s="500" t="e">
        <f t="shared" si="365"/>
        <v>#N/A</v>
      </c>
      <c r="K227" s="521" t="e">
        <f t="shared" si="366"/>
        <v>#N/A</v>
      </c>
      <c r="L227" s="500" t="e">
        <f t="shared" si="367"/>
        <v>#N/A</v>
      </c>
      <c r="M227" s="285" t="e">
        <f t="shared" si="363"/>
        <v>#N/A</v>
      </c>
      <c r="N227" s="323" t="e">
        <f t="shared" si="349"/>
        <v>#N/A</v>
      </c>
      <c r="O227" s="474"/>
      <c r="P227" s="1038">
        <f t="shared" si="368"/>
        <v>0</v>
      </c>
      <c r="Q227" s="1324">
        <f t="shared" si="369"/>
        <v>0</v>
      </c>
      <c r="R227" s="1324">
        <f t="shared" si="370"/>
        <v>0</v>
      </c>
      <c r="S227" s="1324">
        <f t="shared" si="371"/>
        <v>0</v>
      </c>
      <c r="T227" s="1324">
        <f t="shared" si="372"/>
        <v>0</v>
      </c>
      <c r="U227" s="1324">
        <f t="shared" si="373"/>
        <v>0</v>
      </c>
      <c r="V227" s="1325">
        <f t="shared" si="374"/>
        <v>0</v>
      </c>
      <c r="W227" s="521" t="e">
        <f t="shared" si="357"/>
        <v>#N/A</v>
      </c>
      <c r="X227" s="1333" t="e">
        <f t="shared" si="358"/>
        <v>#N/A</v>
      </c>
      <c r="Y227" s="1333" t="e">
        <f t="shared" si="359"/>
        <v>#N/A</v>
      </c>
      <c r="Z227" s="1333" t="e">
        <f t="shared" si="360"/>
        <v>#N/A</v>
      </c>
      <c r="AA227" s="1333" t="e">
        <f t="shared" si="361"/>
        <v>#N/A</v>
      </c>
      <c r="AB227" s="500" t="e">
        <f t="shared" si="362"/>
        <v>#N/A</v>
      </c>
    </row>
    <row r="228" spans="2:28" x14ac:dyDescent="0.25">
      <c r="B228" s="327">
        <v>17</v>
      </c>
      <c r="C228" s="347">
        <f>TREND(C210:C211,B210:B211,B228)</f>
        <v>0</v>
      </c>
      <c r="D228" s="372">
        <f>TREND(D210:D211,B210:B211,B228)</f>
        <v>0</v>
      </c>
      <c r="E228" s="373">
        <f>TREND(E210:E211,B210:B211,B228)</f>
        <v>55</v>
      </c>
      <c r="F228" s="374">
        <f>TREND(F210:F211,B210:B211,B228)</f>
        <v>55</v>
      </c>
      <c r="G228" s="339">
        <f>IF(HwyRail,TREND(G210:G211,B210:B211,B228),ImpactedNB*C228)</f>
        <v>0</v>
      </c>
      <c r="H228" s="436">
        <f>IF(HwyRail,TREND(H210:H211,B210:B211,B228),ImpactedB*D228)</f>
        <v>0</v>
      </c>
      <c r="I228" s="521" t="e">
        <f t="shared" si="364"/>
        <v>#N/A</v>
      </c>
      <c r="J228" s="500" t="e">
        <f t="shared" si="365"/>
        <v>#N/A</v>
      </c>
      <c r="K228" s="521" t="e">
        <f t="shared" si="366"/>
        <v>#N/A</v>
      </c>
      <c r="L228" s="500" t="e">
        <f t="shared" si="367"/>
        <v>#N/A</v>
      </c>
      <c r="M228" s="285" t="e">
        <f t="shared" si="363"/>
        <v>#N/A</v>
      </c>
      <c r="N228" s="323" t="e">
        <f t="shared" si="349"/>
        <v>#N/A</v>
      </c>
      <c r="O228" s="474"/>
      <c r="P228" s="1038">
        <f t="shared" si="368"/>
        <v>0</v>
      </c>
      <c r="Q228" s="1324">
        <f t="shared" si="369"/>
        <v>0</v>
      </c>
      <c r="R228" s="1324">
        <f t="shared" si="370"/>
        <v>0</v>
      </c>
      <c r="S228" s="1324">
        <f t="shared" si="371"/>
        <v>0</v>
      </c>
      <c r="T228" s="1324">
        <f t="shared" si="372"/>
        <v>0</v>
      </c>
      <c r="U228" s="1324">
        <f t="shared" si="373"/>
        <v>0</v>
      </c>
      <c r="V228" s="1325">
        <f t="shared" si="374"/>
        <v>0</v>
      </c>
      <c r="W228" s="521" t="e">
        <f t="shared" si="357"/>
        <v>#N/A</v>
      </c>
      <c r="X228" s="1333" t="e">
        <f t="shared" si="358"/>
        <v>#N/A</v>
      </c>
      <c r="Y228" s="1333" t="e">
        <f t="shared" si="359"/>
        <v>#N/A</v>
      </c>
      <c r="Z228" s="1333" t="e">
        <f t="shared" si="360"/>
        <v>#N/A</v>
      </c>
      <c r="AA228" s="1333" t="e">
        <f t="shared" si="361"/>
        <v>#N/A</v>
      </c>
      <c r="AB228" s="500" t="e">
        <f t="shared" si="362"/>
        <v>#N/A</v>
      </c>
    </row>
    <row r="229" spans="2:28" x14ac:dyDescent="0.25">
      <c r="B229" s="327">
        <v>18</v>
      </c>
      <c r="C229" s="347">
        <f>TREND(C210:C211,B210:B211,B229)</f>
        <v>0</v>
      </c>
      <c r="D229" s="372">
        <f>TREND(D210:D211,B210:B211,B229)</f>
        <v>0</v>
      </c>
      <c r="E229" s="373">
        <f>TREND(E210:E211,B210:B211,B229)</f>
        <v>55</v>
      </c>
      <c r="F229" s="374">
        <f>TREND(F210:F211,B210:B211,B229)</f>
        <v>55</v>
      </c>
      <c r="G229" s="339">
        <f>IF(HwyRail,TREND(G210:G211,B210:B211,B229),ImpactedNB*C229)</f>
        <v>0</v>
      </c>
      <c r="H229" s="436">
        <f>IF(HwyRail,TREND(H210:H211,B210:B211,B229),ImpactedB*D229)</f>
        <v>0</v>
      </c>
      <c r="I229" s="521" t="e">
        <f t="shared" si="364"/>
        <v>#N/A</v>
      </c>
      <c r="J229" s="500" t="e">
        <f t="shared" si="365"/>
        <v>#N/A</v>
      </c>
      <c r="K229" s="521" t="e">
        <f t="shared" si="366"/>
        <v>#N/A</v>
      </c>
      <c r="L229" s="500" t="e">
        <f t="shared" si="367"/>
        <v>#N/A</v>
      </c>
      <c r="M229" s="285" t="e">
        <f t="shared" si="363"/>
        <v>#N/A</v>
      </c>
      <c r="N229" s="323" t="e">
        <f t="shared" si="349"/>
        <v>#N/A</v>
      </c>
      <c r="O229" s="474"/>
      <c r="P229" s="1038">
        <f t="shared" si="368"/>
        <v>0</v>
      </c>
      <c r="Q229" s="1324">
        <f t="shared" si="369"/>
        <v>0</v>
      </c>
      <c r="R229" s="1324">
        <f t="shared" si="370"/>
        <v>0</v>
      </c>
      <c r="S229" s="1324">
        <f t="shared" si="371"/>
        <v>0</v>
      </c>
      <c r="T229" s="1324">
        <f t="shared" si="372"/>
        <v>0</v>
      </c>
      <c r="U229" s="1324">
        <f t="shared" si="373"/>
        <v>0</v>
      </c>
      <c r="V229" s="1325">
        <f t="shared" si="374"/>
        <v>0</v>
      </c>
      <c r="W229" s="521" t="e">
        <f t="shared" si="357"/>
        <v>#N/A</v>
      </c>
      <c r="X229" s="1333" t="e">
        <f t="shared" si="358"/>
        <v>#N/A</v>
      </c>
      <c r="Y229" s="1333" t="e">
        <f t="shared" si="359"/>
        <v>#N/A</v>
      </c>
      <c r="Z229" s="1333" t="e">
        <f t="shared" si="360"/>
        <v>#N/A</v>
      </c>
      <c r="AA229" s="1333" t="e">
        <f t="shared" si="361"/>
        <v>#N/A</v>
      </c>
      <c r="AB229" s="500" t="e">
        <f t="shared" si="362"/>
        <v>#N/A</v>
      </c>
    </row>
    <row r="230" spans="2:28" x14ac:dyDescent="0.25">
      <c r="B230" s="359">
        <v>19</v>
      </c>
      <c r="C230" s="360">
        <f>TREND(C210:C211,B210:B211,B230)</f>
        <v>0</v>
      </c>
      <c r="D230" s="375">
        <f>TREND(D210:D211,B210:B211,B230)</f>
        <v>0</v>
      </c>
      <c r="E230" s="376">
        <f>TREND(E210:E211,B210:B211,B230)</f>
        <v>55</v>
      </c>
      <c r="F230" s="377">
        <f>TREND(F210:F211,B210:B211,B230)</f>
        <v>55</v>
      </c>
      <c r="G230" s="339">
        <f>IF(HwyRail,TREND(G210:G211,B210:B211,B230),ImpactedNB*C230)</f>
        <v>0</v>
      </c>
      <c r="H230" s="435">
        <f>IF(HwyRail,TREND(H210:H211,B210:B211,B230),ImpactedB*D230)</f>
        <v>0</v>
      </c>
      <c r="I230" s="520" t="e">
        <f t="shared" si="364"/>
        <v>#N/A</v>
      </c>
      <c r="J230" s="499" t="e">
        <f t="shared" si="365"/>
        <v>#N/A</v>
      </c>
      <c r="K230" s="520" t="e">
        <f t="shared" si="366"/>
        <v>#N/A</v>
      </c>
      <c r="L230" s="499" t="e">
        <f t="shared" si="367"/>
        <v>#N/A</v>
      </c>
      <c r="M230" s="285" t="e">
        <f t="shared" si="363"/>
        <v>#N/A</v>
      </c>
      <c r="N230" s="323" t="e">
        <f t="shared" si="349"/>
        <v>#N/A</v>
      </c>
      <c r="O230" s="474"/>
      <c r="P230" s="1037">
        <f t="shared" si="368"/>
        <v>0</v>
      </c>
      <c r="Q230" s="1322">
        <f t="shared" si="369"/>
        <v>0</v>
      </c>
      <c r="R230" s="1322">
        <f t="shared" si="370"/>
        <v>0</v>
      </c>
      <c r="S230" s="1322">
        <f t="shared" si="371"/>
        <v>0</v>
      </c>
      <c r="T230" s="1322">
        <f t="shared" si="372"/>
        <v>0</v>
      </c>
      <c r="U230" s="1322">
        <f t="shared" si="373"/>
        <v>0</v>
      </c>
      <c r="V230" s="1326">
        <f t="shared" si="374"/>
        <v>0</v>
      </c>
      <c r="W230" s="520" t="e">
        <f t="shared" si="357"/>
        <v>#N/A</v>
      </c>
      <c r="X230" s="1332" t="e">
        <f t="shared" si="358"/>
        <v>#N/A</v>
      </c>
      <c r="Y230" s="1332" t="e">
        <f t="shared" si="359"/>
        <v>#N/A</v>
      </c>
      <c r="Z230" s="1332" t="e">
        <f t="shared" si="360"/>
        <v>#N/A</v>
      </c>
      <c r="AA230" s="1332" t="e">
        <f t="shared" si="361"/>
        <v>#N/A</v>
      </c>
      <c r="AB230" s="499" t="e">
        <f t="shared" si="362"/>
        <v>#N/A</v>
      </c>
    </row>
    <row r="231" spans="2:28" x14ac:dyDescent="0.25">
      <c r="B231" s="357"/>
      <c r="C231" s="355"/>
      <c r="D231" s="355"/>
      <c r="E231" s="355"/>
      <c r="F231" s="355"/>
      <c r="G231" s="356"/>
      <c r="H231" s="356"/>
      <c r="I231" s="356"/>
      <c r="J231" s="356"/>
      <c r="K231" s="356"/>
      <c r="L231" s="356"/>
      <c r="M231" s="356"/>
      <c r="N231" s="358"/>
      <c r="O231" s="475"/>
      <c r="P231" s="358"/>
      <c r="Q231" s="358"/>
      <c r="R231" s="358"/>
      <c r="S231" s="358"/>
      <c r="T231" s="358"/>
      <c r="U231" s="358"/>
      <c r="V231" s="358"/>
      <c r="W231" s="475"/>
      <c r="X231" s="475"/>
      <c r="Y231" s="475"/>
      <c r="Z231" s="475"/>
      <c r="AA231" s="475"/>
      <c r="AB231" s="475"/>
    </row>
    <row r="232" spans="2:28" ht="13" x14ac:dyDescent="0.25">
      <c r="B232" s="329" t="s">
        <v>172</v>
      </c>
      <c r="C232" s="330"/>
      <c r="D232" s="331"/>
      <c r="E232" s="331"/>
      <c r="F232" s="331"/>
      <c r="G232" s="331"/>
      <c r="H232" s="331"/>
      <c r="I232" s="331"/>
      <c r="J232" s="332"/>
      <c r="K232" s="331"/>
      <c r="L232" s="332"/>
      <c r="M232" s="341"/>
      <c r="N232" s="342" t="e">
        <f>SUM(N210:N230)</f>
        <v>#N/A</v>
      </c>
      <c r="O232" s="477"/>
      <c r="P232" s="1039">
        <f t="shared" ref="P232" si="375">SUM(P210:P230)</f>
        <v>0</v>
      </c>
      <c r="Q232" s="1327">
        <f>SUM(Q210:Q230)</f>
        <v>0</v>
      </c>
      <c r="R232" s="1327">
        <f t="shared" ref="R232:V232" si="376">SUM(R210:R230)</f>
        <v>0</v>
      </c>
      <c r="S232" s="1327">
        <f t="shared" si="376"/>
        <v>0</v>
      </c>
      <c r="T232" s="1327">
        <f t="shared" si="376"/>
        <v>0</v>
      </c>
      <c r="U232" s="1327">
        <f t="shared" si="376"/>
        <v>0</v>
      </c>
      <c r="V232" s="1328">
        <f t="shared" si="376"/>
        <v>0</v>
      </c>
      <c r="W232" s="1334" t="e">
        <f>SUM(W210:W230)</f>
        <v>#N/A</v>
      </c>
      <c r="X232" s="1335" t="e">
        <f>SUM(X210:X230)</f>
        <v>#N/A</v>
      </c>
      <c r="Y232" s="1335" t="e">
        <f t="shared" ref="Y232:AB232" si="377">SUM(Y210:Y230)</f>
        <v>#N/A</v>
      </c>
      <c r="Z232" s="1335" t="e">
        <f t="shared" si="377"/>
        <v>#N/A</v>
      </c>
      <c r="AA232" s="1335" t="e">
        <f t="shared" si="377"/>
        <v>#N/A</v>
      </c>
      <c r="AB232" s="1040" t="e">
        <f t="shared" si="377"/>
        <v>#N/A</v>
      </c>
    </row>
    <row r="233" spans="2:28" x14ac:dyDescent="0.25">
      <c r="O233" s="450"/>
      <c r="P233" s="450"/>
      <c r="Q233" s="450"/>
      <c r="R233" s="450"/>
      <c r="S233" s="450"/>
      <c r="T233" s="450"/>
      <c r="U233" s="450"/>
      <c r="V233" s="450"/>
      <c r="W233" s="450"/>
      <c r="X233" s="450"/>
      <c r="Y233" s="450"/>
      <c r="Z233" s="450"/>
      <c r="AA233" s="450"/>
      <c r="AB233" s="450"/>
    </row>
    <row r="234" spans="2:28" x14ac:dyDescent="0.25">
      <c r="O234" s="450"/>
      <c r="P234" s="450"/>
      <c r="Q234" s="450"/>
      <c r="R234" s="450"/>
      <c r="S234" s="450"/>
      <c r="T234" s="450"/>
      <c r="U234" s="450"/>
      <c r="V234" s="450"/>
      <c r="W234" s="450"/>
      <c r="X234" s="450"/>
      <c r="Y234" s="450"/>
      <c r="Z234" s="450"/>
      <c r="AA234" s="450"/>
      <c r="AB234" s="450"/>
    </row>
    <row r="235" spans="2:28" ht="13" x14ac:dyDescent="0.25">
      <c r="B235" s="350" t="s">
        <v>506</v>
      </c>
      <c r="C235" s="88"/>
      <c r="D235" s="88"/>
      <c r="E235" s="88"/>
      <c r="F235" s="88"/>
      <c r="G235" s="88"/>
      <c r="H235" s="309"/>
      <c r="I235" s="309"/>
      <c r="J235" s="88"/>
      <c r="K235" s="309"/>
      <c r="L235" s="88"/>
      <c r="M235" s="88"/>
      <c r="N235" s="88"/>
      <c r="O235" s="273"/>
      <c r="P235" s="273"/>
      <c r="Q235" s="273"/>
      <c r="R235" s="273"/>
      <c r="S235" s="273"/>
      <c r="T235" s="273"/>
      <c r="U235" s="273"/>
      <c r="V235" s="273"/>
      <c r="W235" s="273"/>
      <c r="X235" s="273"/>
      <c r="Y235" s="273"/>
      <c r="Z235" s="273"/>
      <c r="AA235" s="273"/>
      <c r="AB235" s="273"/>
    </row>
    <row r="236" spans="2:28" x14ac:dyDescent="0.25">
      <c r="B236" s="88"/>
      <c r="C236" s="88"/>
      <c r="D236" s="274"/>
      <c r="E236" s="274"/>
      <c r="F236" s="274"/>
      <c r="G236" s="88"/>
      <c r="H236" s="88"/>
      <c r="I236" s="88"/>
      <c r="J236" s="88"/>
      <c r="K236" s="88"/>
      <c r="L236" s="88"/>
      <c r="M236" s="88"/>
      <c r="N236" s="351"/>
      <c r="O236" s="1030"/>
      <c r="P236" s="1030"/>
      <c r="Q236" s="1030"/>
      <c r="R236" s="1030"/>
      <c r="S236" s="1030"/>
      <c r="T236" s="1030"/>
      <c r="U236" s="1030"/>
      <c r="V236" s="1030"/>
      <c r="W236" s="1030"/>
      <c r="X236" s="1030"/>
      <c r="Y236" s="1030"/>
      <c r="Z236" s="1030"/>
      <c r="AA236" s="1030"/>
      <c r="AB236" s="1030"/>
    </row>
    <row r="237" spans="2:28" ht="15.5" x14ac:dyDescent="0.25">
      <c r="B237" s="317"/>
      <c r="C237" s="320" t="s">
        <v>230</v>
      </c>
      <c r="D237" s="361"/>
      <c r="E237" s="320" t="s">
        <v>231</v>
      </c>
      <c r="F237" s="333"/>
      <c r="G237" s="335" t="s">
        <v>272</v>
      </c>
      <c r="H237" s="321"/>
      <c r="I237" s="437" t="s">
        <v>510</v>
      </c>
      <c r="J237" s="438"/>
      <c r="K237" s="437" t="s">
        <v>511</v>
      </c>
      <c r="L237" s="438"/>
      <c r="M237" s="322"/>
      <c r="N237" s="343"/>
      <c r="O237" s="271"/>
      <c r="P237" s="437" t="s">
        <v>740</v>
      </c>
      <c r="Q237" s="437"/>
      <c r="R237" s="320"/>
      <c r="S237" s="320"/>
      <c r="T237" s="320"/>
      <c r="U237" s="320"/>
      <c r="V237" s="320"/>
      <c r="W237" s="437" t="s">
        <v>746</v>
      </c>
      <c r="X237" s="438"/>
      <c r="Y237" s="320"/>
      <c r="Z237" s="320"/>
      <c r="AA237" s="320"/>
      <c r="AB237" s="1315"/>
    </row>
    <row r="238" spans="2:28" ht="14" x14ac:dyDescent="0.25">
      <c r="B238" s="318"/>
      <c r="C238" s="287" t="s">
        <v>237</v>
      </c>
      <c r="D238" s="362"/>
      <c r="E238" s="287" t="s">
        <v>238</v>
      </c>
      <c r="F238" s="334"/>
      <c r="G238" s="336" t="s">
        <v>274</v>
      </c>
      <c r="H238" s="288"/>
      <c r="I238" s="439" t="s">
        <v>275</v>
      </c>
      <c r="J238" s="440"/>
      <c r="K238" s="439" t="s">
        <v>275</v>
      </c>
      <c r="L238" s="440"/>
      <c r="M238" s="284"/>
      <c r="N238" s="344"/>
      <c r="O238" s="271"/>
      <c r="P238" s="1311" t="s">
        <v>748</v>
      </c>
      <c r="Q238" s="1311"/>
      <c r="R238" s="1312"/>
      <c r="S238" s="1312"/>
      <c r="T238" s="1312"/>
      <c r="U238" s="1312"/>
      <c r="V238" s="1316"/>
      <c r="W238" s="1311" t="s">
        <v>749</v>
      </c>
      <c r="X238" s="288"/>
      <c r="Y238" s="287"/>
      <c r="Z238" s="287"/>
      <c r="AA238" s="287"/>
      <c r="AB238" s="288"/>
    </row>
    <row r="239" spans="2:28" ht="14" x14ac:dyDescent="0.25">
      <c r="B239" s="169" t="s">
        <v>135</v>
      </c>
      <c r="C239" s="316"/>
      <c r="D239" s="283"/>
      <c r="E239" s="316"/>
      <c r="F239" s="283"/>
      <c r="G239" s="316"/>
      <c r="H239" s="283"/>
      <c r="I239" s="316"/>
      <c r="J239" s="283"/>
      <c r="K239" s="316"/>
      <c r="L239" s="283"/>
      <c r="M239" s="286" t="s">
        <v>242</v>
      </c>
      <c r="N239" s="345" t="s">
        <v>139</v>
      </c>
      <c r="O239" s="465"/>
      <c r="P239" s="432"/>
      <c r="Q239" s="647"/>
      <c r="R239" s="647"/>
      <c r="S239" s="647"/>
      <c r="T239" s="647"/>
      <c r="U239" s="647"/>
      <c r="V239" s="1313"/>
      <c r="W239" s="432"/>
      <c r="X239" s="647"/>
      <c r="Y239" s="647"/>
      <c r="Z239" s="647"/>
      <c r="AA239" s="647"/>
      <c r="AB239" s="283"/>
    </row>
    <row r="240" spans="2:28" ht="17" x14ac:dyDescent="0.25">
      <c r="B240" s="319"/>
      <c r="C240" s="324" t="s">
        <v>0</v>
      </c>
      <c r="D240" s="325" t="s">
        <v>1</v>
      </c>
      <c r="E240" s="324" t="s">
        <v>0</v>
      </c>
      <c r="F240" s="325" t="s">
        <v>1</v>
      </c>
      <c r="G240" s="324" t="s">
        <v>0</v>
      </c>
      <c r="H240" s="325" t="s">
        <v>1</v>
      </c>
      <c r="I240" s="324" t="s">
        <v>0</v>
      </c>
      <c r="J240" s="325" t="s">
        <v>1</v>
      </c>
      <c r="K240" s="324" t="s">
        <v>0</v>
      </c>
      <c r="L240" s="325" t="s">
        <v>1</v>
      </c>
      <c r="M240" s="326" t="s">
        <v>148</v>
      </c>
      <c r="N240" s="346" t="s">
        <v>149</v>
      </c>
      <c r="O240" s="465"/>
      <c r="P240" s="441" t="s">
        <v>380</v>
      </c>
      <c r="Q240" s="648" t="s">
        <v>741</v>
      </c>
      <c r="R240" s="648" t="s">
        <v>742</v>
      </c>
      <c r="S240" s="648" t="s">
        <v>743</v>
      </c>
      <c r="T240" s="648" t="s">
        <v>745</v>
      </c>
      <c r="U240" s="648" t="s">
        <v>384</v>
      </c>
      <c r="V240" s="1314" t="s">
        <v>744</v>
      </c>
      <c r="W240" s="441" t="s">
        <v>380</v>
      </c>
      <c r="X240" s="648" t="s">
        <v>741</v>
      </c>
      <c r="Y240" s="648" t="s">
        <v>742</v>
      </c>
      <c r="Z240" s="648" t="s">
        <v>743</v>
      </c>
      <c r="AA240" s="648" t="s">
        <v>745</v>
      </c>
      <c r="AB240" s="325" t="s">
        <v>384</v>
      </c>
    </row>
    <row r="241" spans="2:28" x14ac:dyDescent="0.25">
      <c r="B241" s="327">
        <v>1</v>
      </c>
      <c r="C241" s="348">
        <f>NWV1NB*AnnualFactor</f>
        <v>0</v>
      </c>
      <c r="D241" s="349">
        <f>NWV1B*AnnualFactor</f>
        <v>0</v>
      </c>
      <c r="E241" s="363">
        <f>ROUND(NWS1NB,1)</f>
        <v>55</v>
      </c>
      <c r="F241" s="364">
        <f>ROUND(NWS1B,1)</f>
        <v>55</v>
      </c>
      <c r="G241" s="339">
        <f>ImpactedNB*C241</f>
        <v>0</v>
      </c>
      <c r="H241" s="434">
        <f>ImpactedB*D241</f>
        <v>0</v>
      </c>
      <c r="I241" s="515" t="e">
        <f>G241*0.00000110231131*(VLOOKUP(E241,EmAuto1,2)*VLOOKUP(ProjLoc,EmCost,2)+VLOOKUP(E241,EmAuto1,3)*VLOOKUP(ProjLoc,EmCost,3)*(1+CO2Uprater)^($B241+Construct-1)+VLOOKUP(E241,EmAuto1,4)*VLOOKUP(ProjLoc,EmCost,4)+VLOOKUP(E241,EmAuto1,5)*VLOOKUP(ProjLoc,EmCost,5)+VLOOKUP(E241,EmAuto1,6)*VLOOKUP(ProjLoc,EmCost,6)+VLOOKUP(E241,EmAuto1,7)*VLOOKUP(ProjLoc,EmCost,7))</f>
        <v>#N/A</v>
      </c>
      <c r="J241" s="498" t="e">
        <f>H241*0.00000110231131*(VLOOKUP(F241,EmAuto1,2)*VLOOKUP(ProjLoc,EmCost,2)+VLOOKUP(F241,EmAuto1,3)*VLOOKUP(ProjLoc,EmCost,3)*(1+CO2Uprater)^($B241+Construct-1)+VLOOKUP(F241,EmAuto1,4)*VLOOKUP(ProjLoc,EmCost,4)+VLOOKUP(F241,EmAuto1,5)*VLOOKUP(ProjLoc,EmCost,5)+VLOOKUP(F241,EmAuto1,6)*VLOOKUP(ProjLoc,EmCost,6)+VLOOKUP(F241,EmAuto1,7)*VLOOKUP(ProjLoc,EmCost,7))</f>
        <v>#N/A</v>
      </c>
      <c r="K241" s="515" t="e">
        <f>C241*0.00000110231131*(VLOOKUP(0,EmAuto1,2)*VLOOKUP(ProjLoc,EmCost,2)+VLOOKUP(0,EmAuto1,3)*VLOOKUP(ProjLoc,EmCost,3)*(1+CO2Uprater)^($B241+Construct-1)+VLOOKUP(0,EmAuto1,4)*VLOOKUP(ProjLoc,EmCost,4)+VLOOKUP(0,EmAuto1,5)*VLOOKUP(ProjLoc,EmCost,5)+VLOOKUP(0,EmAuto1,6)*VLOOKUP(ProjLoc,EmCost,6)+VLOOKUP(0,EmAuto1,7)*VLOOKUP(ProjLoc,EmCost,7))</f>
        <v>#N/A</v>
      </c>
      <c r="L241" s="498" t="e">
        <f>D241*0.00000110231131*(VLOOKUP(0,EmAuto1,2)*VLOOKUP(ProjLoc,EmCost,2)+VLOOKUP(0,EmAuto1,3)*VLOOKUP(ProjLoc,EmCost,3)*(1+CO2Uprater)^($B241+Construct-1)+VLOOKUP(0,EmAuto1,4)*VLOOKUP(ProjLoc,EmCost,4)+VLOOKUP(0,EmAuto1,5)*VLOOKUP(ProjLoc,EmCost,5)+VLOOKUP(0,EmAuto1,6)*VLOOKUP(ProjLoc,EmCost,6)+VLOOKUP(0,EmAuto1,7)*VLOOKUP(ProjLoc,EmCost,7))</f>
        <v>#N/A</v>
      </c>
      <c r="M241" s="285" t="e">
        <f>(I241+K241)-(J241+L241)</f>
        <v>#N/A</v>
      </c>
      <c r="N241" s="323" t="e">
        <f>$M241/(1+DiscRate)^($B241+Construct-1)</f>
        <v>#N/A</v>
      </c>
      <c r="O241" s="474"/>
      <c r="P241" s="1036">
        <f>0.00000110231131*(G241*VLOOKUP(E241,EmAuto1,2)-H241*VLOOKUP(F241,EmAuto1,2)+(C241-D241)*VLOOKUP(0,EmAuto1,2))</f>
        <v>0</v>
      </c>
      <c r="Q241" s="1321">
        <f t="shared" ref="Q241" si="378">0.00000110231131*(G241*VLOOKUP(E241,EmAuto1,3)-H241*VLOOKUP(F241,EmAuto1,3)+(C241-D241)*VLOOKUP(0,EmAuto1,3))</f>
        <v>0</v>
      </c>
      <c r="R241" s="1321">
        <f>0.00000110231131*(G241*VLOOKUP(E241,EmAuto1,4)-H241*VLOOKUP(F241,EmAuto1,4)+(C241-D241)*VLOOKUP(0,EmAuto1,4))</f>
        <v>0</v>
      </c>
      <c r="S241" s="1321">
        <f>0.00000110231131*(G241*VLOOKUP(E241,EmAuto1,5)-H241*VLOOKUP(F241,EmAuto1,5)+(C241-D241)*VLOOKUP(0,EmAuto1,5))</f>
        <v>0</v>
      </c>
      <c r="T241" s="1321">
        <f>0.00000110231131*(G241*VLOOKUP(E241,EmAuto1,6)-H241*VLOOKUP(F241,EmAuto1,6)+(C241-D241)*VLOOKUP(0,EmAuto1,6))</f>
        <v>0</v>
      </c>
      <c r="U241" s="1321">
        <f>0.00000110231131*(G241*VLOOKUP(E241,EmAuto1,7)-H241*VLOOKUP(F241,EmAuto1,7)+(C241-D241)*VLOOKUP(0,EmAuto1,7))</f>
        <v>0</v>
      </c>
      <c r="V241" s="1329">
        <f>0.00000110231131*(G241*VLOOKUP(E241,EmAuto1,8)-H241*VLOOKUP(F241,EmAuto1,8)+(C241-D241)*VLOOKUP(0,EmAuto1,8))</f>
        <v>0</v>
      </c>
      <c r="W241" s="515" t="e">
        <f>P241*VLOOKUP(ProjLoc,EmCost,2)/(1+DiscRate)^($B241+Construct-1)</f>
        <v>#N/A</v>
      </c>
      <c r="X241" s="1331" t="e">
        <f>Q241*VLOOKUP(ProjLoc,EmCost,3)*(1+CO2Uprater)^($B241+Construct-1)/(1+DiscRate)^($B241+Construct-1)</f>
        <v>#N/A</v>
      </c>
      <c r="Y241" s="1331" t="e">
        <f>R241*VLOOKUP(ProjLoc,EmCost,4)/(1+DiscRate)^($B241+Construct-1)</f>
        <v>#N/A</v>
      </c>
      <c r="Z241" s="1331" t="e">
        <f>S241*VLOOKUP(ProjLoc,EmCost,5)/(1+DiscRate)^($B241+Construct-1)</f>
        <v>#N/A</v>
      </c>
      <c r="AA241" s="1331" t="e">
        <f>T241*VLOOKUP(ProjLoc,EmCost,6)/(1+DiscRate)^($B241+Construct-1)</f>
        <v>#N/A</v>
      </c>
      <c r="AB241" s="498" t="e">
        <f>U241*VLOOKUP(ProjLoc,EmCost,7)/(1+DiscRate)^($B241+Construct-1)</f>
        <v>#N/A</v>
      </c>
    </row>
    <row r="242" spans="2:28" x14ac:dyDescent="0.25">
      <c r="B242" s="328">
        <v>20</v>
      </c>
      <c r="C242" s="353">
        <f>NWV20NB*AnnualFactor</f>
        <v>0</v>
      </c>
      <c r="D242" s="354">
        <f>NWV20B*AnnualFactor</f>
        <v>0</v>
      </c>
      <c r="E242" s="365">
        <f>ROUND(NWS20NB,1)</f>
        <v>55</v>
      </c>
      <c r="F242" s="366">
        <f>ROUND(NWS20B,1)</f>
        <v>55</v>
      </c>
      <c r="G242" s="339">
        <f>ImpactedNB*C242</f>
        <v>0</v>
      </c>
      <c r="H242" s="435">
        <f>ImpactedB*D242</f>
        <v>0</v>
      </c>
      <c r="I242" s="520" t="e">
        <f>G242*0.00000110231131*(VLOOKUP(E242,EmAuto20,2)*VLOOKUP(ProjLoc,EmCost,2)+VLOOKUP(E242,EmAuto20,3)*VLOOKUP(ProjLoc,EmCost,3)*(1+CO2Uprater)^($B242+Construct-1)+VLOOKUP(E242,EmAuto20,4)*VLOOKUP(ProjLoc,EmCost,4)+VLOOKUP(E242,EmAuto20,5)*VLOOKUP(ProjLoc,EmCost,5)+VLOOKUP(E242,EmAuto20,6)*VLOOKUP(ProjLoc,EmCost,6)+VLOOKUP(E242,EmAuto20,7)*VLOOKUP(ProjLoc,EmCost,7))</f>
        <v>#N/A</v>
      </c>
      <c r="J242" s="499" t="e">
        <f>H242*0.00000110231131*(VLOOKUP(F242,EmAuto20,2)*VLOOKUP(ProjLoc,EmCost,2)+VLOOKUP(F242,EmAuto20,3)*VLOOKUP(ProjLoc,EmCost,3)*(1+CO2Uprater)^($B242+Construct-1)+VLOOKUP(F242,EmAuto20,4)*VLOOKUP(ProjLoc,EmCost,4)+VLOOKUP(F242,EmAuto20,5)*VLOOKUP(ProjLoc,EmCost,5)+VLOOKUP(F242,EmAuto20,6)*VLOOKUP(ProjLoc,EmCost,6)+VLOOKUP(F242,EmAuto20,7)*VLOOKUP(ProjLoc,EmCost,7))</f>
        <v>#N/A</v>
      </c>
      <c r="K242" s="520" t="e">
        <f>C242*0.00000110231131*(VLOOKUP(0,EmAuto20,2)*VLOOKUP(ProjLoc,EmCost,2)+VLOOKUP(0,EmAuto20,3)*VLOOKUP(ProjLoc,EmCost,3)*(1+CO2Uprater)^($B242+Construct-1)+VLOOKUP(0,EmAuto20,4)*VLOOKUP(ProjLoc,EmCost,4)+VLOOKUP(0,EmAuto20,5)*VLOOKUP(ProjLoc,EmCost,5)+VLOOKUP(0,EmAuto20,6)*VLOOKUP(ProjLoc,EmCost,6)+VLOOKUP(0,EmAuto20,7)*VLOOKUP(ProjLoc,EmCost,7))</f>
        <v>#N/A</v>
      </c>
      <c r="L242" s="499" t="e">
        <f>D242*0.00000110231131*(VLOOKUP(0,EmAuto20,2)*VLOOKUP(ProjLoc,EmCost,2)+VLOOKUP(0,EmAuto20,3)*VLOOKUP(ProjLoc,EmCost,3)*(1+CO2Uprater)^($B242+Construct-1)+VLOOKUP(0,EmAuto20,4)*VLOOKUP(ProjLoc,EmCost,4)+VLOOKUP(0,EmAuto20,5)*VLOOKUP(ProjLoc,EmCost,5)+VLOOKUP(0,EmAuto20,6)*VLOOKUP(ProjLoc,EmCost,6)+VLOOKUP(0,EmAuto20,7)*VLOOKUP(ProjLoc,EmCost,7))</f>
        <v>#N/A</v>
      </c>
      <c r="M242" s="285" t="e">
        <f>(I242+K242)-(J242+L242)</f>
        <v>#N/A</v>
      </c>
      <c r="N242" s="323" t="e">
        <f>$M242/(1+DiscRate)^($B242+Construct-1)</f>
        <v>#N/A</v>
      </c>
      <c r="O242" s="474"/>
      <c r="P242" s="1037">
        <f>0.00000110231131*(G242*VLOOKUP(E242,EmAuto20,2)-H242*VLOOKUP(F242,EmAuto20,2)+(C242-D242)*VLOOKUP(0,EmAuto20,2))</f>
        <v>0</v>
      </c>
      <c r="Q242" s="1322">
        <f t="shared" ref="Q242" si="379">0.00000110231131*(G242*VLOOKUP(E242,EmAuto20,3)-H242*VLOOKUP(F242,EmAuto20,3)+(C242-D242)*VLOOKUP(0,EmAuto20,3))</f>
        <v>0</v>
      </c>
      <c r="R242" s="1322">
        <f>0.00000110231131*(G242*VLOOKUP(E242,EmAuto20,4)-H242*VLOOKUP(F242,EmAuto20,4)+(C242-D242)*VLOOKUP(0,EmAuto20,4))</f>
        <v>0</v>
      </c>
      <c r="S242" s="1322">
        <f>0.00000110231131*(G242*VLOOKUP(E242,EmAuto20,5)-H242*VLOOKUP(F242,EmAuto20,5)+(C242-D242)*VLOOKUP(0,EmAuto20,5))</f>
        <v>0</v>
      </c>
      <c r="T242" s="1322">
        <f>0.00000110231131*(G242*VLOOKUP(E242,EmAuto20,6)-H242*VLOOKUP(F242,EmAuto20,6)+(C242-D242)*VLOOKUP(0,EmAuto20,6))</f>
        <v>0</v>
      </c>
      <c r="U242" s="1322">
        <f>0.00000110231131*(G242*VLOOKUP(E242,EmAuto20,7)-H242*VLOOKUP(F242,EmAuto20,7)+(C242-D242)*VLOOKUP(0,EmAuto20,7))</f>
        <v>0</v>
      </c>
      <c r="V242" s="1330">
        <f>0.00000110231131*(G242*VLOOKUP(E242,EmAuto20,8)-H242*VLOOKUP(F242,EmAuto20,8)+(C242-D242)*VLOOKUP(0,EmAuto20,8))</f>
        <v>0</v>
      </c>
      <c r="W242" s="520" t="e">
        <f>P242*VLOOKUP(ProjLoc,EmCost,2)/(1+DiscRate)^($B242+Construct-1)</f>
        <v>#N/A</v>
      </c>
      <c r="X242" s="1332" t="e">
        <f>Q242*VLOOKUP(ProjLoc,EmCost,3)*(1+CO2Uprater)^($B242+Construct-1)/(1+DiscRate)^($B242+Construct-1)</f>
        <v>#N/A</v>
      </c>
      <c r="Y242" s="1332" t="e">
        <f>R242*VLOOKUP(ProjLoc,EmCost,4)/(1+DiscRate)^($B242+Construct-1)</f>
        <v>#N/A</v>
      </c>
      <c r="Z242" s="1332" t="e">
        <f>S242*VLOOKUP(ProjLoc,EmCost,5)/(1+DiscRate)^($B242+Construct-1)</f>
        <v>#N/A</v>
      </c>
      <c r="AA242" s="1332" t="e">
        <f>T242*VLOOKUP(ProjLoc,EmCost,6)/(1+DiscRate)^($B242+Construct-1)</f>
        <v>#N/A</v>
      </c>
      <c r="AB242" s="499" t="e">
        <f>U242*VLOOKUP(ProjLoc,EmCost,7)/(1+DiscRate)^($B242+Construct-1)</f>
        <v>#N/A</v>
      </c>
    </row>
    <row r="243" spans="2:28" x14ac:dyDescent="0.25">
      <c r="B243" s="357"/>
      <c r="C243" s="355"/>
      <c r="D243" s="355"/>
      <c r="E243" s="367"/>
      <c r="F243" s="367"/>
      <c r="G243" s="356"/>
      <c r="H243" s="356"/>
      <c r="I243" s="356"/>
      <c r="J243" s="356"/>
      <c r="K243" s="356"/>
      <c r="L243" s="356"/>
      <c r="M243" s="356"/>
      <c r="N243" s="358"/>
      <c r="O243" s="475"/>
      <c r="P243" s="358"/>
      <c r="Q243" s="358"/>
      <c r="R243" s="358"/>
      <c r="S243" s="358"/>
      <c r="T243" s="358"/>
      <c r="U243" s="358"/>
      <c r="V243" s="358"/>
      <c r="W243" s="358"/>
      <c r="X243" s="356"/>
      <c r="Y243" s="358"/>
      <c r="Z243" s="358"/>
      <c r="AA243" s="358"/>
      <c r="AB243" s="358"/>
    </row>
    <row r="244" spans="2:28" x14ac:dyDescent="0.25">
      <c r="B244" s="352">
        <v>2</v>
      </c>
      <c r="C244" s="368">
        <f>TREND(C241:C242,B241:B242,B244)</f>
        <v>0</v>
      </c>
      <c r="D244" s="369">
        <f>TREND(D241:D242,B241:B242,B244)</f>
        <v>0</v>
      </c>
      <c r="E244" s="370">
        <f>TREND(E241:E242,B241:B242,B244)</f>
        <v>55</v>
      </c>
      <c r="F244" s="371">
        <f>TREND(F241:F242,B241:B242,B244)</f>
        <v>55</v>
      </c>
      <c r="G244" s="339">
        <f t="shared" ref="G244:G261" si="380">ImpactedNB*C244</f>
        <v>0</v>
      </c>
      <c r="H244" s="434">
        <f t="shared" ref="H244:H261" si="381">ImpactedB*D244</f>
        <v>0</v>
      </c>
      <c r="I244" s="515" t="e">
        <f t="shared" ref="I244:J249" si="382">G244*0.00000110231131*(VLOOKUP(E244,EmAuto1,2)*VLOOKUP(ProjLoc,EmCost,2)+VLOOKUP(E244,EmAuto1,3)*VLOOKUP(ProjLoc,EmCost,3)*(1+CO2Uprater)^($B244+Construct-1)+VLOOKUP(E244,EmAuto1,4)*VLOOKUP(ProjLoc,EmCost,4)+VLOOKUP(E244,EmAuto1,5)*VLOOKUP(ProjLoc,EmCost,5)+VLOOKUP(E244,EmAuto1,6)*VLOOKUP(ProjLoc,EmCost,6)+VLOOKUP(E244,EmAuto1,7)*VLOOKUP(ProjLoc,EmCost,7))</f>
        <v>#N/A</v>
      </c>
      <c r="J244" s="498" t="e">
        <f t="shared" si="382"/>
        <v>#N/A</v>
      </c>
      <c r="K244" s="515" t="e">
        <f t="shared" ref="K244:L249" si="383">C244*0.00000110231131*(VLOOKUP(0,EmAuto1,2)*VLOOKUP(ProjLoc,EmCost,2)+VLOOKUP(0,EmAuto1,3)*VLOOKUP(ProjLoc,EmCost,3)*(1+CO2Uprater)^($B244+Construct-1)+VLOOKUP(0,EmAuto1,4)*VLOOKUP(ProjLoc,EmCost,4)+VLOOKUP(0,EmAuto1,5)*VLOOKUP(ProjLoc,EmCost,5)+VLOOKUP(0,EmAuto1,6)*VLOOKUP(ProjLoc,EmCost,6)+VLOOKUP(0,EmAuto1,7)*VLOOKUP(ProjLoc,EmCost,7))</f>
        <v>#N/A</v>
      </c>
      <c r="L244" s="498" t="e">
        <f t="shared" si="383"/>
        <v>#N/A</v>
      </c>
      <c r="M244" s="285" t="e">
        <f>(I244+K244)-(J244+L244)</f>
        <v>#N/A</v>
      </c>
      <c r="N244" s="323" t="e">
        <f t="shared" ref="N244:N261" si="384">$M244/(1+DiscRate)^($B244+Construct-1)</f>
        <v>#N/A</v>
      </c>
      <c r="O244" s="474"/>
      <c r="P244" s="1036">
        <f t="shared" ref="P244:P249" si="385">0.00000110231131*(G244*VLOOKUP(E244,EmAuto1,2)-H244*VLOOKUP(F244,EmAuto1,2)+(C244-D244)*VLOOKUP(0,EmAuto1,2))</f>
        <v>0</v>
      </c>
      <c r="Q244" s="1321">
        <f t="shared" ref="Q244:Q249" si="386">0.00000110231131*(G244*VLOOKUP(E244,EmAuto1,3)-H244*VLOOKUP(F244,EmAuto1,3)+(C244-D244)*VLOOKUP(0,EmAuto1,3))</f>
        <v>0</v>
      </c>
      <c r="R244" s="1321">
        <f t="shared" ref="R244:R249" si="387">0.00000110231131*(G244*VLOOKUP(E244,EmAuto1,4)-H244*VLOOKUP(F244,EmAuto1,4)+(C244-D244)*VLOOKUP(0,EmAuto1,4))</f>
        <v>0</v>
      </c>
      <c r="S244" s="1321">
        <f t="shared" ref="S244:S249" si="388">0.00000110231131*(G244*VLOOKUP(E244,EmAuto1,5)-H244*VLOOKUP(F244,EmAuto1,5)+(C244-D244)*VLOOKUP(0,EmAuto1,5))</f>
        <v>0</v>
      </c>
      <c r="T244" s="1321">
        <f t="shared" ref="T244:T249" si="389">0.00000110231131*(G244*VLOOKUP(E244,EmAuto1,6)-H244*VLOOKUP(F244,EmAuto1,6)+(C244-D244)*VLOOKUP(0,EmAuto1,6))</f>
        <v>0</v>
      </c>
      <c r="U244" s="1321">
        <f t="shared" ref="U244:U249" si="390">0.00000110231131*(G244*VLOOKUP(E244,EmAuto1,7)-H244*VLOOKUP(F244,EmAuto1,7)+(C244-D244)*VLOOKUP(0,EmAuto1,7))</f>
        <v>0</v>
      </c>
      <c r="V244" s="1323">
        <f t="shared" ref="V244:V249" si="391">0.00000110231131*(G244*VLOOKUP(E244,EmAuto1,8)-H244*VLOOKUP(F244,EmAuto1,8)+(C244-D244)*VLOOKUP(0,EmAuto1,8))</f>
        <v>0</v>
      </c>
      <c r="W244" s="515" t="e">
        <f t="shared" ref="W244:W261" si="392">P244*VLOOKUP(ProjLoc,EmCost,2)/(1+DiscRate)^($B244+Construct-1)</f>
        <v>#N/A</v>
      </c>
      <c r="X244" s="1331" t="e">
        <f t="shared" ref="X244:X261" si="393">Q244*VLOOKUP(ProjLoc,EmCost,3)*(1+CO2Uprater)^($B244+Construct-1)/(1+DiscRate)^($B244+Construct-1)</f>
        <v>#N/A</v>
      </c>
      <c r="Y244" s="1331" t="e">
        <f t="shared" ref="Y244:Y261" si="394">R244*VLOOKUP(ProjLoc,EmCost,4)/(1+DiscRate)^($B244+Construct-1)</f>
        <v>#N/A</v>
      </c>
      <c r="Z244" s="1331" t="e">
        <f t="shared" ref="Z244:Z261" si="395">S244*VLOOKUP(ProjLoc,EmCost,5)/(1+DiscRate)^($B244+Construct-1)</f>
        <v>#N/A</v>
      </c>
      <c r="AA244" s="1331" t="e">
        <f t="shared" ref="AA244:AA261" si="396">T244*VLOOKUP(ProjLoc,EmCost,6)/(1+DiscRate)^($B244+Construct-1)</f>
        <v>#N/A</v>
      </c>
      <c r="AB244" s="498" t="e">
        <f t="shared" ref="AB244:AB261" si="397">U244*VLOOKUP(ProjLoc,EmCost,7)/(1+DiscRate)^($B244+Construct-1)</f>
        <v>#N/A</v>
      </c>
    </row>
    <row r="245" spans="2:28" x14ac:dyDescent="0.25">
      <c r="B245" s="327">
        <v>3</v>
      </c>
      <c r="C245" s="347">
        <f>TREND(C241:C242,B241:B242,B245)</f>
        <v>0</v>
      </c>
      <c r="D245" s="372">
        <f>TREND(D241:D242,B241:B242,B245)</f>
        <v>0</v>
      </c>
      <c r="E245" s="373">
        <f>TREND(E241:E242,B241:B242,B245)</f>
        <v>55</v>
      </c>
      <c r="F245" s="374">
        <f>TREND(F241:F242,B241:B242,B245)</f>
        <v>55</v>
      </c>
      <c r="G245" s="339">
        <f t="shared" si="380"/>
        <v>0</v>
      </c>
      <c r="H245" s="436">
        <f t="shared" si="381"/>
        <v>0</v>
      </c>
      <c r="I245" s="521" t="e">
        <f t="shared" si="382"/>
        <v>#N/A</v>
      </c>
      <c r="J245" s="500" t="e">
        <f t="shared" si="382"/>
        <v>#N/A</v>
      </c>
      <c r="K245" s="521" t="e">
        <f t="shared" si="383"/>
        <v>#N/A</v>
      </c>
      <c r="L245" s="500" t="e">
        <f t="shared" si="383"/>
        <v>#N/A</v>
      </c>
      <c r="M245" s="285" t="e">
        <f t="shared" ref="M245:M261" si="398">(I245+K245)-(J245+L245)</f>
        <v>#N/A</v>
      </c>
      <c r="N245" s="323" t="e">
        <f t="shared" si="384"/>
        <v>#N/A</v>
      </c>
      <c r="O245" s="474"/>
      <c r="P245" s="1038">
        <f t="shared" si="385"/>
        <v>0</v>
      </c>
      <c r="Q245" s="1324">
        <f t="shared" si="386"/>
        <v>0</v>
      </c>
      <c r="R245" s="1324">
        <f t="shared" si="387"/>
        <v>0</v>
      </c>
      <c r="S245" s="1324">
        <f t="shared" si="388"/>
        <v>0</v>
      </c>
      <c r="T245" s="1324">
        <f t="shared" si="389"/>
        <v>0</v>
      </c>
      <c r="U245" s="1324">
        <f t="shared" si="390"/>
        <v>0</v>
      </c>
      <c r="V245" s="1325">
        <f t="shared" si="391"/>
        <v>0</v>
      </c>
      <c r="W245" s="521" t="e">
        <f t="shared" si="392"/>
        <v>#N/A</v>
      </c>
      <c r="X245" s="1333" t="e">
        <f t="shared" si="393"/>
        <v>#N/A</v>
      </c>
      <c r="Y245" s="1333" t="e">
        <f t="shared" si="394"/>
        <v>#N/A</v>
      </c>
      <c r="Z245" s="1333" t="e">
        <f t="shared" si="395"/>
        <v>#N/A</v>
      </c>
      <c r="AA245" s="1333" t="e">
        <f t="shared" si="396"/>
        <v>#N/A</v>
      </c>
      <c r="AB245" s="500" t="e">
        <f t="shared" si="397"/>
        <v>#N/A</v>
      </c>
    </row>
    <row r="246" spans="2:28" x14ac:dyDescent="0.25">
      <c r="B246" s="327">
        <v>4</v>
      </c>
      <c r="C246" s="347">
        <f>TREND(C241:C242,B241:B242,B246)</f>
        <v>0</v>
      </c>
      <c r="D246" s="372">
        <f>TREND(D241:D242,B241:B242,B246)</f>
        <v>0</v>
      </c>
      <c r="E246" s="373">
        <f>TREND(E241:E242,B241:B242,B246)</f>
        <v>55</v>
      </c>
      <c r="F246" s="374">
        <f>TREND(F241:F242,B241:B242,B246)</f>
        <v>55</v>
      </c>
      <c r="G246" s="339">
        <f t="shared" si="380"/>
        <v>0</v>
      </c>
      <c r="H246" s="436">
        <f t="shared" si="381"/>
        <v>0</v>
      </c>
      <c r="I246" s="521" t="e">
        <f t="shared" si="382"/>
        <v>#N/A</v>
      </c>
      <c r="J246" s="500" t="e">
        <f t="shared" si="382"/>
        <v>#N/A</v>
      </c>
      <c r="K246" s="521" t="e">
        <f t="shared" si="383"/>
        <v>#N/A</v>
      </c>
      <c r="L246" s="500" t="e">
        <f t="shared" si="383"/>
        <v>#N/A</v>
      </c>
      <c r="M246" s="285" t="e">
        <f t="shared" si="398"/>
        <v>#N/A</v>
      </c>
      <c r="N246" s="323" t="e">
        <f t="shared" si="384"/>
        <v>#N/A</v>
      </c>
      <c r="O246" s="474"/>
      <c r="P246" s="1038">
        <f t="shared" si="385"/>
        <v>0</v>
      </c>
      <c r="Q246" s="1324">
        <f t="shared" si="386"/>
        <v>0</v>
      </c>
      <c r="R246" s="1324">
        <f t="shared" si="387"/>
        <v>0</v>
      </c>
      <c r="S246" s="1324">
        <f t="shared" si="388"/>
        <v>0</v>
      </c>
      <c r="T246" s="1324">
        <f t="shared" si="389"/>
        <v>0</v>
      </c>
      <c r="U246" s="1324">
        <f t="shared" si="390"/>
        <v>0</v>
      </c>
      <c r="V246" s="1325">
        <f t="shared" si="391"/>
        <v>0</v>
      </c>
      <c r="W246" s="521" t="e">
        <f t="shared" si="392"/>
        <v>#N/A</v>
      </c>
      <c r="X246" s="1333" t="e">
        <f t="shared" si="393"/>
        <v>#N/A</v>
      </c>
      <c r="Y246" s="1333" t="e">
        <f t="shared" si="394"/>
        <v>#N/A</v>
      </c>
      <c r="Z246" s="1333" t="e">
        <f t="shared" si="395"/>
        <v>#N/A</v>
      </c>
      <c r="AA246" s="1333" t="e">
        <f t="shared" si="396"/>
        <v>#N/A</v>
      </c>
      <c r="AB246" s="500" t="e">
        <f t="shared" si="397"/>
        <v>#N/A</v>
      </c>
    </row>
    <row r="247" spans="2:28" x14ac:dyDescent="0.25">
      <c r="B247" s="327">
        <v>5</v>
      </c>
      <c r="C247" s="347">
        <f>TREND(C241:C242,B241:B242,B247)</f>
        <v>0</v>
      </c>
      <c r="D247" s="372">
        <f>TREND(D241:D242,B241:B242,B247)</f>
        <v>0</v>
      </c>
      <c r="E247" s="373">
        <f>TREND(E241:E242,B241:B242,B247)</f>
        <v>55</v>
      </c>
      <c r="F247" s="374">
        <f>TREND(F241:F242,B241:B242,B247)</f>
        <v>55</v>
      </c>
      <c r="G247" s="339">
        <f t="shared" si="380"/>
        <v>0</v>
      </c>
      <c r="H247" s="436">
        <f t="shared" si="381"/>
        <v>0</v>
      </c>
      <c r="I247" s="521" t="e">
        <f t="shared" si="382"/>
        <v>#N/A</v>
      </c>
      <c r="J247" s="500" t="e">
        <f t="shared" si="382"/>
        <v>#N/A</v>
      </c>
      <c r="K247" s="521" t="e">
        <f t="shared" si="383"/>
        <v>#N/A</v>
      </c>
      <c r="L247" s="500" t="e">
        <f t="shared" si="383"/>
        <v>#N/A</v>
      </c>
      <c r="M247" s="285" t="e">
        <f t="shared" si="398"/>
        <v>#N/A</v>
      </c>
      <c r="N247" s="323" t="e">
        <f t="shared" si="384"/>
        <v>#N/A</v>
      </c>
      <c r="O247" s="474"/>
      <c r="P247" s="1038">
        <f t="shared" si="385"/>
        <v>0</v>
      </c>
      <c r="Q247" s="1324">
        <f t="shared" si="386"/>
        <v>0</v>
      </c>
      <c r="R247" s="1324">
        <f t="shared" si="387"/>
        <v>0</v>
      </c>
      <c r="S247" s="1324">
        <f t="shared" si="388"/>
        <v>0</v>
      </c>
      <c r="T247" s="1324">
        <f t="shared" si="389"/>
        <v>0</v>
      </c>
      <c r="U247" s="1324">
        <f t="shared" si="390"/>
        <v>0</v>
      </c>
      <c r="V247" s="1325">
        <f t="shared" si="391"/>
        <v>0</v>
      </c>
      <c r="W247" s="521" t="e">
        <f t="shared" si="392"/>
        <v>#N/A</v>
      </c>
      <c r="X247" s="1333" t="e">
        <f t="shared" si="393"/>
        <v>#N/A</v>
      </c>
      <c r="Y247" s="1333" t="e">
        <f t="shared" si="394"/>
        <v>#N/A</v>
      </c>
      <c r="Z247" s="1333" t="e">
        <f t="shared" si="395"/>
        <v>#N/A</v>
      </c>
      <c r="AA247" s="1333" t="e">
        <f t="shared" si="396"/>
        <v>#N/A</v>
      </c>
      <c r="AB247" s="500" t="e">
        <f t="shared" si="397"/>
        <v>#N/A</v>
      </c>
    </row>
    <row r="248" spans="2:28" x14ac:dyDescent="0.25">
      <c r="B248" s="327">
        <v>6</v>
      </c>
      <c r="C248" s="347">
        <f>TREND(C241:C242,B241:B242,B248)</f>
        <v>0</v>
      </c>
      <c r="D248" s="372">
        <f>TREND(D241:D242,B241:B242,B248)</f>
        <v>0</v>
      </c>
      <c r="E248" s="373">
        <f>TREND(E241:E242,B241:B242,B248)</f>
        <v>55</v>
      </c>
      <c r="F248" s="374">
        <f>TREND(F241:F242,B241:B242,B248)</f>
        <v>55</v>
      </c>
      <c r="G248" s="339">
        <f t="shared" si="380"/>
        <v>0</v>
      </c>
      <c r="H248" s="436">
        <f t="shared" si="381"/>
        <v>0</v>
      </c>
      <c r="I248" s="521" t="e">
        <f t="shared" si="382"/>
        <v>#N/A</v>
      </c>
      <c r="J248" s="500" t="e">
        <f t="shared" si="382"/>
        <v>#N/A</v>
      </c>
      <c r="K248" s="521" t="e">
        <f t="shared" si="383"/>
        <v>#N/A</v>
      </c>
      <c r="L248" s="500" t="e">
        <f t="shared" si="383"/>
        <v>#N/A</v>
      </c>
      <c r="M248" s="285" t="e">
        <f t="shared" si="398"/>
        <v>#N/A</v>
      </c>
      <c r="N248" s="323" t="e">
        <f t="shared" si="384"/>
        <v>#N/A</v>
      </c>
      <c r="O248" s="474"/>
      <c r="P248" s="1038">
        <f t="shared" si="385"/>
        <v>0</v>
      </c>
      <c r="Q248" s="1324">
        <f t="shared" si="386"/>
        <v>0</v>
      </c>
      <c r="R248" s="1324">
        <f t="shared" si="387"/>
        <v>0</v>
      </c>
      <c r="S248" s="1324">
        <f t="shared" si="388"/>
        <v>0</v>
      </c>
      <c r="T248" s="1324">
        <f t="shared" si="389"/>
        <v>0</v>
      </c>
      <c r="U248" s="1324">
        <f t="shared" si="390"/>
        <v>0</v>
      </c>
      <c r="V248" s="1325">
        <f t="shared" si="391"/>
        <v>0</v>
      </c>
      <c r="W248" s="521" t="e">
        <f t="shared" si="392"/>
        <v>#N/A</v>
      </c>
      <c r="X248" s="1333" t="e">
        <f t="shared" si="393"/>
        <v>#N/A</v>
      </c>
      <c r="Y248" s="1333" t="e">
        <f t="shared" si="394"/>
        <v>#N/A</v>
      </c>
      <c r="Z248" s="1333" t="e">
        <f t="shared" si="395"/>
        <v>#N/A</v>
      </c>
      <c r="AA248" s="1333" t="e">
        <f t="shared" si="396"/>
        <v>#N/A</v>
      </c>
      <c r="AB248" s="500" t="e">
        <f t="shared" si="397"/>
        <v>#N/A</v>
      </c>
    </row>
    <row r="249" spans="2:28" x14ac:dyDescent="0.25">
      <c r="B249" s="327">
        <v>7</v>
      </c>
      <c r="C249" s="347">
        <f>TREND(C241:C242,B241:B242,B249)</f>
        <v>0</v>
      </c>
      <c r="D249" s="372">
        <f>TREND(D241:D242,B241:B242,B249)</f>
        <v>0</v>
      </c>
      <c r="E249" s="373">
        <f>TREND(E241:E242,B241:B242,B249)</f>
        <v>55</v>
      </c>
      <c r="F249" s="374">
        <f>TREND(F241:F242,B241:B242,B249)</f>
        <v>55</v>
      </c>
      <c r="G249" s="339">
        <f t="shared" si="380"/>
        <v>0</v>
      </c>
      <c r="H249" s="436">
        <f t="shared" si="381"/>
        <v>0</v>
      </c>
      <c r="I249" s="521" t="e">
        <f t="shared" si="382"/>
        <v>#N/A</v>
      </c>
      <c r="J249" s="500" t="e">
        <f t="shared" si="382"/>
        <v>#N/A</v>
      </c>
      <c r="K249" s="521" t="e">
        <f t="shared" si="383"/>
        <v>#N/A</v>
      </c>
      <c r="L249" s="500" t="e">
        <f t="shared" si="383"/>
        <v>#N/A</v>
      </c>
      <c r="M249" s="285" t="e">
        <f t="shared" si="398"/>
        <v>#N/A</v>
      </c>
      <c r="N249" s="323" t="e">
        <f t="shared" si="384"/>
        <v>#N/A</v>
      </c>
      <c r="O249" s="474"/>
      <c r="P249" s="1038">
        <f t="shared" si="385"/>
        <v>0</v>
      </c>
      <c r="Q249" s="1324">
        <f t="shared" si="386"/>
        <v>0</v>
      </c>
      <c r="R249" s="1324">
        <f t="shared" si="387"/>
        <v>0</v>
      </c>
      <c r="S249" s="1324">
        <f t="shared" si="388"/>
        <v>0</v>
      </c>
      <c r="T249" s="1324">
        <f t="shared" si="389"/>
        <v>0</v>
      </c>
      <c r="U249" s="1324">
        <f t="shared" si="390"/>
        <v>0</v>
      </c>
      <c r="V249" s="1325">
        <f t="shared" si="391"/>
        <v>0</v>
      </c>
      <c r="W249" s="521" t="e">
        <f t="shared" si="392"/>
        <v>#N/A</v>
      </c>
      <c r="X249" s="1333" t="e">
        <f t="shared" si="393"/>
        <v>#N/A</v>
      </c>
      <c r="Y249" s="1333" t="e">
        <f t="shared" si="394"/>
        <v>#N/A</v>
      </c>
      <c r="Z249" s="1333" t="e">
        <f t="shared" si="395"/>
        <v>#N/A</v>
      </c>
      <c r="AA249" s="1333" t="e">
        <f t="shared" si="396"/>
        <v>#N/A</v>
      </c>
      <c r="AB249" s="500" t="e">
        <f t="shared" si="397"/>
        <v>#N/A</v>
      </c>
    </row>
    <row r="250" spans="2:28" x14ac:dyDescent="0.25">
      <c r="B250" s="327">
        <v>8</v>
      </c>
      <c r="C250" s="347">
        <f>TREND(C241:C242,B241:B242,B250)</f>
        <v>0</v>
      </c>
      <c r="D250" s="372">
        <f>TREND(D241:D242,B241:B242,B250)</f>
        <v>0</v>
      </c>
      <c r="E250" s="373">
        <f>TREND(E241:E242,B241:B242,B250)</f>
        <v>55</v>
      </c>
      <c r="F250" s="374">
        <f>TREND(F241:F242,B241:B242,B250)</f>
        <v>55</v>
      </c>
      <c r="G250" s="339">
        <f t="shared" si="380"/>
        <v>0</v>
      </c>
      <c r="H250" s="436">
        <f t="shared" si="381"/>
        <v>0</v>
      </c>
      <c r="I250" s="521" t="e">
        <f t="shared" ref="I250:I261" si="399">G250*0.00000110231131*(VLOOKUP(E250,EmAuto20,2)*VLOOKUP(ProjLoc,EmCost,2)+VLOOKUP(E250,EmAuto20,3)*VLOOKUP(ProjLoc,EmCost,3)*(1+CO2Uprater)^($B250+Construct-1)+VLOOKUP(E250,EmAuto20,4)*VLOOKUP(ProjLoc,EmCost,4)+VLOOKUP(E250,EmAuto20,5)*VLOOKUP(ProjLoc,EmCost,5)+VLOOKUP(E250,EmAuto20,6)*VLOOKUP(ProjLoc,EmCost,6)+VLOOKUP(E250,EmAuto20,7)*VLOOKUP(ProjLoc,EmCost,7))</f>
        <v>#N/A</v>
      </c>
      <c r="J250" s="500" t="e">
        <f t="shared" ref="J250:J261" si="400">H250*0.00000110231131*(VLOOKUP(F250,EmAuto20,2)*VLOOKUP(ProjLoc,EmCost,2)+VLOOKUP(F250,EmAuto20,3)*VLOOKUP(ProjLoc,EmCost,3)*(1+CO2Uprater)^($B250+Construct-1)+VLOOKUP(F250,EmAuto20,4)*VLOOKUP(ProjLoc,EmCost,4)+VLOOKUP(F250,EmAuto20,5)*VLOOKUP(ProjLoc,EmCost,5)+VLOOKUP(F250,EmAuto20,6)*VLOOKUP(ProjLoc,EmCost,6)+VLOOKUP(F250,EmAuto20,7)*VLOOKUP(ProjLoc,EmCost,7))</f>
        <v>#N/A</v>
      </c>
      <c r="K250" s="521" t="e">
        <f t="shared" ref="K250:K261" si="401">C250*0.00000110231131*(VLOOKUP(0,EmAuto20,2)*VLOOKUP(ProjLoc,EmCost,2)+VLOOKUP(0,EmAuto20,3)*VLOOKUP(ProjLoc,EmCost,3)*(1+CO2Uprater)^($B250+Construct-1)+VLOOKUP(0,EmAuto20,4)*VLOOKUP(ProjLoc,EmCost,4)+VLOOKUP(0,EmAuto20,5)*VLOOKUP(ProjLoc,EmCost,5)+VLOOKUP(0,EmAuto20,6)*VLOOKUP(ProjLoc,EmCost,6)+VLOOKUP(0,EmAuto20,7)*VLOOKUP(ProjLoc,EmCost,7))</f>
        <v>#N/A</v>
      </c>
      <c r="L250" s="500" t="e">
        <f t="shared" ref="L250:L261" si="402">D250*0.00000110231131*(VLOOKUP(0,EmAuto20,2)*VLOOKUP(ProjLoc,EmCost,2)+VLOOKUP(0,EmAuto20,3)*VLOOKUP(ProjLoc,EmCost,3)*(1+CO2Uprater)^($B250+Construct-1)+VLOOKUP(0,EmAuto20,4)*VLOOKUP(ProjLoc,EmCost,4)+VLOOKUP(0,EmAuto20,5)*VLOOKUP(ProjLoc,EmCost,5)+VLOOKUP(0,EmAuto20,6)*VLOOKUP(ProjLoc,EmCost,6)+VLOOKUP(0,EmAuto20,7)*VLOOKUP(ProjLoc,EmCost,7))</f>
        <v>#N/A</v>
      </c>
      <c r="M250" s="285" t="e">
        <f t="shared" si="398"/>
        <v>#N/A</v>
      </c>
      <c r="N250" s="323" t="e">
        <f t="shared" si="384"/>
        <v>#N/A</v>
      </c>
      <c r="O250" s="474"/>
      <c r="P250" s="1038">
        <f t="shared" ref="P250:P261" si="403">0.00000110231131*(G250*VLOOKUP(E250,EmAuto20,2)-H250*VLOOKUP(F250,EmAuto20,2)+(C250-D250)*VLOOKUP(0,EmAuto20,2))</f>
        <v>0</v>
      </c>
      <c r="Q250" s="1324">
        <f t="shared" ref="Q250:Q261" si="404">0.00000110231131*(G250*VLOOKUP(E250,EmAuto20,3)-H250*VLOOKUP(F250,EmAuto20,3)+(C250-D250)*VLOOKUP(0,EmAuto20,3))</f>
        <v>0</v>
      </c>
      <c r="R250" s="1324">
        <f t="shared" ref="R250:R261" si="405">0.00000110231131*(G250*VLOOKUP(E250,EmAuto20,4)-H250*VLOOKUP(F250,EmAuto20,4)+(C250-D250)*VLOOKUP(0,EmAuto20,4))</f>
        <v>0</v>
      </c>
      <c r="S250" s="1324">
        <f t="shared" ref="S250:S261" si="406">0.00000110231131*(G250*VLOOKUP(E250,EmAuto20,5)-H250*VLOOKUP(F250,EmAuto20,5)+(C250-D250)*VLOOKUP(0,EmAuto20,5))</f>
        <v>0</v>
      </c>
      <c r="T250" s="1324">
        <f t="shared" ref="T250:T261" si="407">0.00000110231131*(G250*VLOOKUP(E250,EmAuto20,6)-H250*VLOOKUP(F250,EmAuto20,6)+(C250-D250)*VLOOKUP(0,EmAuto20,6))</f>
        <v>0</v>
      </c>
      <c r="U250" s="1324">
        <f t="shared" ref="U250:U261" si="408">0.00000110231131*(G250*VLOOKUP(E250,EmAuto20,7)-H250*VLOOKUP(F250,EmAuto20,7)+(C250-D250)*VLOOKUP(0,EmAuto20,7))</f>
        <v>0</v>
      </c>
      <c r="V250" s="1325">
        <f t="shared" ref="V250:V261" si="409">0.00000110231131*(G250*VLOOKUP(E250,EmAuto20,8)-H250*VLOOKUP(F250,EmAuto20,8)+(C250-D250)*VLOOKUP(0,EmAuto20,8))</f>
        <v>0</v>
      </c>
      <c r="W250" s="521" t="e">
        <f t="shared" si="392"/>
        <v>#N/A</v>
      </c>
      <c r="X250" s="1333" t="e">
        <f t="shared" si="393"/>
        <v>#N/A</v>
      </c>
      <c r="Y250" s="1333" t="e">
        <f t="shared" si="394"/>
        <v>#N/A</v>
      </c>
      <c r="Z250" s="1333" t="e">
        <f t="shared" si="395"/>
        <v>#N/A</v>
      </c>
      <c r="AA250" s="1333" t="e">
        <f t="shared" si="396"/>
        <v>#N/A</v>
      </c>
      <c r="AB250" s="500" t="e">
        <f t="shared" si="397"/>
        <v>#N/A</v>
      </c>
    </row>
    <row r="251" spans="2:28" x14ac:dyDescent="0.25">
      <c r="B251" s="327">
        <v>9</v>
      </c>
      <c r="C251" s="347">
        <f>TREND(C241:C242,B241:B242,B251)</f>
        <v>0</v>
      </c>
      <c r="D251" s="372">
        <f>TREND(D241:D242,B241:B242,B251)</f>
        <v>0</v>
      </c>
      <c r="E251" s="373">
        <f>TREND(E241:E242,B241:B242,B251)</f>
        <v>55</v>
      </c>
      <c r="F251" s="374">
        <f>TREND(F241:F242,B241:B242,B251)</f>
        <v>55</v>
      </c>
      <c r="G251" s="339">
        <f t="shared" si="380"/>
        <v>0</v>
      </c>
      <c r="H251" s="436">
        <f t="shared" si="381"/>
        <v>0</v>
      </c>
      <c r="I251" s="521" t="e">
        <f t="shared" si="399"/>
        <v>#N/A</v>
      </c>
      <c r="J251" s="500" t="e">
        <f t="shared" si="400"/>
        <v>#N/A</v>
      </c>
      <c r="K251" s="521" t="e">
        <f t="shared" si="401"/>
        <v>#N/A</v>
      </c>
      <c r="L251" s="500" t="e">
        <f t="shared" si="402"/>
        <v>#N/A</v>
      </c>
      <c r="M251" s="285" t="e">
        <f t="shared" si="398"/>
        <v>#N/A</v>
      </c>
      <c r="N251" s="323" t="e">
        <f t="shared" si="384"/>
        <v>#N/A</v>
      </c>
      <c r="O251" s="474"/>
      <c r="P251" s="1038">
        <f t="shared" si="403"/>
        <v>0</v>
      </c>
      <c r="Q251" s="1324">
        <f t="shared" si="404"/>
        <v>0</v>
      </c>
      <c r="R251" s="1324">
        <f t="shared" si="405"/>
        <v>0</v>
      </c>
      <c r="S251" s="1324">
        <f t="shared" si="406"/>
        <v>0</v>
      </c>
      <c r="T251" s="1324">
        <f t="shared" si="407"/>
        <v>0</v>
      </c>
      <c r="U251" s="1324">
        <f t="shared" si="408"/>
        <v>0</v>
      </c>
      <c r="V251" s="1325">
        <f t="shared" si="409"/>
        <v>0</v>
      </c>
      <c r="W251" s="521" t="e">
        <f t="shared" si="392"/>
        <v>#N/A</v>
      </c>
      <c r="X251" s="1333" t="e">
        <f t="shared" si="393"/>
        <v>#N/A</v>
      </c>
      <c r="Y251" s="1333" t="e">
        <f t="shared" si="394"/>
        <v>#N/A</v>
      </c>
      <c r="Z251" s="1333" t="e">
        <f t="shared" si="395"/>
        <v>#N/A</v>
      </c>
      <c r="AA251" s="1333" t="e">
        <f t="shared" si="396"/>
        <v>#N/A</v>
      </c>
      <c r="AB251" s="500" t="e">
        <f t="shared" si="397"/>
        <v>#N/A</v>
      </c>
    </row>
    <row r="252" spans="2:28" x14ac:dyDescent="0.25">
      <c r="B252" s="327">
        <v>10</v>
      </c>
      <c r="C252" s="347">
        <f>TREND(C241:C242,B241:B242,B252)</f>
        <v>0</v>
      </c>
      <c r="D252" s="372">
        <f>TREND(D241:D242,B241:B242,B252)</f>
        <v>0</v>
      </c>
      <c r="E252" s="373">
        <f>TREND(E241:E242,B241:B242,B252)</f>
        <v>55</v>
      </c>
      <c r="F252" s="374">
        <f>TREND(F241:F242,B241:B242,B252)</f>
        <v>55</v>
      </c>
      <c r="G252" s="339">
        <f t="shared" si="380"/>
        <v>0</v>
      </c>
      <c r="H252" s="436">
        <f t="shared" si="381"/>
        <v>0</v>
      </c>
      <c r="I252" s="521" t="e">
        <f t="shared" si="399"/>
        <v>#N/A</v>
      </c>
      <c r="J252" s="500" t="e">
        <f t="shared" si="400"/>
        <v>#N/A</v>
      </c>
      <c r="K252" s="521" t="e">
        <f t="shared" si="401"/>
        <v>#N/A</v>
      </c>
      <c r="L252" s="500" t="e">
        <f t="shared" si="402"/>
        <v>#N/A</v>
      </c>
      <c r="M252" s="285" t="e">
        <f t="shared" si="398"/>
        <v>#N/A</v>
      </c>
      <c r="N252" s="323" t="e">
        <f t="shared" si="384"/>
        <v>#N/A</v>
      </c>
      <c r="O252" s="474"/>
      <c r="P252" s="1038">
        <f t="shared" si="403"/>
        <v>0</v>
      </c>
      <c r="Q252" s="1324">
        <f t="shared" si="404"/>
        <v>0</v>
      </c>
      <c r="R252" s="1324">
        <f t="shared" si="405"/>
        <v>0</v>
      </c>
      <c r="S252" s="1324">
        <f t="shared" si="406"/>
        <v>0</v>
      </c>
      <c r="T252" s="1324">
        <f t="shared" si="407"/>
        <v>0</v>
      </c>
      <c r="U252" s="1324">
        <f t="shared" si="408"/>
        <v>0</v>
      </c>
      <c r="V252" s="1325">
        <f t="shared" si="409"/>
        <v>0</v>
      </c>
      <c r="W252" s="521" t="e">
        <f t="shared" si="392"/>
        <v>#N/A</v>
      </c>
      <c r="X252" s="1333" t="e">
        <f t="shared" si="393"/>
        <v>#N/A</v>
      </c>
      <c r="Y252" s="1333" t="e">
        <f t="shared" si="394"/>
        <v>#N/A</v>
      </c>
      <c r="Z252" s="1333" t="e">
        <f t="shared" si="395"/>
        <v>#N/A</v>
      </c>
      <c r="AA252" s="1333" t="e">
        <f t="shared" si="396"/>
        <v>#N/A</v>
      </c>
      <c r="AB252" s="500" t="e">
        <f t="shared" si="397"/>
        <v>#N/A</v>
      </c>
    </row>
    <row r="253" spans="2:28" x14ac:dyDescent="0.25">
      <c r="B253" s="327">
        <v>11</v>
      </c>
      <c r="C253" s="347">
        <f>TREND(C241:C242,B241:B242,B253)</f>
        <v>0</v>
      </c>
      <c r="D253" s="372">
        <f>TREND(D241:D242,B241:B242,B253)</f>
        <v>0</v>
      </c>
      <c r="E253" s="373">
        <f>TREND(E241:E242,B241:B242,B253)</f>
        <v>55</v>
      </c>
      <c r="F253" s="374">
        <f>TREND(F241:F242,B241:B242,B253)</f>
        <v>55</v>
      </c>
      <c r="G253" s="339">
        <f t="shared" si="380"/>
        <v>0</v>
      </c>
      <c r="H253" s="436">
        <f t="shared" si="381"/>
        <v>0</v>
      </c>
      <c r="I253" s="521" t="e">
        <f t="shared" si="399"/>
        <v>#N/A</v>
      </c>
      <c r="J253" s="500" t="e">
        <f t="shared" si="400"/>
        <v>#N/A</v>
      </c>
      <c r="K253" s="521" t="e">
        <f t="shared" si="401"/>
        <v>#N/A</v>
      </c>
      <c r="L253" s="500" t="e">
        <f t="shared" si="402"/>
        <v>#N/A</v>
      </c>
      <c r="M253" s="285" t="e">
        <f t="shared" si="398"/>
        <v>#N/A</v>
      </c>
      <c r="N253" s="323" t="e">
        <f t="shared" si="384"/>
        <v>#N/A</v>
      </c>
      <c r="O253" s="474"/>
      <c r="P253" s="1038">
        <f t="shared" si="403"/>
        <v>0</v>
      </c>
      <c r="Q253" s="1324">
        <f t="shared" si="404"/>
        <v>0</v>
      </c>
      <c r="R253" s="1324">
        <f t="shared" si="405"/>
        <v>0</v>
      </c>
      <c r="S253" s="1324">
        <f t="shared" si="406"/>
        <v>0</v>
      </c>
      <c r="T253" s="1324">
        <f t="shared" si="407"/>
        <v>0</v>
      </c>
      <c r="U253" s="1324">
        <f t="shared" si="408"/>
        <v>0</v>
      </c>
      <c r="V253" s="1325">
        <f t="shared" si="409"/>
        <v>0</v>
      </c>
      <c r="W253" s="521" t="e">
        <f t="shared" si="392"/>
        <v>#N/A</v>
      </c>
      <c r="X253" s="1333" t="e">
        <f t="shared" si="393"/>
        <v>#N/A</v>
      </c>
      <c r="Y253" s="1333" t="e">
        <f t="shared" si="394"/>
        <v>#N/A</v>
      </c>
      <c r="Z253" s="1333" t="e">
        <f t="shared" si="395"/>
        <v>#N/A</v>
      </c>
      <c r="AA253" s="1333" t="e">
        <f t="shared" si="396"/>
        <v>#N/A</v>
      </c>
      <c r="AB253" s="500" t="e">
        <f t="shared" si="397"/>
        <v>#N/A</v>
      </c>
    </row>
    <row r="254" spans="2:28" x14ac:dyDescent="0.25">
      <c r="B254" s="327">
        <v>12</v>
      </c>
      <c r="C254" s="347">
        <f>TREND(C241:C242,B241:B242,B254)</f>
        <v>0</v>
      </c>
      <c r="D254" s="372">
        <f>TREND(D241:D242,B241:B242,B254)</f>
        <v>0</v>
      </c>
      <c r="E254" s="373">
        <f>TREND(E241:E242,B241:B242,B254)</f>
        <v>55</v>
      </c>
      <c r="F254" s="374">
        <f>TREND(F241:F242,B241:B242,B254)</f>
        <v>55</v>
      </c>
      <c r="G254" s="339">
        <f t="shared" si="380"/>
        <v>0</v>
      </c>
      <c r="H254" s="436">
        <f t="shared" si="381"/>
        <v>0</v>
      </c>
      <c r="I254" s="521" t="e">
        <f t="shared" si="399"/>
        <v>#N/A</v>
      </c>
      <c r="J254" s="500" t="e">
        <f t="shared" si="400"/>
        <v>#N/A</v>
      </c>
      <c r="K254" s="521" t="e">
        <f t="shared" si="401"/>
        <v>#N/A</v>
      </c>
      <c r="L254" s="500" t="e">
        <f t="shared" si="402"/>
        <v>#N/A</v>
      </c>
      <c r="M254" s="285" t="e">
        <f t="shared" si="398"/>
        <v>#N/A</v>
      </c>
      <c r="N254" s="323" t="e">
        <f t="shared" si="384"/>
        <v>#N/A</v>
      </c>
      <c r="O254" s="474"/>
      <c r="P254" s="1038">
        <f t="shared" si="403"/>
        <v>0</v>
      </c>
      <c r="Q254" s="1324">
        <f t="shared" si="404"/>
        <v>0</v>
      </c>
      <c r="R254" s="1324">
        <f t="shared" si="405"/>
        <v>0</v>
      </c>
      <c r="S254" s="1324">
        <f t="shared" si="406"/>
        <v>0</v>
      </c>
      <c r="T254" s="1324">
        <f t="shared" si="407"/>
        <v>0</v>
      </c>
      <c r="U254" s="1324">
        <f t="shared" si="408"/>
        <v>0</v>
      </c>
      <c r="V254" s="1325">
        <f t="shared" si="409"/>
        <v>0</v>
      </c>
      <c r="W254" s="521" t="e">
        <f t="shared" si="392"/>
        <v>#N/A</v>
      </c>
      <c r="X254" s="1333" t="e">
        <f t="shared" si="393"/>
        <v>#N/A</v>
      </c>
      <c r="Y254" s="1333" t="e">
        <f t="shared" si="394"/>
        <v>#N/A</v>
      </c>
      <c r="Z254" s="1333" t="e">
        <f t="shared" si="395"/>
        <v>#N/A</v>
      </c>
      <c r="AA254" s="1333" t="e">
        <f t="shared" si="396"/>
        <v>#N/A</v>
      </c>
      <c r="AB254" s="500" t="e">
        <f t="shared" si="397"/>
        <v>#N/A</v>
      </c>
    </row>
    <row r="255" spans="2:28" x14ac:dyDescent="0.25">
      <c r="B255" s="327">
        <v>13</v>
      </c>
      <c r="C255" s="347">
        <f>TREND(C241:C242,B241:B242,B255)</f>
        <v>0</v>
      </c>
      <c r="D255" s="372">
        <f>TREND(D241:D242,B241:B242,B255)</f>
        <v>0</v>
      </c>
      <c r="E255" s="373">
        <f>TREND(E241:E242,B241:B242,B255)</f>
        <v>55</v>
      </c>
      <c r="F255" s="374">
        <f>TREND(F241:F242,B241:B242,B255)</f>
        <v>55</v>
      </c>
      <c r="G255" s="339">
        <f t="shared" si="380"/>
        <v>0</v>
      </c>
      <c r="H255" s="436">
        <f t="shared" si="381"/>
        <v>0</v>
      </c>
      <c r="I255" s="521" t="e">
        <f t="shared" si="399"/>
        <v>#N/A</v>
      </c>
      <c r="J255" s="500" t="e">
        <f t="shared" si="400"/>
        <v>#N/A</v>
      </c>
      <c r="K255" s="521" t="e">
        <f t="shared" si="401"/>
        <v>#N/A</v>
      </c>
      <c r="L255" s="500" t="e">
        <f t="shared" si="402"/>
        <v>#N/A</v>
      </c>
      <c r="M255" s="285" t="e">
        <f t="shared" si="398"/>
        <v>#N/A</v>
      </c>
      <c r="N255" s="323" t="e">
        <f t="shared" si="384"/>
        <v>#N/A</v>
      </c>
      <c r="O255" s="474"/>
      <c r="P255" s="1038">
        <f t="shared" si="403"/>
        <v>0</v>
      </c>
      <c r="Q255" s="1324">
        <f t="shared" si="404"/>
        <v>0</v>
      </c>
      <c r="R255" s="1324">
        <f t="shared" si="405"/>
        <v>0</v>
      </c>
      <c r="S255" s="1324">
        <f t="shared" si="406"/>
        <v>0</v>
      </c>
      <c r="T255" s="1324">
        <f t="shared" si="407"/>
        <v>0</v>
      </c>
      <c r="U255" s="1324">
        <f t="shared" si="408"/>
        <v>0</v>
      </c>
      <c r="V255" s="1325">
        <f t="shared" si="409"/>
        <v>0</v>
      </c>
      <c r="W255" s="521" t="e">
        <f t="shared" si="392"/>
        <v>#N/A</v>
      </c>
      <c r="X255" s="1333" t="e">
        <f t="shared" si="393"/>
        <v>#N/A</v>
      </c>
      <c r="Y255" s="1333" t="e">
        <f t="shared" si="394"/>
        <v>#N/A</v>
      </c>
      <c r="Z255" s="1333" t="e">
        <f t="shared" si="395"/>
        <v>#N/A</v>
      </c>
      <c r="AA255" s="1333" t="e">
        <f t="shared" si="396"/>
        <v>#N/A</v>
      </c>
      <c r="AB255" s="500" t="e">
        <f t="shared" si="397"/>
        <v>#N/A</v>
      </c>
    </row>
    <row r="256" spans="2:28" x14ac:dyDescent="0.25">
      <c r="B256" s="327">
        <v>14</v>
      </c>
      <c r="C256" s="347">
        <f>TREND(C241:C242,B241:B242,B256)</f>
        <v>0</v>
      </c>
      <c r="D256" s="372">
        <f>TREND(D241:D242,B241:B242,B256)</f>
        <v>0</v>
      </c>
      <c r="E256" s="373">
        <f>TREND(E241:E242,B241:B242,B256)</f>
        <v>55</v>
      </c>
      <c r="F256" s="374">
        <f>TREND(F241:F242,B241:B242,B256)</f>
        <v>55</v>
      </c>
      <c r="G256" s="339">
        <f t="shared" si="380"/>
        <v>0</v>
      </c>
      <c r="H256" s="436">
        <f t="shared" si="381"/>
        <v>0</v>
      </c>
      <c r="I256" s="521" t="e">
        <f t="shared" si="399"/>
        <v>#N/A</v>
      </c>
      <c r="J256" s="500" t="e">
        <f t="shared" si="400"/>
        <v>#N/A</v>
      </c>
      <c r="K256" s="521" t="e">
        <f t="shared" si="401"/>
        <v>#N/A</v>
      </c>
      <c r="L256" s="500" t="e">
        <f t="shared" si="402"/>
        <v>#N/A</v>
      </c>
      <c r="M256" s="285" t="e">
        <f t="shared" si="398"/>
        <v>#N/A</v>
      </c>
      <c r="N256" s="323" t="e">
        <f t="shared" si="384"/>
        <v>#N/A</v>
      </c>
      <c r="O256" s="474"/>
      <c r="P256" s="1038">
        <f t="shared" si="403"/>
        <v>0</v>
      </c>
      <c r="Q256" s="1324">
        <f t="shared" si="404"/>
        <v>0</v>
      </c>
      <c r="R256" s="1324">
        <f t="shared" si="405"/>
        <v>0</v>
      </c>
      <c r="S256" s="1324">
        <f t="shared" si="406"/>
        <v>0</v>
      </c>
      <c r="T256" s="1324">
        <f t="shared" si="407"/>
        <v>0</v>
      </c>
      <c r="U256" s="1324">
        <f t="shared" si="408"/>
        <v>0</v>
      </c>
      <c r="V256" s="1325">
        <f t="shared" si="409"/>
        <v>0</v>
      </c>
      <c r="W256" s="521" t="e">
        <f t="shared" si="392"/>
        <v>#N/A</v>
      </c>
      <c r="X256" s="1333" t="e">
        <f t="shared" si="393"/>
        <v>#N/A</v>
      </c>
      <c r="Y256" s="1333" t="e">
        <f t="shared" si="394"/>
        <v>#N/A</v>
      </c>
      <c r="Z256" s="1333" t="e">
        <f t="shared" si="395"/>
        <v>#N/A</v>
      </c>
      <c r="AA256" s="1333" t="e">
        <f t="shared" si="396"/>
        <v>#N/A</v>
      </c>
      <c r="AB256" s="500" t="e">
        <f t="shared" si="397"/>
        <v>#N/A</v>
      </c>
    </row>
    <row r="257" spans="2:28" x14ac:dyDescent="0.25">
      <c r="B257" s="327">
        <v>15</v>
      </c>
      <c r="C257" s="347">
        <f>TREND(C241:C242,B241:B242,B257)</f>
        <v>0</v>
      </c>
      <c r="D257" s="372">
        <f>TREND(D241:D242,B241:B242,B257)</f>
        <v>0</v>
      </c>
      <c r="E257" s="373">
        <f>TREND(E241:E242,B241:B242,B257)</f>
        <v>55</v>
      </c>
      <c r="F257" s="374">
        <f>TREND(F241:F242,B241:B242,B257)</f>
        <v>55</v>
      </c>
      <c r="G257" s="339">
        <f t="shared" si="380"/>
        <v>0</v>
      </c>
      <c r="H257" s="436">
        <f t="shared" si="381"/>
        <v>0</v>
      </c>
      <c r="I257" s="521" t="e">
        <f t="shared" si="399"/>
        <v>#N/A</v>
      </c>
      <c r="J257" s="500" t="e">
        <f t="shared" si="400"/>
        <v>#N/A</v>
      </c>
      <c r="K257" s="521" t="e">
        <f t="shared" si="401"/>
        <v>#N/A</v>
      </c>
      <c r="L257" s="500" t="e">
        <f t="shared" si="402"/>
        <v>#N/A</v>
      </c>
      <c r="M257" s="285" t="e">
        <f t="shared" si="398"/>
        <v>#N/A</v>
      </c>
      <c r="N257" s="323" t="e">
        <f t="shared" si="384"/>
        <v>#N/A</v>
      </c>
      <c r="O257" s="474"/>
      <c r="P257" s="1038">
        <f t="shared" si="403"/>
        <v>0</v>
      </c>
      <c r="Q257" s="1324">
        <f t="shared" si="404"/>
        <v>0</v>
      </c>
      <c r="R257" s="1324">
        <f t="shared" si="405"/>
        <v>0</v>
      </c>
      <c r="S257" s="1324">
        <f t="shared" si="406"/>
        <v>0</v>
      </c>
      <c r="T257" s="1324">
        <f t="shared" si="407"/>
        <v>0</v>
      </c>
      <c r="U257" s="1324">
        <f t="shared" si="408"/>
        <v>0</v>
      </c>
      <c r="V257" s="1325">
        <f t="shared" si="409"/>
        <v>0</v>
      </c>
      <c r="W257" s="521" t="e">
        <f t="shared" si="392"/>
        <v>#N/A</v>
      </c>
      <c r="X257" s="1333" t="e">
        <f t="shared" si="393"/>
        <v>#N/A</v>
      </c>
      <c r="Y257" s="1333" t="e">
        <f t="shared" si="394"/>
        <v>#N/A</v>
      </c>
      <c r="Z257" s="1333" t="e">
        <f t="shared" si="395"/>
        <v>#N/A</v>
      </c>
      <c r="AA257" s="1333" t="e">
        <f t="shared" si="396"/>
        <v>#N/A</v>
      </c>
      <c r="AB257" s="500" t="e">
        <f t="shared" si="397"/>
        <v>#N/A</v>
      </c>
    </row>
    <row r="258" spans="2:28" x14ac:dyDescent="0.25">
      <c r="B258" s="327">
        <v>16</v>
      </c>
      <c r="C258" s="347">
        <f>TREND(C241:C242,B241:B242,B258)</f>
        <v>0</v>
      </c>
      <c r="D258" s="372">
        <f>TREND(D241:D242,B241:B242,B258)</f>
        <v>0</v>
      </c>
      <c r="E258" s="373">
        <f>TREND(E241:E242,B241:B242,B258)</f>
        <v>55</v>
      </c>
      <c r="F258" s="374">
        <f>TREND(F241:F242,B241:B242,B258)</f>
        <v>55</v>
      </c>
      <c r="G258" s="339">
        <f t="shared" si="380"/>
        <v>0</v>
      </c>
      <c r="H258" s="436">
        <f t="shared" si="381"/>
        <v>0</v>
      </c>
      <c r="I258" s="521" t="e">
        <f t="shared" si="399"/>
        <v>#N/A</v>
      </c>
      <c r="J258" s="500" t="e">
        <f t="shared" si="400"/>
        <v>#N/A</v>
      </c>
      <c r="K258" s="521" t="e">
        <f t="shared" si="401"/>
        <v>#N/A</v>
      </c>
      <c r="L258" s="500" t="e">
        <f t="shared" si="402"/>
        <v>#N/A</v>
      </c>
      <c r="M258" s="285" t="e">
        <f t="shared" si="398"/>
        <v>#N/A</v>
      </c>
      <c r="N258" s="323" t="e">
        <f t="shared" si="384"/>
        <v>#N/A</v>
      </c>
      <c r="O258" s="474"/>
      <c r="P258" s="1038">
        <f t="shared" si="403"/>
        <v>0</v>
      </c>
      <c r="Q258" s="1324">
        <f t="shared" si="404"/>
        <v>0</v>
      </c>
      <c r="R258" s="1324">
        <f t="shared" si="405"/>
        <v>0</v>
      </c>
      <c r="S258" s="1324">
        <f t="shared" si="406"/>
        <v>0</v>
      </c>
      <c r="T258" s="1324">
        <f t="shared" si="407"/>
        <v>0</v>
      </c>
      <c r="U258" s="1324">
        <f t="shared" si="408"/>
        <v>0</v>
      </c>
      <c r="V258" s="1325">
        <f t="shared" si="409"/>
        <v>0</v>
      </c>
      <c r="W258" s="521" t="e">
        <f t="shared" si="392"/>
        <v>#N/A</v>
      </c>
      <c r="X258" s="1333" t="e">
        <f t="shared" si="393"/>
        <v>#N/A</v>
      </c>
      <c r="Y258" s="1333" t="e">
        <f t="shared" si="394"/>
        <v>#N/A</v>
      </c>
      <c r="Z258" s="1333" t="e">
        <f t="shared" si="395"/>
        <v>#N/A</v>
      </c>
      <c r="AA258" s="1333" t="e">
        <f t="shared" si="396"/>
        <v>#N/A</v>
      </c>
      <c r="AB258" s="500" t="e">
        <f t="shared" si="397"/>
        <v>#N/A</v>
      </c>
    </row>
    <row r="259" spans="2:28" x14ac:dyDescent="0.25">
      <c r="B259" s="327">
        <v>17</v>
      </c>
      <c r="C259" s="347">
        <f>TREND(C241:C242,B241:B242,B259)</f>
        <v>0</v>
      </c>
      <c r="D259" s="372">
        <f>TREND(D241:D242,B241:B242,B259)</f>
        <v>0</v>
      </c>
      <c r="E259" s="373">
        <f>TREND(E241:E242,B241:B242,B259)</f>
        <v>55</v>
      </c>
      <c r="F259" s="374">
        <f>TREND(F241:F242,B241:B242,B259)</f>
        <v>55</v>
      </c>
      <c r="G259" s="339">
        <f t="shared" si="380"/>
        <v>0</v>
      </c>
      <c r="H259" s="436">
        <f t="shared" si="381"/>
        <v>0</v>
      </c>
      <c r="I259" s="521" t="e">
        <f t="shared" si="399"/>
        <v>#N/A</v>
      </c>
      <c r="J259" s="500" t="e">
        <f t="shared" si="400"/>
        <v>#N/A</v>
      </c>
      <c r="K259" s="521" t="e">
        <f t="shared" si="401"/>
        <v>#N/A</v>
      </c>
      <c r="L259" s="500" t="e">
        <f t="shared" si="402"/>
        <v>#N/A</v>
      </c>
      <c r="M259" s="285" t="e">
        <f t="shared" si="398"/>
        <v>#N/A</v>
      </c>
      <c r="N259" s="323" t="e">
        <f t="shared" si="384"/>
        <v>#N/A</v>
      </c>
      <c r="O259" s="474"/>
      <c r="P259" s="1038">
        <f t="shared" si="403"/>
        <v>0</v>
      </c>
      <c r="Q259" s="1324">
        <f t="shared" si="404"/>
        <v>0</v>
      </c>
      <c r="R259" s="1324">
        <f t="shared" si="405"/>
        <v>0</v>
      </c>
      <c r="S259" s="1324">
        <f t="shared" si="406"/>
        <v>0</v>
      </c>
      <c r="T259" s="1324">
        <f t="shared" si="407"/>
        <v>0</v>
      </c>
      <c r="U259" s="1324">
        <f t="shared" si="408"/>
        <v>0</v>
      </c>
      <c r="V259" s="1325">
        <f t="shared" si="409"/>
        <v>0</v>
      </c>
      <c r="W259" s="521" t="e">
        <f t="shared" si="392"/>
        <v>#N/A</v>
      </c>
      <c r="X259" s="1333" t="e">
        <f t="shared" si="393"/>
        <v>#N/A</v>
      </c>
      <c r="Y259" s="1333" t="e">
        <f t="shared" si="394"/>
        <v>#N/A</v>
      </c>
      <c r="Z259" s="1333" t="e">
        <f t="shared" si="395"/>
        <v>#N/A</v>
      </c>
      <c r="AA259" s="1333" t="e">
        <f t="shared" si="396"/>
        <v>#N/A</v>
      </c>
      <c r="AB259" s="500" t="e">
        <f t="shared" si="397"/>
        <v>#N/A</v>
      </c>
    </row>
    <row r="260" spans="2:28" x14ac:dyDescent="0.25">
      <c r="B260" s="327">
        <v>18</v>
      </c>
      <c r="C260" s="347">
        <f>TREND(C241:C242,B241:B242,B260)</f>
        <v>0</v>
      </c>
      <c r="D260" s="372">
        <f>TREND(D241:D242,B241:B242,B260)</f>
        <v>0</v>
      </c>
      <c r="E260" s="373">
        <f>TREND(E241:E242,B241:B242,B260)</f>
        <v>55</v>
      </c>
      <c r="F260" s="374">
        <f>TREND(F241:F242,B241:B242,B260)</f>
        <v>55</v>
      </c>
      <c r="G260" s="339">
        <f t="shared" si="380"/>
        <v>0</v>
      </c>
      <c r="H260" s="436">
        <f t="shared" si="381"/>
        <v>0</v>
      </c>
      <c r="I260" s="521" t="e">
        <f t="shared" si="399"/>
        <v>#N/A</v>
      </c>
      <c r="J260" s="500" t="e">
        <f t="shared" si="400"/>
        <v>#N/A</v>
      </c>
      <c r="K260" s="521" t="e">
        <f t="shared" si="401"/>
        <v>#N/A</v>
      </c>
      <c r="L260" s="500" t="e">
        <f t="shared" si="402"/>
        <v>#N/A</v>
      </c>
      <c r="M260" s="285" t="e">
        <f t="shared" si="398"/>
        <v>#N/A</v>
      </c>
      <c r="N260" s="323" t="e">
        <f t="shared" si="384"/>
        <v>#N/A</v>
      </c>
      <c r="O260" s="474"/>
      <c r="P260" s="1038">
        <f t="shared" si="403"/>
        <v>0</v>
      </c>
      <c r="Q260" s="1324">
        <f t="shared" si="404"/>
        <v>0</v>
      </c>
      <c r="R260" s="1324">
        <f t="shared" si="405"/>
        <v>0</v>
      </c>
      <c r="S260" s="1324">
        <f t="shared" si="406"/>
        <v>0</v>
      </c>
      <c r="T260" s="1324">
        <f t="shared" si="407"/>
        <v>0</v>
      </c>
      <c r="U260" s="1324">
        <f t="shared" si="408"/>
        <v>0</v>
      </c>
      <c r="V260" s="1325">
        <f t="shared" si="409"/>
        <v>0</v>
      </c>
      <c r="W260" s="521" t="e">
        <f t="shared" si="392"/>
        <v>#N/A</v>
      </c>
      <c r="X260" s="1333" t="e">
        <f t="shared" si="393"/>
        <v>#N/A</v>
      </c>
      <c r="Y260" s="1333" t="e">
        <f t="shared" si="394"/>
        <v>#N/A</v>
      </c>
      <c r="Z260" s="1333" t="e">
        <f t="shared" si="395"/>
        <v>#N/A</v>
      </c>
      <c r="AA260" s="1333" t="e">
        <f t="shared" si="396"/>
        <v>#N/A</v>
      </c>
      <c r="AB260" s="500" t="e">
        <f t="shared" si="397"/>
        <v>#N/A</v>
      </c>
    </row>
    <row r="261" spans="2:28" x14ac:dyDescent="0.25">
      <c r="B261" s="359">
        <v>19</v>
      </c>
      <c r="C261" s="360">
        <f>TREND(C241:C242,B241:B242,B261)</f>
        <v>0</v>
      </c>
      <c r="D261" s="375">
        <f>TREND(D241:D242,B241:B242,B261)</f>
        <v>0</v>
      </c>
      <c r="E261" s="376">
        <f>TREND(E241:E242,B241:B242,B261)</f>
        <v>55</v>
      </c>
      <c r="F261" s="377">
        <f>TREND(F241:F242,B241:B242,B261)</f>
        <v>55</v>
      </c>
      <c r="G261" s="339">
        <f t="shared" si="380"/>
        <v>0</v>
      </c>
      <c r="H261" s="435">
        <f t="shared" si="381"/>
        <v>0</v>
      </c>
      <c r="I261" s="520" t="e">
        <f t="shared" si="399"/>
        <v>#N/A</v>
      </c>
      <c r="J261" s="499" t="e">
        <f t="shared" si="400"/>
        <v>#N/A</v>
      </c>
      <c r="K261" s="520" t="e">
        <f t="shared" si="401"/>
        <v>#N/A</v>
      </c>
      <c r="L261" s="499" t="e">
        <f t="shared" si="402"/>
        <v>#N/A</v>
      </c>
      <c r="M261" s="285" t="e">
        <f t="shared" si="398"/>
        <v>#N/A</v>
      </c>
      <c r="N261" s="323" t="e">
        <f t="shared" si="384"/>
        <v>#N/A</v>
      </c>
      <c r="O261" s="474"/>
      <c r="P261" s="1037">
        <f t="shared" si="403"/>
        <v>0</v>
      </c>
      <c r="Q261" s="1322">
        <f t="shared" si="404"/>
        <v>0</v>
      </c>
      <c r="R261" s="1322">
        <f t="shared" si="405"/>
        <v>0</v>
      </c>
      <c r="S261" s="1322">
        <f t="shared" si="406"/>
        <v>0</v>
      </c>
      <c r="T261" s="1322">
        <f t="shared" si="407"/>
        <v>0</v>
      </c>
      <c r="U261" s="1322">
        <f t="shared" si="408"/>
        <v>0</v>
      </c>
      <c r="V261" s="1326">
        <f t="shared" si="409"/>
        <v>0</v>
      </c>
      <c r="W261" s="520" t="e">
        <f t="shared" si="392"/>
        <v>#N/A</v>
      </c>
      <c r="X261" s="1332" t="e">
        <f t="shared" si="393"/>
        <v>#N/A</v>
      </c>
      <c r="Y261" s="1332" t="e">
        <f t="shared" si="394"/>
        <v>#N/A</v>
      </c>
      <c r="Z261" s="1332" t="e">
        <f t="shared" si="395"/>
        <v>#N/A</v>
      </c>
      <c r="AA261" s="1332" t="e">
        <f t="shared" si="396"/>
        <v>#N/A</v>
      </c>
      <c r="AB261" s="499" t="e">
        <f t="shared" si="397"/>
        <v>#N/A</v>
      </c>
    </row>
    <row r="262" spans="2:28" x14ac:dyDescent="0.25">
      <c r="B262" s="357"/>
      <c r="C262" s="355"/>
      <c r="D262" s="355"/>
      <c r="E262" s="355"/>
      <c r="F262" s="355"/>
      <c r="G262" s="356"/>
      <c r="H262" s="356"/>
      <c r="I262" s="356"/>
      <c r="J262" s="356"/>
      <c r="K262" s="356"/>
      <c r="L262" s="356"/>
      <c r="M262" s="356"/>
      <c r="N262" s="358"/>
      <c r="O262" s="475"/>
      <c r="P262" s="358"/>
      <c r="Q262" s="358"/>
      <c r="R262" s="358"/>
      <c r="S262" s="358"/>
      <c r="T262" s="358"/>
      <c r="U262" s="358"/>
      <c r="V262" s="358"/>
      <c r="W262" s="475"/>
      <c r="X262" s="475"/>
      <c r="Y262" s="475"/>
      <c r="Z262" s="475"/>
      <c r="AA262" s="475"/>
      <c r="AB262" s="475"/>
    </row>
    <row r="263" spans="2:28" ht="13" x14ac:dyDescent="0.25">
      <c r="B263" s="329" t="s">
        <v>172</v>
      </c>
      <c r="C263" s="330"/>
      <c r="D263" s="331"/>
      <c r="E263" s="331"/>
      <c r="F263" s="331"/>
      <c r="G263" s="331"/>
      <c r="H263" s="331"/>
      <c r="I263" s="331"/>
      <c r="J263" s="332"/>
      <c r="K263" s="331"/>
      <c r="L263" s="332"/>
      <c r="M263" s="341"/>
      <c r="N263" s="342" t="e">
        <f>SUM(N241:N261)</f>
        <v>#N/A</v>
      </c>
      <c r="O263" s="477"/>
      <c r="P263" s="1039">
        <f t="shared" ref="P263" si="410">SUM(P241:P261)</f>
        <v>0</v>
      </c>
      <c r="Q263" s="1327">
        <f>SUM(Q241:Q261)</f>
        <v>0</v>
      </c>
      <c r="R263" s="1327">
        <f t="shared" ref="R263:V263" si="411">SUM(R241:R261)</f>
        <v>0</v>
      </c>
      <c r="S263" s="1327">
        <f t="shared" si="411"/>
        <v>0</v>
      </c>
      <c r="T263" s="1327">
        <f t="shared" si="411"/>
        <v>0</v>
      </c>
      <c r="U263" s="1327">
        <f t="shared" si="411"/>
        <v>0</v>
      </c>
      <c r="V263" s="1328">
        <f t="shared" si="411"/>
        <v>0</v>
      </c>
      <c r="W263" s="1334" t="e">
        <f>SUM(W241:W261)</f>
        <v>#N/A</v>
      </c>
      <c r="X263" s="1335" t="e">
        <f>SUM(X241:X261)</f>
        <v>#N/A</v>
      </c>
      <c r="Y263" s="1335" t="e">
        <f t="shared" ref="Y263:AB263" si="412">SUM(Y241:Y261)</f>
        <v>#N/A</v>
      </c>
      <c r="Z263" s="1335" t="e">
        <f t="shared" si="412"/>
        <v>#N/A</v>
      </c>
      <c r="AA263" s="1335" t="e">
        <f t="shared" si="412"/>
        <v>#N/A</v>
      </c>
      <c r="AB263" s="1040" t="e">
        <f t="shared" si="412"/>
        <v>#N/A</v>
      </c>
    </row>
    <row r="264" spans="2:28" x14ac:dyDescent="0.25">
      <c r="O264" s="450"/>
      <c r="P264" s="450"/>
      <c r="Q264" s="450"/>
      <c r="R264" s="450"/>
      <c r="S264" s="450"/>
      <c r="T264" s="450"/>
      <c r="U264" s="450"/>
      <c r="V264" s="450"/>
      <c r="W264" s="450"/>
      <c r="X264" s="450"/>
      <c r="Y264" s="450"/>
      <c r="Z264" s="450"/>
      <c r="AA264" s="450"/>
      <c r="AB264" s="450"/>
    </row>
    <row r="265" spans="2:28" x14ac:dyDescent="0.25">
      <c r="O265" s="450"/>
      <c r="P265" s="450"/>
      <c r="Q265" s="450"/>
      <c r="R265" s="450"/>
      <c r="S265" s="450"/>
      <c r="T265" s="450"/>
      <c r="U265" s="450"/>
      <c r="V265" s="450"/>
      <c r="W265" s="450"/>
      <c r="X265" s="450"/>
      <c r="Y265" s="450"/>
      <c r="Z265" s="450"/>
      <c r="AA265" s="450"/>
      <c r="AB265" s="450"/>
    </row>
    <row r="266" spans="2:28" ht="13" x14ac:dyDescent="0.25">
      <c r="B266" s="350" t="s">
        <v>255</v>
      </c>
      <c r="C266" s="88"/>
      <c r="D266" s="88"/>
      <c r="E266" s="88"/>
      <c r="F266" s="88"/>
      <c r="G266" s="88"/>
      <c r="H266" s="309"/>
      <c r="I266" s="309"/>
      <c r="J266" s="88"/>
      <c r="K266" s="309"/>
      <c r="L266" s="88"/>
      <c r="M266" s="88"/>
      <c r="N266" s="88"/>
      <c r="O266" s="273"/>
      <c r="P266" s="273"/>
      <c r="Q266" s="273"/>
      <c r="R266" s="273"/>
      <c r="S266" s="273"/>
      <c r="T266" s="273"/>
      <c r="U266" s="273"/>
      <c r="V266" s="273"/>
      <c r="W266" s="273"/>
      <c r="X266" s="273"/>
      <c r="Y266" s="273"/>
      <c r="Z266" s="273"/>
      <c r="AA266" s="273"/>
      <c r="AB266" s="273"/>
    </row>
    <row r="267" spans="2:28" x14ac:dyDescent="0.25">
      <c r="B267" s="88"/>
      <c r="C267" s="88"/>
      <c r="D267" s="274"/>
      <c r="E267" s="274"/>
      <c r="F267" s="274"/>
      <c r="G267" s="88"/>
      <c r="H267" s="88"/>
      <c r="I267" s="88"/>
      <c r="J267" s="88"/>
      <c r="K267" s="88"/>
      <c r="L267" s="88"/>
      <c r="M267" s="88"/>
      <c r="N267" s="351"/>
      <c r="O267" s="1030"/>
      <c r="P267" s="1030"/>
      <c r="Q267" s="1030"/>
      <c r="R267" s="1030"/>
      <c r="S267" s="1030"/>
      <c r="T267" s="1030"/>
      <c r="U267" s="1030"/>
      <c r="V267" s="1030"/>
      <c r="W267" s="1030"/>
      <c r="X267" s="1030"/>
      <c r="Y267" s="1030"/>
      <c r="Z267" s="1030"/>
      <c r="AA267" s="1030"/>
      <c r="AB267" s="1030"/>
    </row>
    <row r="268" spans="2:28" ht="15.5" x14ac:dyDescent="0.25">
      <c r="B268" s="317"/>
      <c r="C268" s="320" t="s">
        <v>230</v>
      </c>
      <c r="D268" s="361"/>
      <c r="E268" s="320" t="s">
        <v>231</v>
      </c>
      <c r="F268" s="333"/>
      <c r="G268" s="335" t="s">
        <v>272</v>
      </c>
      <c r="H268" s="321"/>
      <c r="I268" s="437" t="s">
        <v>510</v>
      </c>
      <c r="J268" s="438"/>
      <c r="K268" s="437" t="s">
        <v>511</v>
      </c>
      <c r="L268" s="438"/>
      <c r="M268" s="322"/>
      <c r="N268" s="343"/>
      <c r="O268" s="271"/>
      <c r="P268" s="437" t="s">
        <v>740</v>
      </c>
      <c r="Q268" s="437"/>
      <c r="R268" s="320"/>
      <c r="S268" s="320"/>
      <c r="T268" s="320"/>
      <c r="U268" s="320"/>
      <c r="V268" s="320"/>
      <c r="W268" s="437" t="s">
        <v>746</v>
      </c>
      <c r="X268" s="438"/>
      <c r="Y268" s="320"/>
      <c r="Z268" s="320"/>
      <c r="AA268" s="320"/>
      <c r="AB268" s="1315"/>
    </row>
    <row r="269" spans="2:28" ht="14" x14ac:dyDescent="0.25">
      <c r="B269" s="318"/>
      <c r="C269" s="287" t="s">
        <v>237</v>
      </c>
      <c r="D269" s="362"/>
      <c r="E269" s="287" t="s">
        <v>238</v>
      </c>
      <c r="F269" s="334"/>
      <c r="G269" s="336" t="s">
        <v>274</v>
      </c>
      <c r="H269" s="288"/>
      <c r="I269" s="439" t="s">
        <v>275</v>
      </c>
      <c r="J269" s="440"/>
      <c r="K269" s="439" t="s">
        <v>275</v>
      </c>
      <c r="L269" s="440"/>
      <c r="M269" s="284"/>
      <c r="N269" s="344"/>
      <c r="O269" s="271"/>
      <c r="P269" s="1311" t="s">
        <v>748</v>
      </c>
      <c r="Q269" s="1311"/>
      <c r="R269" s="1312"/>
      <c r="S269" s="1312"/>
      <c r="T269" s="1312"/>
      <c r="U269" s="1312"/>
      <c r="V269" s="1316"/>
      <c r="W269" s="1311" t="s">
        <v>749</v>
      </c>
      <c r="X269" s="288"/>
      <c r="Y269" s="287"/>
      <c r="Z269" s="287"/>
      <c r="AA269" s="287"/>
      <c r="AB269" s="288"/>
    </row>
    <row r="270" spans="2:28" ht="14" x14ac:dyDescent="0.25">
      <c r="B270" s="169" t="s">
        <v>135</v>
      </c>
      <c r="C270" s="316"/>
      <c r="D270" s="283"/>
      <c r="E270" s="316"/>
      <c r="F270" s="283"/>
      <c r="G270" s="316"/>
      <c r="H270" s="283"/>
      <c r="I270" s="316"/>
      <c r="J270" s="283"/>
      <c r="K270" s="316"/>
      <c r="L270" s="283"/>
      <c r="M270" s="286" t="s">
        <v>242</v>
      </c>
      <c r="N270" s="345" t="s">
        <v>139</v>
      </c>
      <c r="O270" s="465"/>
      <c r="P270" s="432"/>
      <c r="Q270" s="647"/>
      <c r="R270" s="647"/>
      <c r="S270" s="647"/>
      <c r="T270" s="647"/>
      <c r="U270" s="647"/>
      <c r="V270" s="1313"/>
      <c r="W270" s="432"/>
      <c r="X270" s="647"/>
      <c r="Y270" s="647"/>
      <c r="Z270" s="647"/>
      <c r="AA270" s="647"/>
      <c r="AB270" s="283"/>
    </row>
    <row r="271" spans="2:28" ht="17" x14ac:dyDescent="0.25">
      <c r="B271" s="319"/>
      <c r="C271" s="324" t="s">
        <v>0</v>
      </c>
      <c r="D271" s="325" t="s">
        <v>1</v>
      </c>
      <c r="E271" s="324" t="s">
        <v>0</v>
      </c>
      <c r="F271" s="325" t="s">
        <v>1</v>
      </c>
      <c r="G271" s="324" t="s">
        <v>0</v>
      </c>
      <c r="H271" s="325" t="s">
        <v>1</v>
      </c>
      <c r="I271" s="324" t="s">
        <v>0</v>
      </c>
      <c r="J271" s="325" t="s">
        <v>1</v>
      </c>
      <c r="K271" s="324" t="s">
        <v>0</v>
      </c>
      <c r="L271" s="325" t="s">
        <v>1</v>
      </c>
      <c r="M271" s="326" t="s">
        <v>148</v>
      </c>
      <c r="N271" s="346" t="s">
        <v>149</v>
      </c>
      <c r="O271" s="465"/>
      <c r="P271" s="441" t="s">
        <v>380</v>
      </c>
      <c r="Q271" s="648" t="s">
        <v>741</v>
      </c>
      <c r="R271" s="648" t="s">
        <v>742</v>
      </c>
      <c r="S271" s="648" t="s">
        <v>743</v>
      </c>
      <c r="T271" s="648" t="s">
        <v>745</v>
      </c>
      <c r="U271" s="648" t="s">
        <v>384</v>
      </c>
      <c r="V271" s="1314" t="s">
        <v>744</v>
      </c>
      <c r="W271" s="441" t="s">
        <v>380</v>
      </c>
      <c r="X271" s="648" t="s">
        <v>741</v>
      </c>
      <c r="Y271" s="648" t="s">
        <v>742</v>
      </c>
      <c r="Z271" s="648" t="s">
        <v>743</v>
      </c>
      <c r="AA271" s="648" t="s">
        <v>745</v>
      </c>
      <c r="AB271" s="325" t="s">
        <v>384</v>
      </c>
    </row>
    <row r="272" spans="2:28" x14ac:dyDescent="0.25">
      <c r="B272" s="327">
        <v>1</v>
      </c>
      <c r="C272" s="348">
        <f>NTV1NB*AnnualFactor</f>
        <v>0</v>
      </c>
      <c r="D272" s="349">
        <f>NTV1B*AnnualFactor</f>
        <v>0</v>
      </c>
      <c r="E272" s="363">
        <f>ROUND(NTS1NB,1)</f>
        <v>55</v>
      </c>
      <c r="F272" s="364">
        <f>ROUND(NTS1B,1)</f>
        <v>55</v>
      </c>
      <c r="G272" s="339">
        <f>IF(HwyRail,(IdleSpeed/60)*(GateTime1/2)*C272,ImpactedNB*C272)</f>
        <v>0</v>
      </c>
      <c r="H272" s="434">
        <f>IF(HwyRail,(IdleSpeed/60)*(GateTime1/2)*D272,ImpactedB*D272)</f>
        <v>0</v>
      </c>
      <c r="I272" s="515" t="e">
        <f>G272*0.00000110231131*(VLOOKUP(E272,EmTruck1,2)*VLOOKUP(ProjLoc,EmCost,2)+VLOOKUP(E272,EmTruck1,3)*VLOOKUP(ProjLoc,EmCost,3)*(1+CO2Uprater)^($B272+Construct-1)+VLOOKUP(E272,EmTruck1,4)*VLOOKUP(ProjLoc,EmCost,4)+VLOOKUP(E272,EmTruck1,5)*VLOOKUP(ProjLoc,EmCost,5)+VLOOKUP(E272,EmTruck1,6)*VLOOKUP(ProjLoc,EmCost,6)+VLOOKUP(E272,EmTruck1,7)*VLOOKUP(ProjLoc,EmCost,7))</f>
        <v>#N/A</v>
      </c>
      <c r="J272" s="498" t="e">
        <f>H272*0.00000110231131*(VLOOKUP(F272,EmTruck1,2)*VLOOKUP(ProjLoc,EmCost,2)+VLOOKUP(F272,EmTruck1,3)*VLOOKUP(ProjLoc,EmCost,3)*(1+CO2Uprater)^($B272+Construct-1)+VLOOKUP(F272,EmTruck1,4)*VLOOKUP(ProjLoc,EmCost,4)+VLOOKUP(F272,EmTruck1,5)*VLOOKUP(ProjLoc,EmCost,5)+VLOOKUP(F272,EmTruck1,6)*VLOOKUP(ProjLoc,EmCost,6)+VLOOKUP(F272,EmTruck1,7)*VLOOKUP(ProjLoc,EmCost,7))</f>
        <v>#N/A</v>
      </c>
      <c r="K272" s="515" t="e">
        <f>C272*0.00000110231131*(VLOOKUP(0,EmTruck1,2)*VLOOKUP(ProjLoc,EmCost,2)+VLOOKUP(0,EmTruck1,3)*VLOOKUP(ProjLoc,EmCost,3)*(1+CO2Uprater)^($B272+Construct-1)+VLOOKUP(0,EmTruck1,4)*VLOOKUP(ProjLoc,EmCost,4)+VLOOKUP(0,EmTruck1,5)*VLOOKUP(ProjLoc,EmCost,5)+VLOOKUP(0,EmTruck1,6)*VLOOKUP(ProjLoc,EmCost,6)+VLOOKUP(0,EmTruck1,7)*VLOOKUP(ProjLoc,EmCost,7))</f>
        <v>#N/A</v>
      </c>
      <c r="L272" s="498" t="e">
        <f>D272*0.00000110231131*(VLOOKUP(0,EmTruck1,2)*VLOOKUP(ProjLoc,EmCost,2)+VLOOKUP(0,EmTruck1,3)*VLOOKUP(ProjLoc,EmCost,3)*(1+CO2Uprater)^($B272+Construct-1)+VLOOKUP(0,EmTruck1,4)*VLOOKUP(ProjLoc,EmCost,4)+VLOOKUP(0,EmTruck1,5)*VLOOKUP(ProjLoc,EmCost,5)+VLOOKUP(0,EmTruck1,6)*VLOOKUP(ProjLoc,EmCost,6)+VLOOKUP(0,EmTruck1,7)*VLOOKUP(ProjLoc,EmCost,7))</f>
        <v>#N/A</v>
      </c>
      <c r="M272" s="285" t="e">
        <f>(I272+K272)-(J272+L272)</f>
        <v>#N/A</v>
      </c>
      <c r="N272" s="323" t="e">
        <f>$M272/(1+DiscRate)^($B272+Construct-1)</f>
        <v>#N/A</v>
      </c>
      <c r="O272" s="474"/>
      <c r="P272" s="1036">
        <f>0.00000110231131*(G272*VLOOKUP(E272,EmTruck1,2)-H272*VLOOKUP(F272,EmTruck1,2)+(C272-D272)*VLOOKUP(0,EmTruck1,2))</f>
        <v>0</v>
      </c>
      <c r="Q272" s="1321">
        <f t="shared" ref="Q272" si="413">0.00000110231131*(G272*VLOOKUP(E272,EmTruck1,3)-H272*VLOOKUP(F272,EmTruck1,3)+(C272-D272)*VLOOKUP(0,EmTruck1,3))</f>
        <v>0</v>
      </c>
      <c r="R272" s="1321">
        <f>0.00000110231131*(G272*VLOOKUP(E272,EmTruck1,4)-H272*VLOOKUP(F272,EmTruck1,4)+(C272-D272)*VLOOKUP(0,EmTruck1,4))</f>
        <v>0</v>
      </c>
      <c r="S272" s="1321">
        <f>0.00000110231131*(G272*VLOOKUP(E272,EmTruck1,5)-H272*VLOOKUP(F272,EmTruck1,5)+(C272-D272)*VLOOKUP(0,EmTruck1,5))</f>
        <v>0</v>
      </c>
      <c r="T272" s="1321">
        <f>0.00000110231131*(G272*VLOOKUP(E272,EmTruck1,6)-H272*VLOOKUP(F272,EmTruck1,6)+(C272-D272)*VLOOKUP(0,EmTruck1,6))</f>
        <v>0</v>
      </c>
      <c r="U272" s="1321">
        <f>0.00000110231131*(G272*VLOOKUP(E272,EmTruck1,7)-H272*VLOOKUP(F272,EmTruck1,7)+(C272-D272)*VLOOKUP(0,EmTruck1,7))</f>
        <v>0</v>
      </c>
      <c r="V272" s="1329">
        <f>0.00000110231131*(G272*VLOOKUP(E272,EmTruck1,8)-H272*VLOOKUP(F272,EmTruck1,8)+(C272-D272)*VLOOKUP(0,EmTruck1,8))</f>
        <v>0</v>
      </c>
      <c r="W272" s="515" t="e">
        <f>P272*VLOOKUP(ProjLoc,EmCost,2)/(1+DiscRate)^($B272+Construct-1)</f>
        <v>#N/A</v>
      </c>
      <c r="X272" s="1331" t="e">
        <f>Q272*VLOOKUP(ProjLoc,EmCost,3)*(1+CO2Uprater)^($B272+Construct-1)/(1+DiscRate)^($B272+Construct-1)</f>
        <v>#N/A</v>
      </c>
      <c r="Y272" s="1331" t="e">
        <f>R272*VLOOKUP(ProjLoc,EmCost,4)/(1+DiscRate)^($B272+Construct-1)</f>
        <v>#N/A</v>
      </c>
      <c r="Z272" s="1331" t="e">
        <f>S272*VLOOKUP(ProjLoc,EmCost,5)/(1+DiscRate)^($B272+Construct-1)</f>
        <v>#N/A</v>
      </c>
      <c r="AA272" s="1331" t="e">
        <f>T272*VLOOKUP(ProjLoc,EmCost,6)/(1+DiscRate)^($B272+Construct-1)</f>
        <v>#N/A</v>
      </c>
      <c r="AB272" s="498" t="e">
        <f>U272*VLOOKUP(ProjLoc,EmCost,7)/(1+DiscRate)^($B272+Construct-1)</f>
        <v>#N/A</v>
      </c>
    </row>
    <row r="273" spans="2:28" x14ac:dyDescent="0.25">
      <c r="B273" s="328">
        <v>20</v>
      </c>
      <c r="C273" s="353">
        <f>NTV20NB*AnnualFactor</f>
        <v>0</v>
      </c>
      <c r="D273" s="354">
        <f>NTV20B*AnnualFactor</f>
        <v>0</v>
      </c>
      <c r="E273" s="365">
        <f>ROUND(NTS20NB,1)</f>
        <v>55</v>
      </c>
      <c r="F273" s="366">
        <f>ROUND(NTS20B,1)</f>
        <v>55</v>
      </c>
      <c r="G273" s="339">
        <f>IF(HwyRail,(IdleSpeed/60)*(GateTime20/2)*C273,ImpactedNB*C273)</f>
        <v>0</v>
      </c>
      <c r="H273" s="435">
        <f>IF(HwyRail,(IdleSpeed/60)*(GateTime20/2)*D273,ImpactedB*D273)</f>
        <v>0</v>
      </c>
      <c r="I273" s="520" t="e">
        <f>G273*0.00000110231131*(VLOOKUP(E273,EmTruck20,2)*VLOOKUP(ProjLoc,EmCost,2)+VLOOKUP(E273,EmTruck20,3)*VLOOKUP(ProjLoc,EmCost,3)*(1+CO2Uprater)^($B273+Construct-1)+VLOOKUP(E273,EmTruck20,4)*VLOOKUP(ProjLoc,EmCost,4)+VLOOKUP(E273,EmTruck20,5)*VLOOKUP(ProjLoc,EmCost,5)+VLOOKUP(E273,EmTruck20,6)*VLOOKUP(ProjLoc,EmCost,6)+VLOOKUP(E273,EmTruck20,7)*VLOOKUP(ProjLoc,EmCost,7))</f>
        <v>#N/A</v>
      </c>
      <c r="J273" s="499" t="e">
        <f>H273*0.00000110231131*(VLOOKUP(F273,EmTruck20,2)*VLOOKUP(ProjLoc,EmCost,2)+VLOOKUP(F273,EmTruck20,3)*VLOOKUP(ProjLoc,EmCost,3)*(1+CO2Uprater)^($B273+Construct-1)+VLOOKUP(F273,EmTruck20,4)*VLOOKUP(ProjLoc,EmCost,4)+VLOOKUP(F273,EmTruck20,5)*VLOOKUP(ProjLoc,EmCost,5)+VLOOKUP(F273,EmTruck20,6)*VLOOKUP(ProjLoc,EmCost,6)+VLOOKUP(F273,EmTruck20,7)*VLOOKUP(ProjLoc,EmCost,7))</f>
        <v>#N/A</v>
      </c>
      <c r="K273" s="520" t="e">
        <f>C273*0.00000110231131*(VLOOKUP(0,EmTruck20,2)*VLOOKUP(ProjLoc,EmCost,2)+VLOOKUP(0,EmTruck20,3)*VLOOKUP(ProjLoc,EmCost,3)*(1+CO2Uprater)^($B273+Construct-1)+VLOOKUP(0,EmTruck20,4)*VLOOKUP(ProjLoc,EmCost,4)+VLOOKUP(0,EmTruck20,5)*VLOOKUP(ProjLoc,EmCost,5)+VLOOKUP(0,EmTruck20,6)*VLOOKUP(ProjLoc,EmCost,6)+VLOOKUP(0,EmTruck20,7)*VLOOKUP(ProjLoc,EmCost,7))</f>
        <v>#N/A</v>
      </c>
      <c r="L273" s="499" t="e">
        <f>D273*0.00000110231131*(VLOOKUP(0,EmTruck20,2)*VLOOKUP(ProjLoc,EmCost,2)+VLOOKUP(0,EmTruck20,3)*VLOOKUP(ProjLoc,EmCost,3)*(1+CO2Uprater)^($B273+Construct-1)+VLOOKUP(0,EmTruck20,4)*VLOOKUP(ProjLoc,EmCost,4)+VLOOKUP(0,EmTruck20,5)*VLOOKUP(ProjLoc,EmCost,5)+VLOOKUP(0,EmTruck20,6)*VLOOKUP(ProjLoc,EmCost,6)+VLOOKUP(0,EmTruck20,7)*VLOOKUP(ProjLoc,EmCost,7))</f>
        <v>#N/A</v>
      </c>
      <c r="M273" s="285" t="e">
        <f>(I273+K273)-(J273+L273)</f>
        <v>#N/A</v>
      </c>
      <c r="N273" s="323" t="e">
        <f>$M273/(1+DiscRate)^($B273+Construct-1)</f>
        <v>#N/A</v>
      </c>
      <c r="O273" s="474"/>
      <c r="P273" s="1037">
        <f>0.00000110231131*(G273*VLOOKUP(E273,EmTruck20,2)-H273*VLOOKUP(F273,EmTruck20,2)+(C273-D273)*VLOOKUP(0,EmTruck20,2))</f>
        <v>0</v>
      </c>
      <c r="Q273" s="1322">
        <f t="shared" ref="Q273" si="414">0.00000110231131*(G273*VLOOKUP(E273,EmTruck20,3)-H273*VLOOKUP(F273,EmTruck20,3)+(C273-D273)*VLOOKUP(0,EmTruck20,3))</f>
        <v>0</v>
      </c>
      <c r="R273" s="1322">
        <f>0.00000110231131*(G273*VLOOKUP(E273,EmTruck20,4)-H273*VLOOKUP(F273,EmTruck20,4)+(C273-D273)*VLOOKUP(0,EmTruck20,4))</f>
        <v>0</v>
      </c>
      <c r="S273" s="1322">
        <f>0.00000110231131*(G273*VLOOKUP(E273,EmTruck20,5)-H273*VLOOKUP(F273,EmTruck20,5)+(C273-D273)*VLOOKUP(0,EmTruck20,5))</f>
        <v>0</v>
      </c>
      <c r="T273" s="1322">
        <f>0.00000110231131*(G273*VLOOKUP(E273,EmTruck20,6)-H273*VLOOKUP(F273,EmTruck20,6)+(C273-D273)*VLOOKUP(0,EmTruck20,6))</f>
        <v>0</v>
      </c>
      <c r="U273" s="1322">
        <f>0.00000110231131*(G273*VLOOKUP(E273,EmTruck20,7)-H273*VLOOKUP(F273,EmTruck20,7)+(C273-D273)*VLOOKUP(0,EmTruck20,7))</f>
        <v>0</v>
      </c>
      <c r="V273" s="1330">
        <f>0.00000110231131*(G273*VLOOKUP(E273,EmTruck20,8)-H273*VLOOKUP(F273,EmTruck20,8)+(C273-D273)*VLOOKUP(0,EmTruck20,8))</f>
        <v>0</v>
      </c>
      <c r="W273" s="520" t="e">
        <f>P273*VLOOKUP(ProjLoc,EmCost,2)/(1+DiscRate)^($B273+Construct-1)</f>
        <v>#N/A</v>
      </c>
      <c r="X273" s="1332" t="e">
        <f>Q273*VLOOKUP(ProjLoc,EmCost,3)*(1+CO2Uprater)^($B273+Construct-1)/(1+DiscRate)^($B273+Construct-1)</f>
        <v>#N/A</v>
      </c>
      <c r="Y273" s="1332" t="e">
        <f>R273*VLOOKUP(ProjLoc,EmCost,4)/(1+DiscRate)^($B273+Construct-1)</f>
        <v>#N/A</v>
      </c>
      <c r="Z273" s="1332" t="e">
        <f>S273*VLOOKUP(ProjLoc,EmCost,5)/(1+DiscRate)^($B273+Construct-1)</f>
        <v>#N/A</v>
      </c>
      <c r="AA273" s="1332" t="e">
        <f>T273*VLOOKUP(ProjLoc,EmCost,6)/(1+DiscRate)^($B273+Construct-1)</f>
        <v>#N/A</v>
      </c>
      <c r="AB273" s="499" t="e">
        <f>U273*VLOOKUP(ProjLoc,EmCost,7)/(1+DiscRate)^($B273+Construct-1)</f>
        <v>#N/A</v>
      </c>
    </row>
    <row r="274" spans="2:28" x14ac:dyDescent="0.25">
      <c r="B274" s="357"/>
      <c r="C274" s="355"/>
      <c r="D274" s="355"/>
      <c r="E274" s="367"/>
      <c r="F274" s="367"/>
      <c r="G274" s="356"/>
      <c r="H274" s="356"/>
      <c r="I274" s="356"/>
      <c r="J274" s="356"/>
      <c r="K274" s="356"/>
      <c r="L274" s="356"/>
      <c r="M274" s="356"/>
      <c r="N274" s="358"/>
      <c r="O274" s="475"/>
      <c r="P274" s="358"/>
      <c r="Q274" s="358"/>
      <c r="R274" s="358"/>
      <c r="S274" s="358"/>
      <c r="T274" s="358"/>
      <c r="U274" s="358"/>
      <c r="V274" s="358"/>
      <c r="W274" s="358"/>
      <c r="X274" s="356"/>
      <c r="Y274" s="358"/>
      <c r="Z274" s="358"/>
      <c r="AA274" s="358"/>
      <c r="AB274" s="358"/>
    </row>
    <row r="275" spans="2:28" x14ac:dyDescent="0.25">
      <c r="B275" s="352">
        <v>2</v>
      </c>
      <c r="C275" s="368">
        <f>TREND(C272:C273,B272:B273,B275)</f>
        <v>0</v>
      </c>
      <c r="D275" s="369">
        <f>TREND(D272:D273,B272:B273,B275)</f>
        <v>0</v>
      </c>
      <c r="E275" s="370">
        <f>TREND(E272:E273,B272:B273,B275)</f>
        <v>55</v>
      </c>
      <c r="F275" s="371">
        <f>TREND(F272:F273,B272:B273,B275)</f>
        <v>55</v>
      </c>
      <c r="G275" s="339">
        <f>IF(HwyRail,TREND(G272:G273,B272:B273,B275),ImpactedNB*C275)</f>
        <v>0</v>
      </c>
      <c r="H275" s="434">
        <f>IF(HwyRail,TREND(H272:H273,B272:B273,B275),ImpactedB*D275)</f>
        <v>0</v>
      </c>
      <c r="I275" s="515" t="e">
        <f t="shared" ref="I275:J280" si="415">G275*0.00000110231131*(VLOOKUP(E275,EmTruck1,2)*VLOOKUP(ProjLoc,EmCost,2)+VLOOKUP(E275,EmTruck1,3)*VLOOKUP(ProjLoc,EmCost,3)*(1+CO2Uprater)^($B275+Construct-1)+VLOOKUP(E275,EmTruck1,4)*VLOOKUP(ProjLoc,EmCost,4)+VLOOKUP(E275,EmTruck1,5)*VLOOKUP(ProjLoc,EmCost,5)+VLOOKUP(E275,EmTruck1,6)*VLOOKUP(ProjLoc,EmCost,6)+VLOOKUP(E275,EmTruck1,7)*VLOOKUP(ProjLoc,EmCost,7))</f>
        <v>#N/A</v>
      </c>
      <c r="J275" s="498" t="e">
        <f t="shared" si="415"/>
        <v>#N/A</v>
      </c>
      <c r="K275" s="515" t="e">
        <f t="shared" ref="K275:L280" si="416">C275*0.00000110231131*(VLOOKUP(0,EmTruck1,2)*VLOOKUP(ProjLoc,EmCost,2)+VLOOKUP(0,EmTruck1,3)*VLOOKUP(ProjLoc,EmCost,3)*(1+CO2Uprater)^($B275+Construct-1)+VLOOKUP(0,EmTruck1,4)*VLOOKUP(ProjLoc,EmCost,4)+VLOOKUP(0,EmTruck1,5)*VLOOKUP(ProjLoc,EmCost,5)+VLOOKUP(0,EmTruck1,6)*VLOOKUP(ProjLoc,EmCost,6)+VLOOKUP(0,EmTruck1,7)*VLOOKUP(ProjLoc,EmCost,7))</f>
        <v>#N/A</v>
      </c>
      <c r="L275" s="498" t="e">
        <f t="shared" si="416"/>
        <v>#N/A</v>
      </c>
      <c r="M275" s="285" t="e">
        <f>(I275+K275)-(J275+L275)</f>
        <v>#N/A</v>
      </c>
      <c r="N275" s="323" t="e">
        <f t="shared" ref="N275:N292" si="417">$M275/(1+DiscRate)^($B275+Construct-1)</f>
        <v>#N/A</v>
      </c>
      <c r="O275" s="474"/>
      <c r="P275" s="1036">
        <f t="shared" ref="P275:P280" si="418">0.00000110231131*(G275*VLOOKUP(E275,EmTruck1,2)-H275*VLOOKUP(F275,EmTruck1,2)+(C275-D275)*VLOOKUP(0,EmTruck1,2))</f>
        <v>0</v>
      </c>
      <c r="Q275" s="1321">
        <f t="shared" ref="Q275:Q280" si="419">0.00000110231131*(G275*VLOOKUP(E275,EmTruck1,3)-H275*VLOOKUP(F275,EmTruck1,3)+(C275-D275)*VLOOKUP(0,EmTruck1,3))</f>
        <v>0</v>
      </c>
      <c r="R275" s="1321">
        <f t="shared" ref="R275:R280" si="420">0.00000110231131*(G275*VLOOKUP(E275,EmTruck1,4)-H275*VLOOKUP(F275,EmTruck1,4)+(C275-D275)*VLOOKUP(0,EmTruck1,4))</f>
        <v>0</v>
      </c>
      <c r="S275" s="1321">
        <f t="shared" ref="S275:S280" si="421">0.00000110231131*(G275*VLOOKUP(E275,EmTruck1,5)-H275*VLOOKUP(F275,EmTruck1,5)+(C275-D275)*VLOOKUP(0,EmTruck1,5))</f>
        <v>0</v>
      </c>
      <c r="T275" s="1321">
        <f t="shared" ref="T275:T280" si="422">0.00000110231131*(G275*VLOOKUP(E275,EmTruck1,6)-H275*VLOOKUP(F275,EmTruck1,6)+(C275-D275)*VLOOKUP(0,EmTruck1,6))</f>
        <v>0</v>
      </c>
      <c r="U275" s="1321">
        <f t="shared" ref="U275:U280" si="423">0.00000110231131*(G275*VLOOKUP(E275,EmTruck1,7)-H275*VLOOKUP(F275,EmTruck1,7)+(C275-D275)*VLOOKUP(0,EmTruck1,7))</f>
        <v>0</v>
      </c>
      <c r="V275" s="1323">
        <f t="shared" ref="V275:V280" si="424">0.00000110231131*(G275*VLOOKUP(E275,EmTruck1,8)-H275*VLOOKUP(F275,EmTruck1,8)+(C275-D275)*VLOOKUP(0,EmTruck1,8))</f>
        <v>0</v>
      </c>
      <c r="W275" s="515" t="e">
        <f t="shared" ref="W275:W292" si="425">P275*VLOOKUP(ProjLoc,EmCost,2)/(1+DiscRate)^($B275+Construct-1)</f>
        <v>#N/A</v>
      </c>
      <c r="X275" s="1331" t="e">
        <f t="shared" ref="X275:X292" si="426">Q275*VLOOKUP(ProjLoc,EmCost,3)*(1+CO2Uprater)^($B275+Construct-1)/(1+DiscRate)^($B275+Construct-1)</f>
        <v>#N/A</v>
      </c>
      <c r="Y275" s="1331" t="e">
        <f t="shared" ref="Y275:Y292" si="427">R275*VLOOKUP(ProjLoc,EmCost,4)/(1+DiscRate)^($B275+Construct-1)</f>
        <v>#N/A</v>
      </c>
      <c r="Z275" s="1331" t="e">
        <f t="shared" ref="Z275:Z292" si="428">S275*VLOOKUP(ProjLoc,EmCost,5)/(1+DiscRate)^($B275+Construct-1)</f>
        <v>#N/A</v>
      </c>
      <c r="AA275" s="1331" t="e">
        <f t="shared" ref="AA275:AA292" si="429">T275*VLOOKUP(ProjLoc,EmCost,6)/(1+DiscRate)^($B275+Construct-1)</f>
        <v>#N/A</v>
      </c>
      <c r="AB275" s="498" t="e">
        <f t="shared" ref="AB275:AB292" si="430">U275*VLOOKUP(ProjLoc,EmCost,7)/(1+DiscRate)^($B275+Construct-1)</f>
        <v>#N/A</v>
      </c>
    </row>
    <row r="276" spans="2:28" x14ac:dyDescent="0.25">
      <c r="B276" s="327">
        <v>3</v>
      </c>
      <c r="C276" s="347">
        <f>TREND(C272:C273,B272:B273,B276)</f>
        <v>0</v>
      </c>
      <c r="D276" s="372">
        <f>TREND(D272:D273,B272:B273,B276)</f>
        <v>0</v>
      </c>
      <c r="E276" s="373">
        <f>TREND(E272:E273,B272:B273,B276)</f>
        <v>55</v>
      </c>
      <c r="F276" s="374">
        <f>TREND(F272:F273,B272:B273,B276)</f>
        <v>55</v>
      </c>
      <c r="G276" s="339">
        <f>IF(HwyRail,TREND(G272:G273,B272:B273,B276),ImpactedNB*C276)</f>
        <v>0</v>
      </c>
      <c r="H276" s="436">
        <f>IF(HwyRail,TREND(H272:H273,B272:B273,B276),ImpactedB*D276)</f>
        <v>0</v>
      </c>
      <c r="I276" s="521" t="e">
        <f t="shared" si="415"/>
        <v>#N/A</v>
      </c>
      <c r="J276" s="500" t="e">
        <f t="shared" si="415"/>
        <v>#N/A</v>
      </c>
      <c r="K276" s="521" t="e">
        <f t="shared" si="416"/>
        <v>#N/A</v>
      </c>
      <c r="L276" s="500" t="e">
        <f t="shared" si="416"/>
        <v>#N/A</v>
      </c>
      <c r="M276" s="285" t="e">
        <f t="shared" ref="M276:M292" si="431">(I276+K276)-(J276+L276)</f>
        <v>#N/A</v>
      </c>
      <c r="N276" s="323" t="e">
        <f t="shared" si="417"/>
        <v>#N/A</v>
      </c>
      <c r="O276" s="474"/>
      <c r="P276" s="1038">
        <f t="shared" si="418"/>
        <v>0</v>
      </c>
      <c r="Q276" s="1324">
        <f t="shared" si="419"/>
        <v>0</v>
      </c>
      <c r="R276" s="1324">
        <f t="shared" si="420"/>
        <v>0</v>
      </c>
      <c r="S276" s="1324">
        <f t="shared" si="421"/>
        <v>0</v>
      </c>
      <c r="T276" s="1324">
        <f t="shared" si="422"/>
        <v>0</v>
      </c>
      <c r="U276" s="1324">
        <f t="shared" si="423"/>
        <v>0</v>
      </c>
      <c r="V276" s="1325">
        <f t="shared" si="424"/>
        <v>0</v>
      </c>
      <c r="W276" s="521" t="e">
        <f t="shared" si="425"/>
        <v>#N/A</v>
      </c>
      <c r="X276" s="1333" t="e">
        <f t="shared" si="426"/>
        <v>#N/A</v>
      </c>
      <c r="Y276" s="1333" t="e">
        <f t="shared" si="427"/>
        <v>#N/A</v>
      </c>
      <c r="Z276" s="1333" t="e">
        <f t="shared" si="428"/>
        <v>#N/A</v>
      </c>
      <c r="AA276" s="1333" t="e">
        <f t="shared" si="429"/>
        <v>#N/A</v>
      </c>
      <c r="AB276" s="500" t="e">
        <f t="shared" si="430"/>
        <v>#N/A</v>
      </c>
    </row>
    <row r="277" spans="2:28" x14ac:dyDescent="0.25">
      <c r="B277" s="327">
        <v>4</v>
      </c>
      <c r="C277" s="347">
        <f>TREND(C272:C273,B272:B273,B277)</f>
        <v>0</v>
      </c>
      <c r="D277" s="372">
        <f>TREND(D272:D273,B272:B273,B277)</f>
        <v>0</v>
      </c>
      <c r="E277" s="373">
        <f>TREND(E272:E273,B272:B273,B277)</f>
        <v>55</v>
      </c>
      <c r="F277" s="374">
        <f>TREND(F272:F273,B272:B273,B277)</f>
        <v>55</v>
      </c>
      <c r="G277" s="339">
        <f>IF(HwyRail,TREND(G272:G273,B272:B273,B277),ImpactedNB*C277)</f>
        <v>0</v>
      </c>
      <c r="H277" s="436">
        <f>IF(HwyRail,TREND(H272:H273,B272:B273,B277),ImpactedB*D277)</f>
        <v>0</v>
      </c>
      <c r="I277" s="521" t="e">
        <f t="shared" si="415"/>
        <v>#N/A</v>
      </c>
      <c r="J277" s="500" t="e">
        <f t="shared" si="415"/>
        <v>#N/A</v>
      </c>
      <c r="K277" s="521" t="e">
        <f t="shared" si="416"/>
        <v>#N/A</v>
      </c>
      <c r="L277" s="500" t="e">
        <f t="shared" si="416"/>
        <v>#N/A</v>
      </c>
      <c r="M277" s="285" t="e">
        <f t="shared" si="431"/>
        <v>#N/A</v>
      </c>
      <c r="N277" s="323" t="e">
        <f t="shared" si="417"/>
        <v>#N/A</v>
      </c>
      <c r="O277" s="474"/>
      <c r="P277" s="1038">
        <f t="shared" si="418"/>
        <v>0</v>
      </c>
      <c r="Q277" s="1324">
        <f t="shared" si="419"/>
        <v>0</v>
      </c>
      <c r="R277" s="1324">
        <f t="shared" si="420"/>
        <v>0</v>
      </c>
      <c r="S277" s="1324">
        <f t="shared" si="421"/>
        <v>0</v>
      </c>
      <c r="T277" s="1324">
        <f t="shared" si="422"/>
        <v>0</v>
      </c>
      <c r="U277" s="1324">
        <f t="shared" si="423"/>
        <v>0</v>
      </c>
      <c r="V277" s="1325">
        <f t="shared" si="424"/>
        <v>0</v>
      </c>
      <c r="W277" s="521" t="e">
        <f t="shared" si="425"/>
        <v>#N/A</v>
      </c>
      <c r="X277" s="1333" t="e">
        <f t="shared" si="426"/>
        <v>#N/A</v>
      </c>
      <c r="Y277" s="1333" t="e">
        <f t="shared" si="427"/>
        <v>#N/A</v>
      </c>
      <c r="Z277" s="1333" t="e">
        <f t="shared" si="428"/>
        <v>#N/A</v>
      </c>
      <c r="AA277" s="1333" t="e">
        <f t="shared" si="429"/>
        <v>#N/A</v>
      </c>
      <c r="AB277" s="500" t="e">
        <f t="shared" si="430"/>
        <v>#N/A</v>
      </c>
    </row>
    <row r="278" spans="2:28" x14ac:dyDescent="0.25">
      <c r="B278" s="327">
        <v>5</v>
      </c>
      <c r="C278" s="347">
        <f>TREND(C272:C273,B272:B273,B278)</f>
        <v>0</v>
      </c>
      <c r="D278" s="372">
        <f>TREND(D272:D273,B272:B273,B278)</f>
        <v>0</v>
      </c>
      <c r="E278" s="373">
        <f>TREND(E272:E273,B272:B273,B278)</f>
        <v>55</v>
      </c>
      <c r="F278" s="374">
        <f>TREND(F272:F273,B272:B273,B278)</f>
        <v>55</v>
      </c>
      <c r="G278" s="339">
        <f>IF(HwyRail,TREND(G272:G273,B272:B273,B278),ImpactedNB*C278)</f>
        <v>0</v>
      </c>
      <c r="H278" s="436">
        <f>IF(HwyRail,TREND(H272:H273,B272:B273,B278),ImpactedB*D278)</f>
        <v>0</v>
      </c>
      <c r="I278" s="521" t="e">
        <f t="shared" si="415"/>
        <v>#N/A</v>
      </c>
      <c r="J278" s="500" t="e">
        <f t="shared" si="415"/>
        <v>#N/A</v>
      </c>
      <c r="K278" s="521" t="e">
        <f t="shared" si="416"/>
        <v>#N/A</v>
      </c>
      <c r="L278" s="500" t="e">
        <f t="shared" si="416"/>
        <v>#N/A</v>
      </c>
      <c r="M278" s="285" t="e">
        <f t="shared" si="431"/>
        <v>#N/A</v>
      </c>
      <c r="N278" s="323" t="e">
        <f t="shared" si="417"/>
        <v>#N/A</v>
      </c>
      <c r="O278" s="474"/>
      <c r="P278" s="1038">
        <f t="shared" si="418"/>
        <v>0</v>
      </c>
      <c r="Q278" s="1324">
        <f t="shared" si="419"/>
        <v>0</v>
      </c>
      <c r="R278" s="1324">
        <f t="shared" si="420"/>
        <v>0</v>
      </c>
      <c r="S278" s="1324">
        <f t="shared" si="421"/>
        <v>0</v>
      </c>
      <c r="T278" s="1324">
        <f t="shared" si="422"/>
        <v>0</v>
      </c>
      <c r="U278" s="1324">
        <f t="shared" si="423"/>
        <v>0</v>
      </c>
      <c r="V278" s="1325">
        <f t="shared" si="424"/>
        <v>0</v>
      </c>
      <c r="W278" s="521" t="e">
        <f t="shared" si="425"/>
        <v>#N/A</v>
      </c>
      <c r="X278" s="1333" t="e">
        <f t="shared" si="426"/>
        <v>#N/A</v>
      </c>
      <c r="Y278" s="1333" t="e">
        <f t="shared" si="427"/>
        <v>#N/A</v>
      </c>
      <c r="Z278" s="1333" t="e">
        <f t="shared" si="428"/>
        <v>#N/A</v>
      </c>
      <c r="AA278" s="1333" t="e">
        <f t="shared" si="429"/>
        <v>#N/A</v>
      </c>
      <c r="AB278" s="500" t="e">
        <f t="shared" si="430"/>
        <v>#N/A</v>
      </c>
    </row>
    <row r="279" spans="2:28" x14ac:dyDescent="0.25">
      <c r="B279" s="327">
        <v>6</v>
      </c>
      <c r="C279" s="347">
        <f>TREND(C272:C273,B272:B273,B279)</f>
        <v>0</v>
      </c>
      <c r="D279" s="372">
        <f>TREND(D272:D273,B272:B273,B279)</f>
        <v>0</v>
      </c>
      <c r="E279" s="373">
        <f>TREND(E272:E273,B272:B273,B279)</f>
        <v>55</v>
      </c>
      <c r="F279" s="374">
        <f>TREND(F272:F273,B272:B273,B279)</f>
        <v>55</v>
      </c>
      <c r="G279" s="339">
        <f>IF(HwyRail,TREND(G272:G273,B272:B273,B279),ImpactedNB*C279)</f>
        <v>0</v>
      </c>
      <c r="H279" s="436">
        <f>IF(HwyRail,TREND(H272:H273,B272:B273,B279),ImpactedB*D279)</f>
        <v>0</v>
      </c>
      <c r="I279" s="521" t="e">
        <f t="shared" si="415"/>
        <v>#N/A</v>
      </c>
      <c r="J279" s="500" t="e">
        <f t="shared" si="415"/>
        <v>#N/A</v>
      </c>
      <c r="K279" s="521" t="e">
        <f t="shared" si="416"/>
        <v>#N/A</v>
      </c>
      <c r="L279" s="500" t="e">
        <f t="shared" si="416"/>
        <v>#N/A</v>
      </c>
      <c r="M279" s="285" t="e">
        <f t="shared" si="431"/>
        <v>#N/A</v>
      </c>
      <c r="N279" s="323" t="e">
        <f t="shared" si="417"/>
        <v>#N/A</v>
      </c>
      <c r="O279" s="474"/>
      <c r="P279" s="1038">
        <f t="shared" si="418"/>
        <v>0</v>
      </c>
      <c r="Q279" s="1324">
        <f t="shared" si="419"/>
        <v>0</v>
      </c>
      <c r="R279" s="1324">
        <f t="shared" si="420"/>
        <v>0</v>
      </c>
      <c r="S279" s="1324">
        <f t="shared" si="421"/>
        <v>0</v>
      </c>
      <c r="T279" s="1324">
        <f t="shared" si="422"/>
        <v>0</v>
      </c>
      <c r="U279" s="1324">
        <f t="shared" si="423"/>
        <v>0</v>
      </c>
      <c r="V279" s="1325">
        <f t="shared" si="424"/>
        <v>0</v>
      </c>
      <c r="W279" s="521" t="e">
        <f t="shared" si="425"/>
        <v>#N/A</v>
      </c>
      <c r="X279" s="1333" t="e">
        <f t="shared" si="426"/>
        <v>#N/A</v>
      </c>
      <c r="Y279" s="1333" t="e">
        <f t="shared" si="427"/>
        <v>#N/A</v>
      </c>
      <c r="Z279" s="1333" t="e">
        <f t="shared" si="428"/>
        <v>#N/A</v>
      </c>
      <c r="AA279" s="1333" t="e">
        <f t="shared" si="429"/>
        <v>#N/A</v>
      </c>
      <c r="AB279" s="500" t="e">
        <f t="shared" si="430"/>
        <v>#N/A</v>
      </c>
    </row>
    <row r="280" spans="2:28" x14ac:dyDescent="0.25">
      <c r="B280" s="327">
        <v>7</v>
      </c>
      <c r="C280" s="347">
        <f>TREND(C272:C273,B272:B273,B280)</f>
        <v>0</v>
      </c>
      <c r="D280" s="372">
        <f>TREND(D272:D273,B272:B273,B280)</f>
        <v>0</v>
      </c>
      <c r="E280" s="373">
        <f>TREND(E272:E273,B272:B273,B280)</f>
        <v>55</v>
      </c>
      <c r="F280" s="374">
        <f>TREND(F272:F273,B272:B273,B280)</f>
        <v>55</v>
      </c>
      <c r="G280" s="339">
        <f>IF(HwyRail,TREND(G272:G273,B272:B273,B280),ImpactedNB*C280)</f>
        <v>0</v>
      </c>
      <c r="H280" s="436">
        <f>IF(HwyRail,TREND(H272:H273,B272:B273,B280),ImpactedB*D280)</f>
        <v>0</v>
      </c>
      <c r="I280" s="521" t="e">
        <f t="shared" si="415"/>
        <v>#N/A</v>
      </c>
      <c r="J280" s="500" t="e">
        <f t="shared" si="415"/>
        <v>#N/A</v>
      </c>
      <c r="K280" s="521" t="e">
        <f t="shared" si="416"/>
        <v>#N/A</v>
      </c>
      <c r="L280" s="500" t="e">
        <f t="shared" si="416"/>
        <v>#N/A</v>
      </c>
      <c r="M280" s="285" t="e">
        <f t="shared" si="431"/>
        <v>#N/A</v>
      </c>
      <c r="N280" s="323" t="e">
        <f t="shared" si="417"/>
        <v>#N/A</v>
      </c>
      <c r="O280" s="474"/>
      <c r="P280" s="1038">
        <f t="shared" si="418"/>
        <v>0</v>
      </c>
      <c r="Q280" s="1324">
        <f t="shared" si="419"/>
        <v>0</v>
      </c>
      <c r="R280" s="1324">
        <f t="shared" si="420"/>
        <v>0</v>
      </c>
      <c r="S280" s="1324">
        <f t="shared" si="421"/>
        <v>0</v>
      </c>
      <c r="T280" s="1324">
        <f t="shared" si="422"/>
        <v>0</v>
      </c>
      <c r="U280" s="1324">
        <f t="shared" si="423"/>
        <v>0</v>
      </c>
      <c r="V280" s="1325">
        <f t="shared" si="424"/>
        <v>0</v>
      </c>
      <c r="W280" s="521" t="e">
        <f t="shared" si="425"/>
        <v>#N/A</v>
      </c>
      <c r="X280" s="1333" t="e">
        <f t="shared" si="426"/>
        <v>#N/A</v>
      </c>
      <c r="Y280" s="1333" t="e">
        <f t="shared" si="427"/>
        <v>#N/A</v>
      </c>
      <c r="Z280" s="1333" t="e">
        <f t="shared" si="428"/>
        <v>#N/A</v>
      </c>
      <c r="AA280" s="1333" t="e">
        <f t="shared" si="429"/>
        <v>#N/A</v>
      </c>
      <c r="AB280" s="500" t="e">
        <f t="shared" si="430"/>
        <v>#N/A</v>
      </c>
    </row>
    <row r="281" spans="2:28" x14ac:dyDescent="0.25">
      <c r="B281" s="327">
        <v>8</v>
      </c>
      <c r="C281" s="347">
        <f>TREND(C272:C273,B272:B273,B281)</f>
        <v>0</v>
      </c>
      <c r="D281" s="372">
        <f>TREND(D272:D273,B272:B273,B281)</f>
        <v>0</v>
      </c>
      <c r="E281" s="373">
        <f>TREND(E272:E273,B272:B273,B281)</f>
        <v>55</v>
      </c>
      <c r="F281" s="374">
        <f>TREND(F272:F273,B272:B273,B281)</f>
        <v>55</v>
      </c>
      <c r="G281" s="339">
        <f>IF(HwyRail,TREND(G272:G273,B272:B273,B281),ImpactedNB*C281)</f>
        <v>0</v>
      </c>
      <c r="H281" s="436">
        <f>IF(HwyRail,TREND(H272:H273,B272:B273,B281),ImpactedB*D281)</f>
        <v>0</v>
      </c>
      <c r="I281" s="521" t="e">
        <f t="shared" ref="I281:I292" si="432">G281*0.00000110231131*(VLOOKUP(E281,EmTruck20,2)*VLOOKUP(ProjLoc,EmCost,2)+VLOOKUP(E281,EmTruck20,3)*VLOOKUP(ProjLoc,EmCost,3)*(1+CO2Uprater)^($B281+Construct-1)+VLOOKUP(E281,EmTruck20,4)*VLOOKUP(ProjLoc,EmCost,4)+VLOOKUP(E281,EmTruck20,5)*VLOOKUP(ProjLoc,EmCost,5)+VLOOKUP(E281,EmTruck20,6)*VLOOKUP(ProjLoc,EmCost,6)+VLOOKUP(E281,EmTruck20,7)*VLOOKUP(ProjLoc,EmCost,7))</f>
        <v>#N/A</v>
      </c>
      <c r="J281" s="500" t="e">
        <f t="shared" ref="J281:J292" si="433">H281*0.00000110231131*(VLOOKUP(F281,EmTruck20,2)*VLOOKUP(ProjLoc,EmCost,2)+VLOOKUP(F281,EmTruck20,3)*VLOOKUP(ProjLoc,EmCost,3)*(1+CO2Uprater)^($B281+Construct-1)+VLOOKUP(F281,EmTruck20,4)*VLOOKUP(ProjLoc,EmCost,4)+VLOOKUP(F281,EmTruck20,5)*VLOOKUP(ProjLoc,EmCost,5)+VLOOKUP(F281,EmTruck20,6)*VLOOKUP(ProjLoc,EmCost,6)+VLOOKUP(F281,EmTruck20,7)*VLOOKUP(ProjLoc,EmCost,7))</f>
        <v>#N/A</v>
      </c>
      <c r="K281" s="521" t="e">
        <f t="shared" ref="K281:K292" si="434">C281*0.00000110231131*(VLOOKUP(0,EmTruck20,2)*VLOOKUP(ProjLoc,EmCost,2)+VLOOKUP(0,EmTruck20,3)*VLOOKUP(ProjLoc,EmCost,3)*(1+CO2Uprater)^($B281+Construct-1)+VLOOKUP(0,EmTruck20,4)*VLOOKUP(ProjLoc,EmCost,4)+VLOOKUP(0,EmTruck20,5)*VLOOKUP(ProjLoc,EmCost,5)+VLOOKUP(0,EmTruck20,6)*VLOOKUP(ProjLoc,EmCost,6)+VLOOKUP(0,EmTruck20,7)*VLOOKUP(ProjLoc,EmCost,7))</f>
        <v>#N/A</v>
      </c>
      <c r="L281" s="500" t="e">
        <f t="shared" ref="L281:L292" si="435">D281*0.00000110231131*(VLOOKUP(0,EmTruck20,2)*VLOOKUP(ProjLoc,EmCost,2)+VLOOKUP(0,EmTruck20,3)*VLOOKUP(ProjLoc,EmCost,3)*(1+CO2Uprater)^($B281+Construct-1)+VLOOKUP(0,EmTruck20,4)*VLOOKUP(ProjLoc,EmCost,4)+VLOOKUP(0,EmTruck20,5)*VLOOKUP(ProjLoc,EmCost,5)+VLOOKUP(0,EmTruck20,6)*VLOOKUP(ProjLoc,EmCost,6)+VLOOKUP(0,EmTruck20,7)*VLOOKUP(ProjLoc,EmCost,7))</f>
        <v>#N/A</v>
      </c>
      <c r="M281" s="285" t="e">
        <f t="shared" si="431"/>
        <v>#N/A</v>
      </c>
      <c r="N281" s="323" t="e">
        <f t="shared" si="417"/>
        <v>#N/A</v>
      </c>
      <c r="O281" s="474"/>
      <c r="P281" s="1038">
        <f t="shared" ref="P281:P292" si="436">0.00000110231131*(G281*VLOOKUP(E281,EmTruck20,2)-H281*VLOOKUP(F281,EmTruck20,2)+(C281-D281)*VLOOKUP(0,EmTruck20,2))</f>
        <v>0</v>
      </c>
      <c r="Q281" s="1324">
        <f t="shared" ref="Q281:Q292" si="437">0.00000110231131*(G281*VLOOKUP(E281,EmTruck20,3)-H281*VLOOKUP(F281,EmTruck20,3)+(C281-D281)*VLOOKUP(0,EmTruck20,3))</f>
        <v>0</v>
      </c>
      <c r="R281" s="1324">
        <f t="shared" ref="R281:R292" si="438">0.00000110231131*(G281*VLOOKUP(E281,EmTruck20,4)-H281*VLOOKUP(F281,EmTruck20,4)+(C281-D281)*VLOOKUP(0,EmTruck20,4))</f>
        <v>0</v>
      </c>
      <c r="S281" s="1324">
        <f t="shared" ref="S281:S292" si="439">0.00000110231131*(G281*VLOOKUP(E281,EmTruck20,5)-H281*VLOOKUP(F281,EmTruck20,5)+(C281-D281)*VLOOKUP(0,EmTruck20,5))</f>
        <v>0</v>
      </c>
      <c r="T281" s="1324">
        <f t="shared" ref="T281:T292" si="440">0.00000110231131*(G281*VLOOKUP(E281,EmTruck20,6)-H281*VLOOKUP(F281,EmTruck20,6)+(C281-D281)*VLOOKUP(0,EmTruck20,6))</f>
        <v>0</v>
      </c>
      <c r="U281" s="1324">
        <f t="shared" ref="U281:U292" si="441">0.00000110231131*(G281*VLOOKUP(E281,EmTruck20,7)-H281*VLOOKUP(F281,EmTruck20,7)+(C281-D281)*VLOOKUP(0,EmTruck20,7))</f>
        <v>0</v>
      </c>
      <c r="V281" s="1325">
        <f t="shared" ref="V281:V292" si="442">0.00000110231131*(G281*VLOOKUP(E281,EmTruck20,8)-H281*VLOOKUP(F281,EmTruck20,8)+(C281-D281)*VLOOKUP(0,EmTruck20,8))</f>
        <v>0</v>
      </c>
      <c r="W281" s="521" t="e">
        <f t="shared" si="425"/>
        <v>#N/A</v>
      </c>
      <c r="X281" s="1333" t="e">
        <f t="shared" si="426"/>
        <v>#N/A</v>
      </c>
      <c r="Y281" s="1333" t="e">
        <f t="shared" si="427"/>
        <v>#N/A</v>
      </c>
      <c r="Z281" s="1333" t="e">
        <f t="shared" si="428"/>
        <v>#N/A</v>
      </c>
      <c r="AA281" s="1333" t="e">
        <f t="shared" si="429"/>
        <v>#N/A</v>
      </c>
      <c r="AB281" s="500" t="e">
        <f t="shared" si="430"/>
        <v>#N/A</v>
      </c>
    </row>
    <row r="282" spans="2:28" x14ac:dyDescent="0.25">
      <c r="B282" s="327">
        <v>9</v>
      </c>
      <c r="C282" s="347">
        <f>TREND(C272:C273,B272:B273,B282)</f>
        <v>0</v>
      </c>
      <c r="D282" s="372">
        <f>TREND(D272:D273,B272:B273,B282)</f>
        <v>0</v>
      </c>
      <c r="E282" s="373">
        <f>TREND(E272:E273,B272:B273,B282)</f>
        <v>55</v>
      </c>
      <c r="F282" s="374">
        <f>TREND(F272:F273,B272:B273,B282)</f>
        <v>55</v>
      </c>
      <c r="G282" s="339">
        <f>IF(HwyRail,TREND(G272:G273,B272:B273,B282),ImpactedNB*C282)</f>
        <v>0</v>
      </c>
      <c r="H282" s="436">
        <f>IF(HwyRail,TREND(H272:H273,B272:B273,B282),ImpactedB*D282)</f>
        <v>0</v>
      </c>
      <c r="I282" s="521" t="e">
        <f t="shared" si="432"/>
        <v>#N/A</v>
      </c>
      <c r="J282" s="500" t="e">
        <f t="shared" si="433"/>
        <v>#N/A</v>
      </c>
      <c r="K282" s="521" t="e">
        <f t="shared" si="434"/>
        <v>#N/A</v>
      </c>
      <c r="L282" s="500" t="e">
        <f t="shared" si="435"/>
        <v>#N/A</v>
      </c>
      <c r="M282" s="285" t="e">
        <f t="shared" si="431"/>
        <v>#N/A</v>
      </c>
      <c r="N282" s="323" t="e">
        <f t="shared" si="417"/>
        <v>#N/A</v>
      </c>
      <c r="O282" s="474"/>
      <c r="P282" s="1038">
        <f t="shared" si="436"/>
        <v>0</v>
      </c>
      <c r="Q282" s="1324">
        <f t="shared" si="437"/>
        <v>0</v>
      </c>
      <c r="R282" s="1324">
        <f t="shared" si="438"/>
        <v>0</v>
      </c>
      <c r="S282" s="1324">
        <f t="shared" si="439"/>
        <v>0</v>
      </c>
      <c r="T282" s="1324">
        <f t="shared" si="440"/>
        <v>0</v>
      </c>
      <c r="U282" s="1324">
        <f t="shared" si="441"/>
        <v>0</v>
      </c>
      <c r="V282" s="1325">
        <f t="shared" si="442"/>
        <v>0</v>
      </c>
      <c r="W282" s="521" t="e">
        <f t="shared" si="425"/>
        <v>#N/A</v>
      </c>
      <c r="X282" s="1333" t="e">
        <f t="shared" si="426"/>
        <v>#N/A</v>
      </c>
      <c r="Y282" s="1333" t="e">
        <f t="shared" si="427"/>
        <v>#N/A</v>
      </c>
      <c r="Z282" s="1333" t="e">
        <f t="shared" si="428"/>
        <v>#N/A</v>
      </c>
      <c r="AA282" s="1333" t="e">
        <f t="shared" si="429"/>
        <v>#N/A</v>
      </c>
      <c r="AB282" s="500" t="e">
        <f t="shared" si="430"/>
        <v>#N/A</v>
      </c>
    </row>
    <row r="283" spans="2:28" x14ac:dyDescent="0.25">
      <c r="B283" s="327">
        <v>10</v>
      </c>
      <c r="C283" s="347">
        <f>TREND(C272:C273,B272:B273,B283)</f>
        <v>0</v>
      </c>
      <c r="D283" s="372">
        <f>TREND(D272:D273,B272:B273,B283)</f>
        <v>0</v>
      </c>
      <c r="E283" s="373">
        <f>TREND(E272:E273,B272:B273,B283)</f>
        <v>55</v>
      </c>
      <c r="F283" s="374">
        <f>TREND(F272:F273,B272:B273,B283)</f>
        <v>55</v>
      </c>
      <c r="G283" s="339">
        <f>IF(HwyRail,TREND(G272:G273,B272:B273,B283),ImpactedNB*C283)</f>
        <v>0</v>
      </c>
      <c r="H283" s="436">
        <f>IF(HwyRail,TREND(H272:H273,B272:B273,B283),ImpactedB*D283)</f>
        <v>0</v>
      </c>
      <c r="I283" s="521" t="e">
        <f t="shared" si="432"/>
        <v>#N/A</v>
      </c>
      <c r="J283" s="500" t="e">
        <f t="shared" si="433"/>
        <v>#N/A</v>
      </c>
      <c r="K283" s="521" t="e">
        <f t="shared" si="434"/>
        <v>#N/A</v>
      </c>
      <c r="L283" s="500" t="e">
        <f t="shared" si="435"/>
        <v>#N/A</v>
      </c>
      <c r="M283" s="285" t="e">
        <f t="shared" si="431"/>
        <v>#N/A</v>
      </c>
      <c r="N283" s="323" t="e">
        <f t="shared" si="417"/>
        <v>#N/A</v>
      </c>
      <c r="O283" s="474"/>
      <c r="P283" s="1038">
        <f t="shared" si="436"/>
        <v>0</v>
      </c>
      <c r="Q283" s="1324">
        <f t="shared" si="437"/>
        <v>0</v>
      </c>
      <c r="R283" s="1324">
        <f t="shared" si="438"/>
        <v>0</v>
      </c>
      <c r="S283" s="1324">
        <f t="shared" si="439"/>
        <v>0</v>
      </c>
      <c r="T283" s="1324">
        <f t="shared" si="440"/>
        <v>0</v>
      </c>
      <c r="U283" s="1324">
        <f t="shared" si="441"/>
        <v>0</v>
      </c>
      <c r="V283" s="1325">
        <f t="shared" si="442"/>
        <v>0</v>
      </c>
      <c r="W283" s="521" t="e">
        <f t="shared" si="425"/>
        <v>#N/A</v>
      </c>
      <c r="X283" s="1333" t="e">
        <f t="shared" si="426"/>
        <v>#N/A</v>
      </c>
      <c r="Y283" s="1333" t="e">
        <f t="shared" si="427"/>
        <v>#N/A</v>
      </c>
      <c r="Z283" s="1333" t="e">
        <f t="shared" si="428"/>
        <v>#N/A</v>
      </c>
      <c r="AA283" s="1333" t="e">
        <f t="shared" si="429"/>
        <v>#N/A</v>
      </c>
      <c r="AB283" s="500" t="e">
        <f t="shared" si="430"/>
        <v>#N/A</v>
      </c>
    </row>
    <row r="284" spans="2:28" x14ac:dyDescent="0.25">
      <c r="B284" s="327">
        <v>11</v>
      </c>
      <c r="C284" s="347">
        <f>TREND(C272:C273,B272:B273,B284)</f>
        <v>0</v>
      </c>
      <c r="D284" s="372">
        <f>TREND(D272:D273,B272:B273,B284)</f>
        <v>0</v>
      </c>
      <c r="E284" s="373">
        <f>TREND(E272:E273,B272:B273,B284)</f>
        <v>55</v>
      </c>
      <c r="F284" s="374">
        <f>TREND(F272:F273,B272:B273,B284)</f>
        <v>55</v>
      </c>
      <c r="G284" s="339">
        <f>IF(HwyRail,TREND(G272:G273,B272:B273,B284),ImpactedNB*C284)</f>
        <v>0</v>
      </c>
      <c r="H284" s="436">
        <f>IF(HwyRail,TREND(H272:H273,B272:B273,B284),ImpactedB*D284)</f>
        <v>0</v>
      </c>
      <c r="I284" s="521" t="e">
        <f t="shared" si="432"/>
        <v>#N/A</v>
      </c>
      <c r="J284" s="500" t="e">
        <f t="shared" si="433"/>
        <v>#N/A</v>
      </c>
      <c r="K284" s="521" t="e">
        <f t="shared" si="434"/>
        <v>#N/A</v>
      </c>
      <c r="L284" s="500" t="e">
        <f t="shared" si="435"/>
        <v>#N/A</v>
      </c>
      <c r="M284" s="285" t="e">
        <f t="shared" si="431"/>
        <v>#N/A</v>
      </c>
      <c r="N284" s="323" t="e">
        <f t="shared" si="417"/>
        <v>#N/A</v>
      </c>
      <c r="O284" s="474"/>
      <c r="P284" s="1038">
        <f t="shared" si="436"/>
        <v>0</v>
      </c>
      <c r="Q284" s="1324">
        <f t="shared" si="437"/>
        <v>0</v>
      </c>
      <c r="R284" s="1324">
        <f t="shared" si="438"/>
        <v>0</v>
      </c>
      <c r="S284" s="1324">
        <f t="shared" si="439"/>
        <v>0</v>
      </c>
      <c r="T284" s="1324">
        <f t="shared" si="440"/>
        <v>0</v>
      </c>
      <c r="U284" s="1324">
        <f t="shared" si="441"/>
        <v>0</v>
      </c>
      <c r="V284" s="1325">
        <f t="shared" si="442"/>
        <v>0</v>
      </c>
      <c r="W284" s="521" t="e">
        <f t="shared" si="425"/>
        <v>#N/A</v>
      </c>
      <c r="X284" s="1333" t="e">
        <f t="shared" si="426"/>
        <v>#N/A</v>
      </c>
      <c r="Y284" s="1333" t="e">
        <f t="shared" si="427"/>
        <v>#N/A</v>
      </c>
      <c r="Z284" s="1333" t="e">
        <f t="shared" si="428"/>
        <v>#N/A</v>
      </c>
      <c r="AA284" s="1333" t="e">
        <f t="shared" si="429"/>
        <v>#N/A</v>
      </c>
      <c r="AB284" s="500" t="e">
        <f t="shared" si="430"/>
        <v>#N/A</v>
      </c>
    </row>
    <row r="285" spans="2:28" x14ac:dyDescent="0.25">
      <c r="B285" s="327">
        <v>12</v>
      </c>
      <c r="C285" s="347">
        <f>TREND(C272:C273,B272:B273,B285)</f>
        <v>0</v>
      </c>
      <c r="D285" s="372">
        <f>TREND(D272:D273,B272:B273,B285)</f>
        <v>0</v>
      </c>
      <c r="E285" s="373">
        <f>TREND(E272:E273,B272:B273,B285)</f>
        <v>55</v>
      </c>
      <c r="F285" s="374">
        <f>TREND(F272:F273,B272:B273,B285)</f>
        <v>55</v>
      </c>
      <c r="G285" s="339">
        <f>IF(HwyRail,TREND(G272:G273,B272:B273,B285),ImpactedNB*C285)</f>
        <v>0</v>
      </c>
      <c r="H285" s="436">
        <f>IF(HwyRail,TREND(H272:H273,B272:B273,B285),ImpactedB*D285)</f>
        <v>0</v>
      </c>
      <c r="I285" s="521" t="e">
        <f t="shared" si="432"/>
        <v>#N/A</v>
      </c>
      <c r="J285" s="500" t="e">
        <f t="shared" si="433"/>
        <v>#N/A</v>
      </c>
      <c r="K285" s="521" t="e">
        <f t="shared" si="434"/>
        <v>#N/A</v>
      </c>
      <c r="L285" s="500" t="e">
        <f t="shared" si="435"/>
        <v>#N/A</v>
      </c>
      <c r="M285" s="285" t="e">
        <f t="shared" si="431"/>
        <v>#N/A</v>
      </c>
      <c r="N285" s="323" t="e">
        <f t="shared" si="417"/>
        <v>#N/A</v>
      </c>
      <c r="O285" s="474"/>
      <c r="P285" s="1038">
        <f t="shared" si="436"/>
        <v>0</v>
      </c>
      <c r="Q285" s="1324">
        <f t="shared" si="437"/>
        <v>0</v>
      </c>
      <c r="R285" s="1324">
        <f t="shared" si="438"/>
        <v>0</v>
      </c>
      <c r="S285" s="1324">
        <f t="shared" si="439"/>
        <v>0</v>
      </c>
      <c r="T285" s="1324">
        <f t="shared" si="440"/>
        <v>0</v>
      </c>
      <c r="U285" s="1324">
        <f t="shared" si="441"/>
        <v>0</v>
      </c>
      <c r="V285" s="1325">
        <f t="shared" si="442"/>
        <v>0</v>
      </c>
      <c r="W285" s="521" t="e">
        <f t="shared" si="425"/>
        <v>#N/A</v>
      </c>
      <c r="X285" s="1333" t="e">
        <f t="shared" si="426"/>
        <v>#N/A</v>
      </c>
      <c r="Y285" s="1333" t="e">
        <f t="shared" si="427"/>
        <v>#N/A</v>
      </c>
      <c r="Z285" s="1333" t="e">
        <f t="shared" si="428"/>
        <v>#N/A</v>
      </c>
      <c r="AA285" s="1333" t="e">
        <f t="shared" si="429"/>
        <v>#N/A</v>
      </c>
      <c r="AB285" s="500" t="e">
        <f t="shared" si="430"/>
        <v>#N/A</v>
      </c>
    </row>
    <row r="286" spans="2:28" x14ac:dyDescent="0.25">
      <c r="B286" s="327">
        <v>13</v>
      </c>
      <c r="C286" s="347">
        <f>TREND(C272:C273,B272:B273,B286)</f>
        <v>0</v>
      </c>
      <c r="D286" s="372">
        <f>TREND(D272:D273,B272:B273,B286)</f>
        <v>0</v>
      </c>
      <c r="E286" s="373">
        <f>TREND(E272:E273,B272:B273,B286)</f>
        <v>55</v>
      </c>
      <c r="F286" s="374">
        <f>TREND(F272:F273,B272:B273,B286)</f>
        <v>55</v>
      </c>
      <c r="G286" s="339">
        <f>IF(HwyRail,TREND(G272:G273,B272:B273,B286),ImpactedNB*C286)</f>
        <v>0</v>
      </c>
      <c r="H286" s="436">
        <f>IF(HwyRail,TREND(H272:H273,B272:B273,B286),ImpactedB*D286)</f>
        <v>0</v>
      </c>
      <c r="I286" s="521" t="e">
        <f t="shared" si="432"/>
        <v>#N/A</v>
      </c>
      <c r="J286" s="500" t="e">
        <f t="shared" si="433"/>
        <v>#N/A</v>
      </c>
      <c r="K286" s="521" t="e">
        <f t="shared" si="434"/>
        <v>#N/A</v>
      </c>
      <c r="L286" s="500" t="e">
        <f t="shared" si="435"/>
        <v>#N/A</v>
      </c>
      <c r="M286" s="285" t="e">
        <f t="shared" si="431"/>
        <v>#N/A</v>
      </c>
      <c r="N286" s="323" t="e">
        <f t="shared" si="417"/>
        <v>#N/A</v>
      </c>
      <c r="O286" s="474"/>
      <c r="P286" s="1038">
        <f t="shared" si="436"/>
        <v>0</v>
      </c>
      <c r="Q286" s="1324">
        <f t="shared" si="437"/>
        <v>0</v>
      </c>
      <c r="R286" s="1324">
        <f t="shared" si="438"/>
        <v>0</v>
      </c>
      <c r="S286" s="1324">
        <f t="shared" si="439"/>
        <v>0</v>
      </c>
      <c r="T286" s="1324">
        <f t="shared" si="440"/>
        <v>0</v>
      </c>
      <c r="U286" s="1324">
        <f t="shared" si="441"/>
        <v>0</v>
      </c>
      <c r="V286" s="1325">
        <f t="shared" si="442"/>
        <v>0</v>
      </c>
      <c r="W286" s="521" t="e">
        <f t="shared" si="425"/>
        <v>#N/A</v>
      </c>
      <c r="X286" s="1333" t="e">
        <f t="shared" si="426"/>
        <v>#N/A</v>
      </c>
      <c r="Y286" s="1333" t="e">
        <f t="shared" si="427"/>
        <v>#N/A</v>
      </c>
      <c r="Z286" s="1333" t="e">
        <f t="shared" si="428"/>
        <v>#N/A</v>
      </c>
      <c r="AA286" s="1333" t="e">
        <f t="shared" si="429"/>
        <v>#N/A</v>
      </c>
      <c r="AB286" s="500" t="e">
        <f t="shared" si="430"/>
        <v>#N/A</v>
      </c>
    </row>
    <row r="287" spans="2:28" x14ac:dyDescent="0.25">
      <c r="B287" s="327">
        <v>14</v>
      </c>
      <c r="C287" s="347">
        <f>TREND(C272:C273,B272:B273,B287)</f>
        <v>0</v>
      </c>
      <c r="D287" s="372">
        <f>TREND(D272:D273,B272:B273,B287)</f>
        <v>0</v>
      </c>
      <c r="E287" s="373">
        <f>TREND(E272:E273,B272:B273,B287)</f>
        <v>55</v>
      </c>
      <c r="F287" s="374">
        <f>TREND(F272:F273,B272:B273,B287)</f>
        <v>55</v>
      </c>
      <c r="G287" s="339">
        <f>IF(HwyRail,TREND(G272:G273,B272:B273,B287),ImpactedNB*C287)</f>
        <v>0</v>
      </c>
      <c r="H287" s="436">
        <f>IF(HwyRail,TREND(H272:H273,B272:B273,B287),ImpactedB*D287)</f>
        <v>0</v>
      </c>
      <c r="I287" s="521" t="e">
        <f t="shared" si="432"/>
        <v>#N/A</v>
      </c>
      <c r="J287" s="500" t="e">
        <f t="shared" si="433"/>
        <v>#N/A</v>
      </c>
      <c r="K287" s="521" t="e">
        <f t="shared" si="434"/>
        <v>#N/A</v>
      </c>
      <c r="L287" s="500" t="e">
        <f t="shared" si="435"/>
        <v>#N/A</v>
      </c>
      <c r="M287" s="285" t="e">
        <f t="shared" si="431"/>
        <v>#N/A</v>
      </c>
      <c r="N287" s="323" t="e">
        <f t="shared" si="417"/>
        <v>#N/A</v>
      </c>
      <c r="O287" s="474"/>
      <c r="P287" s="1038">
        <f t="shared" si="436"/>
        <v>0</v>
      </c>
      <c r="Q287" s="1324">
        <f t="shared" si="437"/>
        <v>0</v>
      </c>
      <c r="R287" s="1324">
        <f t="shared" si="438"/>
        <v>0</v>
      </c>
      <c r="S287" s="1324">
        <f t="shared" si="439"/>
        <v>0</v>
      </c>
      <c r="T287" s="1324">
        <f t="shared" si="440"/>
        <v>0</v>
      </c>
      <c r="U287" s="1324">
        <f t="shared" si="441"/>
        <v>0</v>
      </c>
      <c r="V287" s="1325">
        <f t="shared" si="442"/>
        <v>0</v>
      </c>
      <c r="W287" s="521" t="e">
        <f t="shared" si="425"/>
        <v>#N/A</v>
      </c>
      <c r="X287" s="1333" t="e">
        <f t="shared" si="426"/>
        <v>#N/A</v>
      </c>
      <c r="Y287" s="1333" t="e">
        <f t="shared" si="427"/>
        <v>#N/A</v>
      </c>
      <c r="Z287" s="1333" t="e">
        <f t="shared" si="428"/>
        <v>#N/A</v>
      </c>
      <c r="AA287" s="1333" t="e">
        <f t="shared" si="429"/>
        <v>#N/A</v>
      </c>
      <c r="AB287" s="500" t="e">
        <f t="shared" si="430"/>
        <v>#N/A</v>
      </c>
    </row>
    <row r="288" spans="2:28" x14ac:dyDescent="0.25">
      <c r="B288" s="327">
        <v>15</v>
      </c>
      <c r="C288" s="347">
        <f>TREND(C272:C273,B272:B273,B288)</f>
        <v>0</v>
      </c>
      <c r="D288" s="372">
        <f>TREND(D272:D273,B272:B273,B288)</f>
        <v>0</v>
      </c>
      <c r="E288" s="373">
        <f>TREND(E272:E273,B272:B273,B288)</f>
        <v>55</v>
      </c>
      <c r="F288" s="374">
        <f>TREND(F272:F273,B272:B273,B288)</f>
        <v>55</v>
      </c>
      <c r="G288" s="339">
        <f>IF(HwyRail,TREND(G272:G273,B272:B273,B288),ImpactedNB*C288)</f>
        <v>0</v>
      </c>
      <c r="H288" s="436">
        <f>IF(HwyRail,TREND(H272:H273,B272:B273,B288),ImpactedB*D288)</f>
        <v>0</v>
      </c>
      <c r="I288" s="521" t="e">
        <f t="shared" si="432"/>
        <v>#N/A</v>
      </c>
      <c r="J288" s="500" t="e">
        <f t="shared" si="433"/>
        <v>#N/A</v>
      </c>
      <c r="K288" s="521" t="e">
        <f t="shared" si="434"/>
        <v>#N/A</v>
      </c>
      <c r="L288" s="500" t="e">
        <f t="shared" si="435"/>
        <v>#N/A</v>
      </c>
      <c r="M288" s="285" t="e">
        <f t="shared" si="431"/>
        <v>#N/A</v>
      </c>
      <c r="N288" s="323" t="e">
        <f t="shared" si="417"/>
        <v>#N/A</v>
      </c>
      <c r="O288" s="474"/>
      <c r="P288" s="1038">
        <f t="shared" si="436"/>
        <v>0</v>
      </c>
      <c r="Q288" s="1324">
        <f t="shared" si="437"/>
        <v>0</v>
      </c>
      <c r="R288" s="1324">
        <f t="shared" si="438"/>
        <v>0</v>
      </c>
      <c r="S288" s="1324">
        <f t="shared" si="439"/>
        <v>0</v>
      </c>
      <c r="T288" s="1324">
        <f t="shared" si="440"/>
        <v>0</v>
      </c>
      <c r="U288" s="1324">
        <f t="shared" si="441"/>
        <v>0</v>
      </c>
      <c r="V288" s="1325">
        <f t="shared" si="442"/>
        <v>0</v>
      </c>
      <c r="W288" s="521" t="e">
        <f t="shared" si="425"/>
        <v>#N/A</v>
      </c>
      <c r="X288" s="1333" t="e">
        <f t="shared" si="426"/>
        <v>#N/A</v>
      </c>
      <c r="Y288" s="1333" t="e">
        <f t="shared" si="427"/>
        <v>#N/A</v>
      </c>
      <c r="Z288" s="1333" t="e">
        <f t="shared" si="428"/>
        <v>#N/A</v>
      </c>
      <c r="AA288" s="1333" t="e">
        <f t="shared" si="429"/>
        <v>#N/A</v>
      </c>
      <c r="AB288" s="500" t="e">
        <f t="shared" si="430"/>
        <v>#N/A</v>
      </c>
    </row>
    <row r="289" spans="2:28" x14ac:dyDescent="0.25">
      <c r="B289" s="327">
        <v>16</v>
      </c>
      <c r="C289" s="347">
        <f>TREND(C272:C273,B272:B273,B289)</f>
        <v>0</v>
      </c>
      <c r="D289" s="372">
        <f>TREND(D272:D273,B272:B273,B289)</f>
        <v>0</v>
      </c>
      <c r="E289" s="373">
        <f>TREND(E272:E273,B272:B273,B289)</f>
        <v>55</v>
      </c>
      <c r="F289" s="374">
        <f>TREND(F272:F273,B272:B273,B289)</f>
        <v>55</v>
      </c>
      <c r="G289" s="339">
        <f>IF(HwyRail,TREND(G272:G273,B272:B273,B289),ImpactedNB*C289)</f>
        <v>0</v>
      </c>
      <c r="H289" s="436">
        <f>IF(HwyRail,TREND(H272:H273,B272:B273,B289),ImpactedB*D289)</f>
        <v>0</v>
      </c>
      <c r="I289" s="521" t="e">
        <f t="shared" si="432"/>
        <v>#N/A</v>
      </c>
      <c r="J289" s="500" t="e">
        <f t="shared" si="433"/>
        <v>#N/A</v>
      </c>
      <c r="K289" s="521" t="e">
        <f t="shared" si="434"/>
        <v>#N/A</v>
      </c>
      <c r="L289" s="500" t="e">
        <f t="shared" si="435"/>
        <v>#N/A</v>
      </c>
      <c r="M289" s="285" t="e">
        <f t="shared" si="431"/>
        <v>#N/A</v>
      </c>
      <c r="N289" s="323" t="e">
        <f t="shared" si="417"/>
        <v>#N/A</v>
      </c>
      <c r="O289" s="474"/>
      <c r="P289" s="1038">
        <f t="shared" si="436"/>
        <v>0</v>
      </c>
      <c r="Q289" s="1324">
        <f t="shared" si="437"/>
        <v>0</v>
      </c>
      <c r="R289" s="1324">
        <f t="shared" si="438"/>
        <v>0</v>
      </c>
      <c r="S289" s="1324">
        <f t="shared" si="439"/>
        <v>0</v>
      </c>
      <c r="T289" s="1324">
        <f t="shared" si="440"/>
        <v>0</v>
      </c>
      <c r="U289" s="1324">
        <f t="shared" si="441"/>
        <v>0</v>
      </c>
      <c r="V289" s="1325">
        <f t="shared" si="442"/>
        <v>0</v>
      </c>
      <c r="W289" s="521" t="e">
        <f t="shared" si="425"/>
        <v>#N/A</v>
      </c>
      <c r="X289" s="1333" t="e">
        <f t="shared" si="426"/>
        <v>#N/A</v>
      </c>
      <c r="Y289" s="1333" t="e">
        <f t="shared" si="427"/>
        <v>#N/A</v>
      </c>
      <c r="Z289" s="1333" t="e">
        <f t="shared" si="428"/>
        <v>#N/A</v>
      </c>
      <c r="AA289" s="1333" t="e">
        <f t="shared" si="429"/>
        <v>#N/A</v>
      </c>
      <c r="AB289" s="500" t="e">
        <f t="shared" si="430"/>
        <v>#N/A</v>
      </c>
    </row>
    <row r="290" spans="2:28" x14ac:dyDescent="0.25">
      <c r="B290" s="327">
        <v>17</v>
      </c>
      <c r="C290" s="347">
        <f>TREND(C272:C273,B272:B273,B290)</f>
        <v>0</v>
      </c>
      <c r="D290" s="372">
        <f>TREND(D272:D273,B272:B273,B290)</f>
        <v>0</v>
      </c>
      <c r="E290" s="373">
        <f>TREND(E272:E273,B272:B273,B290)</f>
        <v>55</v>
      </c>
      <c r="F290" s="374">
        <f>TREND(F272:F273,B272:B273,B290)</f>
        <v>55</v>
      </c>
      <c r="G290" s="339">
        <f>IF(HwyRail,TREND(G272:G273,B272:B273,B290),ImpactedNB*C290)</f>
        <v>0</v>
      </c>
      <c r="H290" s="436">
        <f>IF(HwyRail,TREND(H272:H273,B272:B273,B290),ImpactedB*D290)</f>
        <v>0</v>
      </c>
      <c r="I290" s="521" t="e">
        <f t="shared" si="432"/>
        <v>#N/A</v>
      </c>
      <c r="J290" s="500" t="e">
        <f t="shared" si="433"/>
        <v>#N/A</v>
      </c>
      <c r="K290" s="521" t="e">
        <f t="shared" si="434"/>
        <v>#N/A</v>
      </c>
      <c r="L290" s="500" t="e">
        <f t="shared" si="435"/>
        <v>#N/A</v>
      </c>
      <c r="M290" s="285" t="e">
        <f t="shared" si="431"/>
        <v>#N/A</v>
      </c>
      <c r="N290" s="323" t="e">
        <f t="shared" si="417"/>
        <v>#N/A</v>
      </c>
      <c r="O290" s="474"/>
      <c r="P290" s="1038">
        <f t="shared" si="436"/>
        <v>0</v>
      </c>
      <c r="Q290" s="1324">
        <f t="shared" si="437"/>
        <v>0</v>
      </c>
      <c r="R290" s="1324">
        <f t="shared" si="438"/>
        <v>0</v>
      </c>
      <c r="S290" s="1324">
        <f t="shared" si="439"/>
        <v>0</v>
      </c>
      <c r="T290" s="1324">
        <f t="shared" si="440"/>
        <v>0</v>
      </c>
      <c r="U290" s="1324">
        <f t="shared" si="441"/>
        <v>0</v>
      </c>
      <c r="V290" s="1325">
        <f t="shared" si="442"/>
        <v>0</v>
      </c>
      <c r="W290" s="521" t="e">
        <f t="shared" si="425"/>
        <v>#N/A</v>
      </c>
      <c r="X290" s="1333" t="e">
        <f t="shared" si="426"/>
        <v>#N/A</v>
      </c>
      <c r="Y290" s="1333" t="e">
        <f t="shared" si="427"/>
        <v>#N/A</v>
      </c>
      <c r="Z290" s="1333" t="e">
        <f t="shared" si="428"/>
        <v>#N/A</v>
      </c>
      <c r="AA290" s="1333" t="e">
        <f t="shared" si="429"/>
        <v>#N/A</v>
      </c>
      <c r="AB290" s="500" t="e">
        <f t="shared" si="430"/>
        <v>#N/A</v>
      </c>
    </row>
    <row r="291" spans="2:28" x14ac:dyDescent="0.25">
      <c r="B291" s="327">
        <v>18</v>
      </c>
      <c r="C291" s="347">
        <f>TREND(C272:C273,B272:B273,B291)</f>
        <v>0</v>
      </c>
      <c r="D291" s="372">
        <f>TREND(D272:D273,B272:B273,B291)</f>
        <v>0</v>
      </c>
      <c r="E291" s="373">
        <f>TREND(E272:E273,B272:B273,B291)</f>
        <v>55</v>
      </c>
      <c r="F291" s="374">
        <f>TREND(F272:F273,B272:B273,B291)</f>
        <v>55</v>
      </c>
      <c r="G291" s="339">
        <f>IF(HwyRail,TREND(G272:G273,B272:B273,B291),ImpactedNB*C291)</f>
        <v>0</v>
      </c>
      <c r="H291" s="436">
        <f>IF(HwyRail,TREND(H272:H273,B272:B273,B291),ImpactedB*D291)</f>
        <v>0</v>
      </c>
      <c r="I291" s="521" t="e">
        <f t="shared" si="432"/>
        <v>#N/A</v>
      </c>
      <c r="J291" s="500" t="e">
        <f t="shared" si="433"/>
        <v>#N/A</v>
      </c>
      <c r="K291" s="521" t="e">
        <f t="shared" si="434"/>
        <v>#N/A</v>
      </c>
      <c r="L291" s="500" t="e">
        <f t="shared" si="435"/>
        <v>#N/A</v>
      </c>
      <c r="M291" s="285" t="e">
        <f t="shared" si="431"/>
        <v>#N/A</v>
      </c>
      <c r="N291" s="323" t="e">
        <f t="shared" si="417"/>
        <v>#N/A</v>
      </c>
      <c r="O291" s="474"/>
      <c r="P291" s="1038">
        <f t="shared" si="436"/>
        <v>0</v>
      </c>
      <c r="Q291" s="1324">
        <f t="shared" si="437"/>
        <v>0</v>
      </c>
      <c r="R291" s="1324">
        <f t="shared" si="438"/>
        <v>0</v>
      </c>
      <c r="S291" s="1324">
        <f t="shared" si="439"/>
        <v>0</v>
      </c>
      <c r="T291" s="1324">
        <f t="shared" si="440"/>
        <v>0</v>
      </c>
      <c r="U291" s="1324">
        <f t="shared" si="441"/>
        <v>0</v>
      </c>
      <c r="V291" s="1325">
        <f t="shared" si="442"/>
        <v>0</v>
      </c>
      <c r="W291" s="521" t="e">
        <f t="shared" si="425"/>
        <v>#N/A</v>
      </c>
      <c r="X291" s="1333" t="e">
        <f t="shared" si="426"/>
        <v>#N/A</v>
      </c>
      <c r="Y291" s="1333" t="e">
        <f t="shared" si="427"/>
        <v>#N/A</v>
      </c>
      <c r="Z291" s="1333" t="e">
        <f t="shared" si="428"/>
        <v>#N/A</v>
      </c>
      <c r="AA291" s="1333" t="e">
        <f t="shared" si="429"/>
        <v>#N/A</v>
      </c>
      <c r="AB291" s="500" t="e">
        <f t="shared" si="430"/>
        <v>#N/A</v>
      </c>
    </row>
    <row r="292" spans="2:28" x14ac:dyDescent="0.25">
      <c r="B292" s="359">
        <v>19</v>
      </c>
      <c r="C292" s="360">
        <f>TREND(C272:C273,B272:B273,B292)</f>
        <v>0</v>
      </c>
      <c r="D292" s="375">
        <f>TREND(D272:D273,B272:B273,B292)</f>
        <v>0</v>
      </c>
      <c r="E292" s="376">
        <f>TREND(E272:E273,B272:B273,B292)</f>
        <v>55</v>
      </c>
      <c r="F292" s="377">
        <f>TREND(F272:F273,B272:B273,B292)</f>
        <v>55</v>
      </c>
      <c r="G292" s="339">
        <f>IF(HwyRail,TREND(G272:G273,B272:B273,B292),ImpactedNB*C292)</f>
        <v>0</v>
      </c>
      <c r="H292" s="435">
        <f>IF(HwyRail,TREND(H272:H273,B272:B273,B292),ImpactedB*D292)</f>
        <v>0</v>
      </c>
      <c r="I292" s="520" t="e">
        <f t="shared" si="432"/>
        <v>#N/A</v>
      </c>
      <c r="J292" s="499" t="e">
        <f t="shared" si="433"/>
        <v>#N/A</v>
      </c>
      <c r="K292" s="520" t="e">
        <f t="shared" si="434"/>
        <v>#N/A</v>
      </c>
      <c r="L292" s="499" t="e">
        <f t="shared" si="435"/>
        <v>#N/A</v>
      </c>
      <c r="M292" s="285" t="e">
        <f t="shared" si="431"/>
        <v>#N/A</v>
      </c>
      <c r="N292" s="323" t="e">
        <f t="shared" si="417"/>
        <v>#N/A</v>
      </c>
      <c r="O292" s="474"/>
      <c r="P292" s="1037">
        <f t="shared" si="436"/>
        <v>0</v>
      </c>
      <c r="Q292" s="1322">
        <f t="shared" si="437"/>
        <v>0</v>
      </c>
      <c r="R292" s="1322">
        <f t="shared" si="438"/>
        <v>0</v>
      </c>
      <c r="S292" s="1322">
        <f t="shared" si="439"/>
        <v>0</v>
      </c>
      <c r="T292" s="1322">
        <f t="shared" si="440"/>
        <v>0</v>
      </c>
      <c r="U292" s="1322">
        <f t="shared" si="441"/>
        <v>0</v>
      </c>
      <c r="V292" s="1326">
        <f t="shared" si="442"/>
        <v>0</v>
      </c>
      <c r="W292" s="520" t="e">
        <f t="shared" si="425"/>
        <v>#N/A</v>
      </c>
      <c r="X292" s="1332" t="e">
        <f t="shared" si="426"/>
        <v>#N/A</v>
      </c>
      <c r="Y292" s="1332" t="e">
        <f t="shared" si="427"/>
        <v>#N/A</v>
      </c>
      <c r="Z292" s="1332" t="e">
        <f t="shared" si="428"/>
        <v>#N/A</v>
      </c>
      <c r="AA292" s="1332" t="e">
        <f t="shared" si="429"/>
        <v>#N/A</v>
      </c>
      <c r="AB292" s="499" t="e">
        <f t="shared" si="430"/>
        <v>#N/A</v>
      </c>
    </row>
    <row r="293" spans="2:28" x14ac:dyDescent="0.25">
      <c r="B293" s="357"/>
      <c r="C293" s="355"/>
      <c r="D293" s="355"/>
      <c r="E293" s="355"/>
      <c r="F293" s="355"/>
      <c r="G293" s="356"/>
      <c r="H293" s="356"/>
      <c r="I293" s="356"/>
      <c r="J293" s="356"/>
      <c r="K293" s="356"/>
      <c r="L293" s="356"/>
      <c r="M293" s="356"/>
      <c r="N293" s="358"/>
      <c r="O293" s="475"/>
      <c r="P293" s="358"/>
      <c r="Q293" s="358"/>
      <c r="R293" s="358"/>
      <c r="S293" s="358"/>
      <c r="T293" s="358"/>
      <c r="U293" s="358"/>
      <c r="V293" s="358"/>
      <c r="W293" s="475"/>
      <c r="X293" s="475"/>
      <c r="Y293" s="475"/>
      <c r="Z293" s="475"/>
      <c r="AA293" s="475"/>
      <c r="AB293" s="475"/>
    </row>
    <row r="294" spans="2:28" ht="13" x14ac:dyDescent="0.25">
      <c r="B294" s="329" t="s">
        <v>172</v>
      </c>
      <c r="C294" s="330"/>
      <c r="D294" s="331"/>
      <c r="E294" s="331"/>
      <c r="F294" s="331"/>
      <c r="G294" s="331"/>
      <c r="H294" s="331"/>
      <c r="I294" s="331"/>
      <c r="J294" s="332"/>
      <c r="K294" s="331"/>
      <c r="L294" s="332"/>
      <c r="M294" s="341"/>
      <c r="N294" s="342" t="e">
        <f>SUM(N272:N292)</f>
        <v>#N/A</v>
      </c>
      <c r="O294" s="477"/>
      <c r="P294" s="1039">
        <f t="shared" ref="P294" si="443">SUM(P272:P292)</f>
        <v>0</v>
      </c>
      <c r="Q294" s="1327">
        <f>SUM(Q272:Q292)</f>
        <v>0</v>
      </c>
      <c r="R294" s="1327">
        <f t="shared" ref="R294:V294" si="444">SUM(R272:R292)</f>
        <v>0</v>
      </c>
      <c r="S294" s="1327">
        <f t="shared" si="444"/>
        <v>0</v>
      </c>
      <c r="T294" s="1327">
        <f t="shared" si="444"/>
        <v>0</v>
      </c>
      <c r="U294" s="1327">
        <f t="shared" si="444"/>
        <v>0</v>
      </c>
      <c r="V294" s="1328">
        <f t="shared" si="444"/>
        <v>0</v>
      </c>
      <c r="W294" s="1334" t="e">
        <f>SUM(W272:W292)</f>
        <v>#N/A</v>
      </c>
      <c r="X294" s="1335" t="e">
        <f>SUM(X272:X292)</f>
        <v>#N/A</v>
      </c>
      <c r="Y294" s="1335" t="e">
        <f t="shared" ref="Y294:AB294" si="445">SUM(Y272:Y292)</f>
        <v>#N/A</v>
      </c>
      <c r="Z294" s="1335" t="e">
        <f t="shared" si="445"/>
        <v>#N/A</v>
      </c>
      <c r="AA294" s="1335" t="e">
        <f t="shared" si="445"/>
        <v>#N/A</v>
      </c>
      <c r="AB294" s="1040" t="e">
        <f t="shared" si="445"/>
        <v>#N/A</v>
      </c>
    </row>
    <row r="298" spans="2:28" x14ac:dyDescent="0.25">
      <c r="K298" s="195" t="s">
        <v>176</v>
      </c>
      <c r="L298" s="193"/>
      <c r="M298" s="194"/>
      <c r="N298" s="196"/>
      <c r="O298" s="1031"/>
      <c r="P298" s="1031"/>
      <c r="Q298" s="1031"/>
      <c r="R298" s="1031"/>
      <c r="S298" s="1031"/>
      <c r="T298" s="1031"/>
      <c r="U298" s="1031"/>
      <c r="V298" s="1031"/>
      <c r="W298" s="1031"/>
      <c r="X298" s="1031"/>
      <c r="Y298" s="1031"/>
      <c r="Z298" s="1031"/>
      <c r="AA298" s="1031"/>
      <c r="AB298" s="1031"/>
    </row>
    <row r="299" spans="2:28" x14ac:dyDescent="0.25">
      <c r="K299" s="109"/>
      <c r="L299" s="695" t="s">
        <v>256</v>
      </c>
      <c r="M299" s="695"/>
      <c r="N299" s="696"/>
      <c r="O299" s="1031"/>
      <c r="P299" s="1031"/>
      <c r="Q299" s="1031"/>
      <c r="R299" s="1031"/>
      <c r="S299" s="1031"/>
      <c r="T299" s="1031"/>
      <c r="U299" s="1031"/>
      <c r="V299" s="1031"/>
      <c r="W299" s="1031"/>
      <c r="X299" s="1031"/>
      <c r="Y299" s="1031"/>
      <c r="Z299" s="1031"/>
      <c r="AA299" s="1031"/>
      <c r="AB299" s="1031"/>
    </row>
    <row r="300" spans="2:28" x14ac:dyDescent="0.25">
      <c r="O300" s="1032"/>
      <c r="P300" s="1032"/>
      <c r="Q300" s="1032"/>
      <c r="R300" s="1032"/>
      <c r="S300" s="1032"/>
      <c r="T300" s="1032"/>
      <c r="U300" s="1032"/>
      <c r="V300" s="1032"/>
      <c r="W300" s="1032"/>
      <c r="X300" s="1032"/>
      <c r="Y300" s="1032"/>
      <c r="Z300" s="1032"/>
      <c r="AA300" s="1032"/>
      <c r="AB300" s="1032"/>
    </row>
  </sheetData>
  <phoneticPr fontId="0" type="noConversion"/>
  <printOptions horizontalCentered="1"/>
  <pageMargins left="0.5" right="0.5" top="0.75" bottom="0.75" header="0.5" footer="0.5"/>
  <pageSetup scale="88" orientation="landscape" r:id="rId1"/>
  <headerFooter alignWithMargins="0">
    <oddFooter>&amp;L&amp;8Transportation Economics
Caltrans DOTP&amp;C&amp;8Cal-B/C &amp;A&amp;R&amp;8Page &amp;P
&amp;D</oddFooter>
  </headerFooter>
  <colBreaks count="3" manualBreakCount="3">
    <brk id="63" min="14" max="47" man="1"/>
    <brk id="71" min="14" max="47" man="1"/>
    <brk id="78" min="14" max="47"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1:BB69"/>
  <sheetViews>
    <sheetView showGridLines="0" zoomScale="70" zoomScaleNormal="70" workbookViewId="0"/>
  </sheetViews>
  <sheetFormatPr defaultRowHeight="12.5" x14ac:dyDescent="0.25"/>
  <cols>
    <col min="1" max="1" width="5.54296875" customWidth="1"/>
    <col min="2" max="2" width="7.54296875" customWidth="1"/>
    <col min="3" max="6" width="14.54296875" customWidth="1"/>
    <col min="7" max="14" width="14.453125" customWidth="1"/>
    <col min="15" max="15" width="17.54296875" customWidth="1"/>
    <col min="16" max="16" width="16.81640625" customWidth="1"/>
    <col min="17" max="17" width="17.54296875" customWidth="1"/>
    <col min="18" max="20" width="16.453125" customWidth="1"/>
    <col min="21" max="35" width="14.54296875" customWidth="1"/>
    <col min="36" max="36" width="17.54296875" customWidth="1"/>
    <col min="37" max="37" width="16.81640625" customWidth="1"/>
    <col min="38" max="38" width="17.54296875" customWidth="1"/>
    <col min="39" max="39" width="17.7265625" customWidth="1"/>
    <col min="40" max="40" width="14" bestFit="1" customWidth="1"/>
    <col min="41" max="41" width="16.54296875" customWidth="1"/>
    <col min="42" max="42" width="17.54296875" customWidth="1"/>
    <col min="43" max="43" width="5.54296875" customWidth="1"/>
    <col min="45" max="45" width="16.453125" bestFit="1" customWidth="1"/>
  </cols>
  <sheetData>
    <row r="1" spans="2:43" ht="20" x14ac:dyDescent="0.4">
      <c r="B1" s="310" t="s">
        <v>99</v>
      </c>
      <c r="T1" s="310"/>
      <c r="AO1" s="310"/>
    </row>
    <row r="2" spans="2:43" x14ac:dyDescent="0.25">
      <c r="B2" s="111"/>
      <c r="T2" s="111"/>
      <c r="AO2" s="111"/>
    </row>
    <row r="3" spans="2:43" ht="17.5" x14ac:dyDescent="0.25">
      <c r="B3" s="289" t="s">
        <v>313</v>
      </c>
      <c r="T3" s="289"/>
      <c r="AO3" s="289"/>
    </row>
    <row r="4" spans="2:43" ht="17.5" x14ac:dyDescent="0.25">
      <c r="B4" s="289" t="s">
        <v>314</v>
      </c>
      <c r="T4" s="289"/>
      <c r="AO4" s="289"/>
    </row>
    <row r="14" spans="2:43" ht="20" x14ac:dyDescent="0.4">
      <c r="B14" s="315" t="s">
        <v>223</v>
      </c>
      <c r="C14" s="314" t="s">
        <v>315</v>
      </c>
      <c r="D14" s="312"/>
      <c r="E14" s="312"/>
      <c r="F14" s="312"/>
      <c r="G14" s="312"/>
      <c r="H14" s="312"/>
      <c r="I14" s="312"/>
      <c r="J14" s="312"/>
      <c r="K14" s="1043"/>
      <c r="L14" s="1043"/>
      <c r="M14" s="1043"/>
      <c r="N14" s="1043"/>
      <c r="O14" s="749"/>
      <c r="P14" s="749"/>
      <c r="Q14" s="749"/>
      <c r="W14" s="315" t="s">
        <v>225</v>
      </c>
      <c r="X14" s="314" t="s">
        <v>615</v>
      </c>
      <c r="Y14" s="312"/>
      <c r="Z14" s="312"/>
      <c r="AA14" s="312"/>
      <c r="AB14" s="312"/>
      <c r="AC14" s="312"/>
      <c r="AD14" s="312"/>
      <c r="AE14" s="1043"/>
      <c r="AF14" s="1043"/>
      <c r="AG14" s="1043"/>
      <c r="AH14" s="1043"/>
      <c r="AI14" s="1043"/>
      <c r="AJ14" s="749"/>
      <c r="AK14" s="749"/>
      <c r="AL14" s="749"/>
      <c r="AM14" s="749"/>
      <c r="AN14" s="712"/>
      <c r="AO14" s="676"/>
      <c r="AP14" s="749"/>
      <c r="AQ14" s="750"/>
    </row>
    <row r="15" spans="2:43" x14ac:dyDescent="0.25">
      <c r="B15" s="88"/>
      <c r="C15" s="277"/>
      <c r="D15" s="278"/>
      <c r="E15" s="278"/>
      <c r="F15" s="88"/>
      <c r="G15" s="88"/>
      <c r="H15" s="88"/>
      <c r="I15" s="88"/>
      <c r="J15" s="88"/>
      <c r="K15" s="88"/>
      <c r="L15" s="88"/>
      <c r="M15" s="88"/>
      <c r="N15" s="88"/>
      <c r="O15" s="277"/>
      <c r="P15" s="277"/>
      <c r="Q15" s="277"/>
      <c r="T15" s="88"/>
      <c r="U15" s="277"/>
      <c r="V15" s="278"/>
      <c r="W15" s="278"/>
      <c r="X15" s="88"/>
      <c r="Y15" s="88"/>
      <c r="Z15" s="88"/>
      <c r="AA15" s="88"/>
      <c r="AB15" s="88"/>
      <c r="AC15" s="88"/>
      <c r="AD15" s="88"/>
      <c r="AE15" s="88"/>
      <c r="AF15" s="88"/>
      <c r="AG15" s="88"/>
      <c r="AH15" s="88"/>
      <c r="AI15" s="88"/>
      <c r="AJ15" s="277"/>
      <c r="AK15" s="277"/>
      <c r="AL15" s="277"/>
      <c r="AM15" s="277"/>
      <c r="AO15" s="88"/>
      <c r="AP15" s="277"/>
    </row>
    <row r="16" spans="2:43" x14ac:dyDescent="0.25">
      <c r="B16" s="1"/>
      <c r="C16" s="1"/>
      <c r="D16" s="1"/>
      <c r="E16" s="1"/>
      <c r="F16" s="1"/>
      <c r="G16" s="1"/>
      <c r="H16" s="1"/>
      <c r="I16" s="1"/>
      <c r="J16" s="1"/>
      <c r="K16" s="1"/>
      <c r="L16" s="1"/>
      <c r="M16" s="1"/>
      <c r="N16" s="1"/>
      <c r="O16" s="1"/>
      <c r="P16" s="1"/>
      <c r="Q16" s="1"/>
      <c r="T16" s="1"/>
      <c r="U16" s="1"/>
      <c r="V16" s="1"/>
      <c r="W16" s="1"/>
      <c r="X16" s="1"/>
      <c r="Y16" s="1"/>
      <c r="Z16" s="1"/>
      <c r="AA16" s="1"/>
      <c r="AB16" s="1"/>
      <c r="AC16" s="1"/>
      <c r="AD16" s="1"/>
      <c r="AE16" s="1"/>
      <c r="AF16" s="1"/>
      <c r="AG16" s="1"/>
      <c r="AH16" s="1"/>
      <c r="AI16" s="1"/>
      <c r="AJ16" s="1"/>
      <c r="AK16" s="1"/>
      <c r="AL16" s="1"/>
      <c r="AM16" s="1"/>
      <c r="AO16" s="1"/>
      <c r="AP16" s="1"/>
    </row>
    <row r="17" spans="2:45" x14ac:dyDescent="0.25">
      <c r="B17" s="1"/>
      <c r="C17" s="1"/>
      <c r="D17" s="1"/>
      <c r="E17" s="1"/>
      <c r="F17" s="1"/>
      <c r="G17" s="1"/>
      <c r="H17" s="1"/>
      <c r="I17" s="1"/>
      <c r="J17" s="1"/>
      <c r="K17" s="1"/>
      <c r="L17" s="1"/>
      <c r="M17" s="1"/>
      <c r="N17" s="1"/>
      <c r="O17" s="1"/>
      <c r="P17" s="1"/>
      <c r="Q17" s="1"/>
      <c r="T17" s="1"/>
      <c r="U17" s="1"/>
      <c r="V17" s="1"/>
      <c r="W17" s="1"/>
      <c r="X17" s="1"/>
      <c r="Y17" s="1"/>
      <c r="Z17" s="1"/>
      <c r="AA17" s="1"/>
      <c r="AB17" s="1"/>
      <c r="AC17" s="1"/>
      <c r="AD17" s="1"/>
      <c r="AE17" s="1"/>
      <c r="AF17" s="1"/>
      <c r="AG17" s="1"/>
      <c r="AH17" s="1"/>
      <c r="AI17" s="1"/>
      <c r="AJ17" s="1"/>
      <c r="AK17" s="1"/>
      <c r="AL17" s="1"/>
      <c r="AM17" s="1"/>
      <c r="AO17" s="1"/>
      <c r="AP17" s="1"/>
    </row>
    <row r="18" spans="2:45" x14ac:dyDescent="0.25">
      <c r="B18" s="1"/>
      <c r="C18" s="1"/>
      <c r="D18" s="1"/>
      <c r="E18" s="1"/>
      <c r="F18" s="1"/>
      <c r="G18" s="1"/>
      <c r="H18" s="1"/>
      <c r="I18" s="1"/>
      <c r="J18" s="1"/>
      <c r="K18" s="1"/>
      <c r="L18" s="1"/>
      <c r="M18" s="1"/>
      <c r="N18" s="1"/>
      <c r="O18" s="1"/>
      <c r="P18" s="1"/>
      <c r="Q18" s="1"/>
      <c r="T18" s="1"/>
      <c r="U18" s="1"/>
      <c r="V18" s="1"/>
      <c r="W18" s="1"/>
      <c r="X18" s="1"/>
      <c r="Y18" s="1"/>
      <c r="Z18" s="1"/>
      <c r="AA18" s="1"/>
      <c r="AB18" s="1"/>
      <c r="AC18" s="1"/>
      <c r="AD18" s="1"/>
      <c r="AE18" s="1"/>
      <c r="AF18" s="1"/>
      <c r="AG18" s="1"/>
      <c r="AH18" s="1"/>
      <c r="AI18" s="1"/>
      <c r="AJ18" s="1"/>
      <c r="AK18" s="1"/>
      <c r="AL18" s="1"/>
      <c r="AM18" s="1"/>
      <c r="AO18" s="1"/>
      <c r="AP18" s="1"/>
    </row>
    <row r="19" spans="2:45" ht="13" x14ac:dyDescent="0.25">
      <c r="B19" s="317"/>
      <c r="C19" s="569" t="s">
        <v>316</v>
      </c>
      <c r="D19" s="569"/>
      <c r="E19" s="569"/>
      <c r="F19" s="569"/>
      <c r="G19" s="569"/>
      <c r="H19" s="740" t="s">
        <v>316</v>
      </c>
      <c r="I19" s="740"/>
      <c r="J19" s="740"/>
      <c r="K19" s="740"/>
      <c r="L19" s="740"/>
      <c r="M19" s="740" t="s">
        <v>316</v>
      </c>
      <c r="N19" s="740"/>
      <c r="O19" s="740"/>
      <c r="P19" s="740"/>
      <c r="Q19" s="740"/>
      <c r="R19" s="580" t="s">
        <v>139</v>
      </c>
      <c r="S19" s="592" t="s">
        <v>139</v>
      </c>
      <c r="T19" s="580"/>
      <c r="W19" s="317"/>
      <c r="X19" s="569" t="s">
        <v>317</v>
      </c>
      <c r="Y19" s="569"/>
      <c r="Z19" s="569"/>
      <c r="AA19" s="569"/>
      <c r="AB19" s="569"/>
      <c r="AC19" s="740" t="s">
        <v>317</v>
      </c>
      <c r="AD19" s="740"/>
      <c r="AE19" s="740"/>
      <c r="AF19" s="740"/>
      <c r="AG19" s="740"/>
      <c r="AH19" s="740" t="s">
        <v>317</v>
      </c>
      <c r="AI19" s="740"/>
      <c r="AJ19" s="740"/>
      <c r="AK19" s="740"/>
      <c r="AL19" s="740"/>
      <c r="AM19" s="580"/>
      <c r="AN19" s="592" t="s">
        <v>172</v>
      </c>
      <c r="AO19" s="580"/>
      <c r="AP19" s="580"/>
      <c r="AR19" s="167"/>
      <c r="AS19" s="580"/>
    </row>
    <row r="20" spans="2:45" ht="13" x14ac:dyDescent="0.25">
      <c r="B20" s="579"/>
      <c r="C20" s="570"/>
      <c r="D20" s="571"/>
      <c r="E20" s="571"/>
      <c r="F20" s="571"/>
      <c r="G20" s="572"/>
      <c r="H20" s="741" t="s">
        <v>649</v>
      </c>
      <c r="I20" s="742"/>
      <c r="J20" s="742"/>
      <c r="K20" s="742"/>
      <c r="L20" s="743"/>
      <c r="M20" s="741" t="s">
        <v>633</v>
      </c>
      <c r="N20" s="742"/>
      <c r="O20" s="742"/>
      <c r="P20" s="742"/>
      <c r="Q20" s="743"/>
      <c r="R20" s="581" t="s">
        <v>149</v>
      </c>
      <c r="S20" s="593" t="s">
        <v>149</v>
      </c>
      <c r="T20" s="581"/>
      <c r="W20" s="579"/>
      <c r="X20" s="570"/>
      <c r="Y20" s="571"/>
      <c r="Z20" s="571"/>
      <c r="AA20" s="571"/>
      <c r="AB20" s="572"/>
      <c r="AC20" s="741" t="s">
        <v>649</v>
      </c>
      <c r="AD20" s="742"/>
      <c r="AE20" s="742"/>
      <c r="AF20" s="742"/>
      <c r="AG20" s="743"/>
      <c r="AH20" s="741" t="s">
        <v>633</v>
      </c>
      <c r="AI20" s="742"/>
      <c r="AJ20" s="742"/>
      <c r="AK20" s="742"/>
      <c r="AL20" s="743"/>
      <c r="AM20" s="581" t="s">
        <v>635</v>
      </c>
      <c r="AN20" s="593" t="s">
        <v>136</v>
      </c>
      <c r="AO20" s="581" t="s">
        <v>318</v>
      </c>
      <c r="AP20" s="581" t="s">
        <v>319</v>
      </c>
      <c r="AR20" s="169" t="s">
        <v>320</v>
      </c>
      <c r="AS20" s="581" t="s">
        <v>318</v>
      </c>
    </row>
    <row r="21" spans="2:45" ht="13" x14ac:dyDescent="0.3">
      <c r="B21" s="318"/>
      <c r="C21" s="574" t="s">
        <v>321</v>
      </c>
      <c r="D21" s="574" t="s">
        <v>321</v>
      </c>
      <c r="E21" s="574" t="s">
        <v>322</v>
      </c>
      <c r="F21" s="574"/>
      <c r="G21" s="574" t="s">
        <v>322</v>
      </c>
      <c r="H21" s="744" t="s">
        <v>321</v>
      </c>
      <c r="I21" s="744" t="s">
        <v>321</v>
      </c>
      <c r="J21" s="744" t="s">
        <v>322</v>
      </c>
      <c r="K21" s="744"/>
      <c r="L21" s="744" t="s">
        <v>322</v>
      </c>
      <c r="M21" s="744" t="s">
        <v>321</v>
      </c>
      <c r="N21" s="744" t="s">
        <v>321</v>
      </c>
      <c r="O21" s="744" t="s">
        <v>322</v>
      </c>
      <c r="P21" s="744"/>
      <c r="Q21" s="744" t="s">
        <v>322</v>
      </c>
      <c r="R21" s="581" t="s">
        <v>323</v>
      </c>
      <c r="S21" s="593" t="s">
        <v>323</v>
      </c>
      <c r="T21" s="581" t="s">
        <v>324</v>
      </c>
      <c r="W21" s="318"/>
      <c r="X21" s="574" t="s">
        <v>321</v>
      </c>
      <c r="Y21" s="574" t="s">
        <v>321</v>
      </c>
      <c r="Z21" s="574" t="s">
        <v>322</v>
      </c>
      <c r="AA21" s="574"/>
      <c r="AB21" s="574" t="s">
        <v>322</v>
      </c>
      <c r="AC21" s="744" t="s">
        <v>321</v>
      </c>
      <c r="AD21" s="744" t="s">
        <v>321</v>
      </c>
      <c r="AE21" s="744" t="s">
        <v>322</v>
      </c>
      <c r="AF21" s="744"/>
      <c r="AG21" s="744" t="s">
        <v>322</v>
      </c>
      <c r="AH21" s="744" t="s">
        <v>321</v>
      </c>
      <c r="AI21" s="744" t="s">
        <v>321</v>
      </c>
      <c r="AJ21" s="744" t="s">
        <v>322</v>
      </c>
      <c r="AK21" s="744"/>
      <c r="AL21" s="744" t="s">
        <v>322</v>
      </c>
      <c r="AM21" s="581" t="s">
        <v>634</v>
      </c>
      <c r="AN21" s="593" t="s">
        <v>325</v>
      </c>
      <c r="AO21" s="581" t="s">
        <v>326</v>
      </c>
      <c r="AP21" s="581" t="s">
        <v>326</v>
      </c>
      <c r="AR21" s="609" t="s">
        <v>327</v>
      </c>
      <c r="AS21" s="581" t="s">
        <v>326</v>
      </c>
    </row>
    <row r="22" spans="2:45" ht="13" x14ac:dyDescent="0.25">
      <c r="B22" s="169" t="s">
        <v>135</v>
      </c>
      <c r="C22" s="573" t="s">
        <v>328</v>
      </c>
      <c r="D22" s="1442" t="s">
        <v>328</v>
      </c>
      <c r="E22" s="574" t="s">
        <v>329</v>
      </c>
      <c r="F22" s="574" t="s">
        <v>293</v>
      </c>
      <c r="G22" s="574" t="s">
        <v>307</v>
      </c>
      <c r="H22" s="745" t="s">
        <v>328</v>
      </c>
      <c r="I22" s="744" t="s">
        <v>328</v>
      </c>
      <c r="J22" s="744" t="s">
        <v>329</v>
      </c>
      <c r="K22" s="744" t="s">
        <v>293</v>
      </c>
      <c r="L22" s="744" t="s">
        <v>307</v>
      </c>
      <c r="M22" s="745" t="s">
        <v>328</v>
      </c>
      <c r="N22" s="744" t="s">
        <v>328</v>
      </c>
      <c r="O22" s="744" t="s">
        <v>329</v>
      </c>
      <c r="P22" s="744" t="s">
        <v>293</v>
      </c>
      <c r="Q22" s="744" t="s">
        <v>307</v>
      </c>
      <c r="R22" s="581" t="s">
        <v>330</v>
      </c>
      <c r="S22" s="593" t="s">
        <v>136</v>
      </c>
      <c r="T22" s="581" t="s">
        <v>331</v>
      </c>
      <c r="W22" s="169" t="s">
        <v>135</v>
      </c>
      <c r="X22" s="573" t="s">
        <v>328</v>
      </c>
      <c r="Y22" s="1442" t="s">
        <v>328</v>
      </c>
      <c r="Z22" s="574" t="s">
        <v>329</v>
      </c>
      <c r="AA22" s="574" t="s">
        <v>293</v>
      </c>
      <c r="AB22" s="574" t="s">
        <v>307</v>
      </c>
      <c r="AC22" s="745" t="s">
        <v>328</v>
      </c>
      <c r="AD22" s="1602" t="s">
        <v>328</v>
      </c>
      <c r="AE22" s="744" t="s">
        <v>329</v>
      </c>
      <c r="AF22" s="744" t="s">
        <v>293</v>
      </c>
      <c r="AG22" s="744" t="s">
        <v>307</v>
      </c>
      <c r="AH22" s="745" t="s">
        <v>328</v>
      </c>
      <c r="AI22" s="1602" t="s">
        <v>328</v>
      </c>
      <c r="AJ22" s="744" t="s">
        <v>329</v>
      </c>
      <c r="AK22" s="744" t="s">
        <v>293</v>
      </c>
      <c r="AL22" s="744" t="s">
        <v>307</v>
      </c>
      <c r="AM22" s="581" t="s">
        <v>242</v>
      </c>
      <c r="AN22" s="593" t="s">
        <v>242</v>
      </c>
      <c r="AO22" s="581" t="s">
        <v>332</v>
      </c>
      <c r="AP22" s="581" t="s">
        <v>333</v>
      </c>
      <c r="AR22" s="169" t="s">
        <v>143</v>
      </c>
      <c r="AS22" s="581" t="s">
        <v>332</v>
      </c>
    </row>
    <row r="23" spans="2:45" ht="13" x14ac:dyDescent="0.25">
      <c r="B23" s="319"/>
      <c r="C23" s="575" t="s">
        <v>334</v>
      </c>
      <c r="D23" s="575" t="s">
        <v>817</v>
      </c>
      <c r="E23" s="575" t="s">
        <v>334</v>
      </c>
      <c r="F23" s="575" t="s">
        <v>335</v>
      </c>
      <c r="G23" s="575" t="s">
        <v>335</v>
      </c>
      <c r="H23" s="746" t="s">
        <v>334</v>
      </c>
      <c r="I23" s="746" t="s">
        <v>817</v>
      </c>
      <c r="J23" s="746" t="s">
        <v>334</v>
      </c>
      <c r="K23" s="746" t="s">
        <v>335</v>
      </c>
      <c r="L23" s="746" t="s">
        <v>335</v>
      </c>
      <c r="M23" s="746" t="s">
        <v>334</v>
      </c>
      <c r="N23" s="746" t="s">
        <v>817</v>
      </c>
      <c r="O23" s="746" t="s">
        <v>334</v>
      </c>
      <c r="P23" s="746" t="s">
        <v>335</v>
      </c>
      <c r="Q23" s="746" t="s">
        <v>335</v>
      </c>
      <c r="R23" s="582" t="s">
        <v>251</v>
      </c>
      <c r="S23" s="594" t="s">
        <v>147</v>
      </c>
      <c r="T23" s="582" t="s">
        <v>336</v>
      </c>
      <c r="W23" s="319"/>
      <c r="X23" s="575" t="s">
        <v>334</v>
      </c>
      <c r="Y23" s="575" t="s">
        <v>817</v>
      </c>
      <c r="Z23" s="575" t="s">
        <v>334</v>
      </c>
      <c r="AA23" s="575" t="s">
        <v>335</v>
      </c>
      <c r="AB23" s="575" t="s">
        <v>335</v>
      </c>
      <c r="AC23" s="746" t="s">
        <v>334</v>
      </c>
      <c r="AD23" s="746" t="s">
        <v>817</v>
      </c>
      <c r="AE23" s="746" t="s">
        <v>334</v>
      </c>
      <c r="AF23" s="746" t="s">
        <v>335</v>
      </c>
      <c r="AG23" s="746" t="s">
        <v>335</v>
      </c>
      <c r="AH23" s="746" t="s">
        <v>334</v>
      </c>
      <c r="AI23" s="746" t="s">
        <v>817</v>
      </c>
      <c r="AJ23" s="746" t="s">
        <v>334</v>
      </c>
      <c r="AK23" s="746" t="s">
        <v>335</v>
      </c>
      <c r="AL23" s="746" t="s">
        <v>335</v>
      </c>
      <c r="AM23" s="582" t="s">
        <v>148</v>
      </c>
      <c r="AN23" s="594" t="s">
        <v>148</v>
      </c>
      <c r="AO23" s="582" t="s">
        <v>337</v>
      </c>
      <c r="AP23" s="582" t="s">
        <v>338</v>
      </c>
      <c r="AR23" s="611" t="s">
        <v>339</v>
      </c>
      <c r="AS23" s="582" t="s">
        <v>337</v>
      </c>
    </row>
    <row r="24" spans="2:45" ht="13" x14ac:dyDescent="0.3">
      <c r="B24" s="157" t="s">
        <v>5</v>
      </c>
      <c r="C24" s="158"/>
      <c r="D24" s="158"/>
      <c r="E24" s="159"/>
      <c r="F24" s="159"/>
      <c r="G24" s="159"/>
      <c r="H24" s="159"/>
      <c r="I24" s="159"/>
      <c r="J24" s="159"/>
      <c r="K24" s="159"/>
      <c r="L24" s="159"/>
      <c r="M24" s="159"/>
      <c r="N24" s="159"/>
      <c r="O24" s="159"/>
      <c r="P24" s="159"/>
      <c r="Q24" s="159"/>
      <c r="R24" s="159"/>
      <c r="S24" s="159"/>
      <c r="T24" s="160"/>
      <c r="W24" s="157" t="s">
        <v>5</v>
      </c>
      <c r="X24" s="158"/>
      <c r="Y24" s="158"/>
      <c r="Z24" s="159"/>
      <c r="AA24" s="159"/>
      <c r="AB24" s="159"/>
      <c r="AC24" s="159"/>
      <c r="AD24" s="159"/>
      <c r="AE24" s="159"/>
      <c r="AF24" s="159"/>
      <c r="AG24" s="159"/>
      <c r="AH24" s="159"/>
      <c r="AI24" s="159"/>
      <c r="AJ24" s="159"/>
      <c r="AK24" s="159"/>
      <c r="AL24" s="159"/>
      <c r="AM24" s="159"/>
      <c r="AN24" s="159"/>
      <c r="AO24" s="159"/>
      <c r="AP24" s="160"/>
      <c r="AR24" s="154">
        <v>1</v>
      </c>
      <c r="AS24" s="1004" t="e">
        <f t="shared" ref="AS24:AS51" si="0">IF(ISNA(IF(AR24&lt;=Construct,AO25,VLOOKUP(AR24-Construct,$W$34:$AO$53,19,FALSE))),0,IF(AR24&lt;=Construct,AO25,VLOOKUP(AR24-Construct,$W$34:$AO$53,19,FALSE)))</f>
        <v>#DIV/0!</v>
      </c>
    </row>
    <row r="25" spans="2:45" x14ac:dyDescent="0.25">
      <c r="B25" s="154">
        <v>1</v>
      </c>
      <c r="C25" s="601"/>
      <c r="D25" s="1599"/>
      <c r="E25" s="602"/>
      <c r="F25" s="602"/>
      <c r="G25" s="998"/>
      <c r="H25" s="999"/>
      <c r="I25" s="448"/>
      <c r="J25" s="448"/>
      <c r="K25" s="448"/>
      <c r="L25" s="998"/>
      <c r="M25" s="999"/>
      <c r="N25" s="448"/>
      <c r="O25" s="448"/>
      <c r="P25" s="448"/>
      <c r="Q25" s="448"/>
      <c r="R25" s="583">
        <f t="shared" ref="R25:R32" si="1">SUM(C25:Q25)</f>
        <v>0</v>
      </c>
      <c r="S25" s="595">
        <f>'1) Project Information'!AE15</f>
        <v>0</v>
      </c>
      <c r="T25" s="583">
        <f>R25-S25</f>
        <v>0</v>
      </c>
      <c r="W25" s="154">
        <v>1</v>
      </c>
      <c r="X25" s="601"/>
      <c r="Y25" s="1599"/>
      <c r="Z25" s="602"/>
      <c r="AA25" s="602"/>
      <c r="AB25" s="998"/>
      <c r="AC25" s="999"/>
      <c r="AD25" s="448"/>
      <c r="AE25" s="448"/>
      <c r="AF25" s="448"/>
      <c r="AG25" s="998"/>
      <c r="AH25" s="999"/>
      <c r="AI25" s="448"/>
      <c r="AJ25" s="448"/>
      <c r="AK25" s="448"/>
      <c r="AL25" s="448"/>
      <c r="AM25" s="583">
        <f>SUM(X25:AL25)</f>
        <v>0</v>
      </c>
      <c r="AN25" s="595">
        <f>'1) Project Information'!AD15</f>
        <v>0</v>
      </c>
      <c r="AO25" s="583">
        <f>AM25-AN25</f>
        <v>0</v>
      </c>
      <c r="AP25" s="706"/>
      <c r="AR25" s="154">
        <v>2</v>
      </c>
      <c r="AS25" s="583" t="e">
        <f t="shared" si="0"/>
        <v>#DIV/0!</v>
      </c>
    </row>
    <row r="26" spans="2:45" x14ac:dyDescent="0.25">
      <c r="B26" s="151">
        <v>2</v>
      </c>
      <c r="C26" s="603"/>
      <c r="D26" s="1600"/>
      <c r="E26" s="448"/>
      <c r="F26" s="448"/>
      <c r="G26" s="1000"/>
      <c r="H26" s="1001"/>
      <c r="I26" s="448"/>
      <c r="J26" s="448"/>
      <c r="K26" s="448"/>
      <c r="L26" s="1000"/>
      <c r="M26" s="1001"/>
      <c r="N26" s="448"/>
      <c r="O26" s="448"/>
      <c r="P26" s="448"/>
      <c r="Q26" s="448"/>
      <c r="R26" s="583">
        <f t="shared" si="1"/>
        <v>0</v>
      </c>
      <c r="S26" s="595">
        <f>'1) Project Information'!AE16</f>
        <v>0</v>
      </c>
      <c r="T26" s="583">
        <f t="shared" ref="T26:T32" si="2">R26-S26</f>
        <v>0</v>
      </c>
      <c r="W26" s="151">
        <v>2</v>
      </c>
      <c r="X26" s="603"/>
      <c r="Y26" s="1600"/>
      <c r="Z26" s="448"/>
      <c r="AA26" s="448"/>
      <c r="AB26" s="1000"/>
      <c r="AC26" s="1001"/>
      <c r="AD26" s="448"/>
      <c r="AE26" s="448"/>
      <c r="AF26" s="448"/>
      <c r="AG26" s="1000"/>
      <c r="AH26" s="1001"/>
      <c r="AI26" s="448"/>
      <c r="AJ26" s="448"/>
      <c r="AK26" s="448"/>
      <c r="AL26" s="448"/>
      <c r="AM26" s="583">
        <f t="shared" ref="AM26:AM32" si="3">SUM(X26:AL26)</f>
        <v>0</v>
      </c>
      <c r="AN26" s="595">
        <f>'1) Project Information'!AD16</f>
        <v>0</v>
      </c>
      <c r="AO26" s="583">
        <f t="shared" ref="AO26:AO32" si="4">AM26-AN26</f>
        <v>0</v>
      </c>
      <c r="AP26" s="588"/>
      <c r="AR26" s="154">
        <v>3</v>
      </c>
      <c r="AS26" s="583" t="e">
        <f t="shared" si="0"/>
        <v>#DIV/0!</v>
      </c>
    </row>
    <row r="27" spans="2:45" x14ac:dyDescent="0.25">
      <c r="B27" s="151">
        <v>3</v>
      </c>
      <c r="C27" s="603"/>
      <c r="D27" s="1600"/>
      <c r="E27" s="448"/>
      <c r="F27" s="448"/>
      <c r="G27" s="1000"/>
      <c r="H27" s="1001"/>
      <c r="I27" s="448"/>
      <c r="J27" s="448"/>
      <c r="K27" s="448"/>
      <c r="L27" s="1000"/>
      <c r="M27" s="1001"/>
      <c r="N27" s="448"/>
      <c r="O27" s="448"/>
      <c r="P27" s="448"/>
      <c r="Q27" s="448"/>
      <c r="R27" s="583">
        <f t="shared" si="1"/>
        <v>0</v>
      </c>
      <c r="S27" s="595">
        <f>'1) Project Information'!AE17</f>
        <v>0</v>
      </c>
      <c r="T27" s="583">
        <f t="shared" si="2"/>
        <v>0</v>
      </c>
      <c r="W27" s="151">
        <v>3</v>
      </c>
      <c r="X27" s="603"/>
      <c r="Y27" s="1600"/>
      <c r="Z27" s="448"/>
      <c r="AA27" s="448"/>
      <c r="AB27" s="1000"/>
      <c r="AC27" s="1001"/>
      <c r="AD27" s="448"/>
      <c r="AE27" s="448"/>
      <c r="AF27" s="448"/>
      <c r="AG27" s="1000"/>
      <c r="AH27" s="1001"/>
      <c r="AI27" s="448"/>
      <c r="AJ27" s="448"/>
      <c r="AK27" s="448"/>
      <c r="AL27" s="448"/>
      <c r="AM27" s="583">
        <f t="shared" si="3"/>
        <v>0</v>
      </c>
      <c r="AN27" s="595">
        <f>'1) Project Information'!AD17</f>
        <v>0</v>
      </c>
      <c r="AO27" s="583">
        <f t="shared" si="4"/>
        <v>0</v>
      </c>
      <c r="AP27" s="588"/>
      <c r="AR27" s="154">
        <v>4</v>
      </c>
      <c r="AS27" s="583" t="e">
        <f t="shared" si="0"/>
        <v>#DIV/0!</v>
      </c>
    </row>
    <row r="28" spans="2:45" x14ac:dyDescent="0.25">
      <c r="B28" s="151">
        <v>4</v>
      </c>
      <c r="C28" s="603"/>
      <c r="D28" s="1600"/>
      <c r="E28" s="448"/>
      <c r="F28" s="448"/>
      <c r="G28" s="1000"/>
      <c r="H28" s="1001"/>
      <c r="I28" s="448"/>
      <c r="J28" s="448"/>
      <c r="K28" s="448"/>
      <c r="L28" s="1000"/>
      <c r="M28" s="1001"/>
      <c r="N28" s="448"/>
      <c r="O28" s="448"/>
      <c r="P28" s="448"/>
      <c r="Q28" s="448"/>
      <c r="R28" s="583">
        <f t="shared" si="1"/>
        <v>0</v>
      </c>
      <c r="S28" s="595">
        <f>'1) Project Information'!AE18</f>
        <v>0</v>
      </c>
      <c r="T28" s="583">
        <f t="shared" si="2"/>
        <v>0</v>
      </c>
      <c r="W28" s="151">
        <v>4</v>
      </c>
      <c r="X28" s="603"/>
      <c r="Y28" s="1600"/>
      <c r="Z28" s="448"/>
      <c r="AA28" s="448"/>
      <c r="AB28" s="1000"/>
      <c r="AC28" s="1001"/>
      <c r="AD28" s="448"/>
      <c r="AE28" s="448"/>
      <c r="AF28" s="448"/>
      <c r="AG28" s="1000"/>
      <c r="AH28" s="1001"/>
      <c r="AI28" s="448"/>
      <c r="AJ28" s="448"/>
      <c r="AK28" s="448"/>
      <c r="AL28" s="448"/>
      <c r="AM28" s="583">
        <f t="shared" si="3"/>
        <v>0</v>
      </c>
      <c r="AN28" s="595">
        <f>'1) Project Information'!AD18</f>
        <v>0</v>
      </c>
      <c r="AO28" s="583">
        <f t="shared" si="4"/>
        <v>0</v>
      </c>
      <c r="AP28" s="588"/>
      <c r="AR28" s="154">
        <v>5</v>
      </c>
      <c r="AS28" s="583" t="e">
        <f t="shared" si="0"/>
        <v>#DIV/0!</v>
      </c>
    </row>
    <row r="29" spans="2:45" x14ac:dyDescent="0.25">
      <c r="B29" s="151">
        <v>5</v>
      </c>
      <c r="C29" s="603"/>
      <c r="D29" s="1600"/>
      <c r="E29" s="448"/>
      <c r="F29" s="448"/>
      <c r="G29" s="1000"/>
      <c r="H29" s="1001"/>
      <c r="I29" s="448"/>
      <c r="J29" s="448"/>
      <c r="K29" s="448"/>
      <c r="L29" s="1000"/>
      <c r="M29" s="1001"/>
      <c r="N29" s="448"/>
      <c r="O29" s="448"/>
      <c r="P29" s="448"/>
      <c r="Q29" s="448"/>
      <c r="R29" s="583">
        <f t="shared" si="1"/>
        <v>0</v>
      </c>
      <c r="S29" s="595">
        <f>'1) Project Information'!AE19</f>
        <v>0</v>
      </c>
      <c r="T29" s="583">
        <f t="shared" si="2"/>
        <v>0</v>
      </c>
      <c r="W29" s="151">
        <v>5</v>
      </c>
      <c r="X29" s="603"/>
      <c r="Y29" s="1600"/>
      <c r="Z29" s="448"/>
      <c r="AA29" s="448"/>
      <c r="AB29" s="1000"/>
      <c r="AC29" s="1001"/>
      <c r="AD29" s="448"/>
      <c r="AE29" s="448"/>
      <c r="AF29" s="448"/>
      <c r="AG29" s="1000"/>
      <c r="AH29" s="1001"/>
      <c r="AI29" s="448"/>
      <c r="AJ29" s="448"/>
      <c r="AK29" s="448"/>
      <c r="AL29" s="448"/>
      <c r="AM29" s="583">
        <f t="shared" si="3"/>
        <v>0</v>
      </c>
      <c r="AN29" s="595">
        <f>'1) Project Information'!AD19</f>
        <v>0</v>
      </c>
      <c r="AO29" s="583">
        <f t="shared" si="4"/>
        <v>0</v>
      </c>
      <c r="AP29" s="588"/>
      <c r="AR29" s="154">
        <v>6</v>
      </c>
      <c r="AS29" s="583" t="e">
        <f t="shared" si="0"/>
        <v>#DIV/0!</v>
      </c>
    </row>
    <row r="30" spans="2:45" x14ac:dyDescent="0.25">
      <c r="B30" s="151">
        <v>6</v>
      </c>
      <c r="C30" s="603"/>
      <c r="D30" s="1600"/>
      <c r="E30" s="448"/>
      <c r="F30" s="448"/>
      <c r="G30" s="1000"/>
      <c r="H30" s="1001"/>
      <c r="I30" s="448"/>
      <c r="J30" s="448"/>
      <c r="K30" s="448"/>
      <c r="L30" s="1000"/>
      <c r="M30" s="1001"/>
      <c r="N30" s="448"/>
      <c r="O30" s="448"/>
      <c r="P30" s="448"/>
      <c r="Q30" s="448"/>
      <c r="R30" s="583">
        <f t="shared" si="1"/>
        <v>0</v>
      </c>
      <c r="S30" s="595">
        <f>'1) Project Information'!AE20</f>
        <v>0</v>
      </c>
      <c r="T30" s="583">
        <f t="shared" si="2"/>
        <v>0</v>
      </c>
      <c r="W30" s="151">
        <v>6</v>
      </c>
      <c r="X30" s="603"/>
      <c r="Y30" s="1600"/>
      <c r="Z30" s="448"/>
      <c r="AA30" s="448"/>
      <c r="AB30" s="1000"/>
      <c r="AC30" s="1001"/>
      <c r="AD30" s="448"/>
      <c r="AE30" s="448"/>
      <c r="AF30" s="448"/>
      <c r="AG30" s="1000"/>
      <c r="AH30" s="1001"/>
      <c r="AI30" s="448"/>
      <c r="AJ30" s="448"/>
      <c r="AK30" s="448"/>
      <c r="AL30" s="448"/>
      <c r="AM30" s="583">
        <f t="shared" si="3"/>
        <v>0</v>
      </c>
      <c r="AN30" s="595">
        <f>'1) Project Information'!AD20</f>
        <v>0</v>
      </c>
      <c r="AO30" s="583">
        <f t="shared" si="4"/>
        <v>0</v>
      </c>
      <c r="AP30" s="588"/>
      <c r="AR30" s="154">
        <v>7</v>
      </c>
      <c r="AS30" s="583" t="e">
        <f t="shared" si="0"/>
        <v>#DIV/0!</v>
      </c>
    </row>
    <row r="31" spans="2:45" x14ac:dyDescent="0.25">
      <c r="B31" s="151">
        <v>7</v>
      </c>
      <c r="C31" s="603"/>
      <c r="D31" s="1600"/>
      <c r="E31" s="448"/>
      <c r="F31" s="448"/>
      <c r="G31" s="1000"/>
      <c r="H31" s="1001"/>
      <c r="I31" s="448"/>
      <c r="J31" s="448"/>
      <c r="K31" s="448"/>
      <c r="L31" s="1000"/>
      <c r="M31" s="1001"/>
      <c r="N31" s="448"/>
      <c r="O31" s="448"/>
      <c r="P31" s="448"/>
      <c r="Q31" s="448"/>
      <c r="R31" s="583">
        <f t="shared" si="1"/>
        <v>0</v>
      </c>
      <c r="S31" s="595">
        <f>'1) Project Information'!AE21</f>
        <v>0</v>
      </c>
      <c r="T31" s="583">
        <f t="shared" si="2"/>
        <v>0</v>
      </c>
      <c r="W31" s="151">
        <v>7</v>
      </c>
      <c r="X31" s="603"/>
      <c r="Y31" s="1600"/>
      <c r="Z31" s="448"/>
      <c r="AA31" s="448"/>
      <c r="AB31" s="1000"/>
      <c r="AC31" s="1001"/>
      <c r="AD31" s="448"/>
      <c r="AE31" s="448"/>
      <c r="AF31" s="448"/>
      <c r="AG31" s="1000"/>
      <c r="AH31" s="1001"/>
      <c r="AI31" s="448"/>
      <c r="AJ31" s="448"/>
      <c r="AK31" s="448"/>
      <c r="AL31" s="448"/>
      <c r="AM31" s="583">
        <f t="shared" si="3"/>
        <v>0</v>
      </c>
      <c r="AN31" s="595">
        <f>'1) Project Information'!AD21</f>
        <v>0</v>
      </c>
      <c r="AO31" s="583">
        <f t="shared" si="4"/>
        <v>0</v>
      </c>
      <c r="AP31" s="588"/>
      <c r="AR31" s="154">
        <v>8</v>
      </c>
      <c r="AS31" s="583" t="e">
        <f t="shared" si="0"/>
        <v>#DIV/0!</v>
      </c>
    </row>
    <row r="32" spans="2:45" x14ac:dyDescent="0.25">
      <c r="B32" s="161">
        <v>8</v>
      </c>
      <c r="C32" s="604"/>
      <c r="D32" s="1601"/>
      <c r="E32" s="605"/>
      <c r="F32" s="605"/>
      <c r="G32" s="1002"/>
      <c r="H32" s="1003"/>
      <c r="I32" s="448"/>
      <c r="J32" s="448"/>
      <c r="K32" s="448"/>
      <c r="L32" s="1002"/>
      <c r="M32" s="1003"/>
      <c r="N32" s="448"/>
      <c r="O32" s="448"/>
      <c r="P32" s="448"/>
      <c r="Q32" s="448"/>
      <c r="R32" s="583">
        <f t="shared" si="1"/>
        <v>0</v>
      </c>
      <c r="S32" s="595">
        <f>'1) Project Information'!AE22</f>
        <v>0</v>
      </c>
      <c r="T32" s="583">
        <f t="shared" si="2"/>
        <v>0</v>
      </c>
      <c r="W32" s="161">
        <v>8</v>
      </c>
      <c r="X32" s="604"/>
      <c r="Y32" s="1601"/>
      <c r="Z32" s="605"/>
      <c r="AA32" s="605"/>
      <c r="AB32" s="1002"/>
      <c r="AC32" s="1003"/>
      <c r="AD32" s="448"/>
      <c r="AE32" s="448"/>
      <c r="AF32" s="448"/>
      <c r="AG32" s="1002"/>
      <c r="AH32" s="1003"/>
      <c r="AI32" s="448"/>
      <c r="AJ32" s="448"/>
      <c r="AK32" s="448"/>
      <c r="AL32" s="448"/>
      <c r="AM32" s="583">
        <f t="shared" si="3"/>
        <v>0</v>
      </c>
      <c r="AN32" s="595">
        <f>'1) Project Information'!AD22</f>
        <v>0</v>
      </c>
      <c r="AO32" s="583">
        <f t="shared" si="4"/>
        <v>0</v>
      </c>
      <c r="AP32" s="707"/>
      <c r="AR32" s="154">
        <v>9</v>
      </c>
      <c r="AS32" s="583" t="e">
        <f t="shared" si="0"/>
        <v>#DIV/0!</v>
      </c>
    </row>
    <row r="33" spans="2:45" ht="13" x14ac:dyDescent="0.3">
      <c r="B33" s="164" t="s">
        <v>6</v>
      </c>
      <c r="C33" s="158"/>
      <c r="D33" s="158"/>
      <c r="E33" s="159"/>
      <c r="F33" s="159"/>
      <c r="G33" s="159"/>
      <c r="H33" s="159"/>
      <c r="I33" s="159"/>
      <c r="J33" s="159"/>
      <c r="K33" s="159"/>
      <c r="L33" s="159"/>
      <c r="M33" s="159"/>
      <c r="N33" s="159"/>
      <c r="O33" s="159"/>
      <c r="P33" s="159"/>
      <c r="Q33" s="159"/>
      <c r="R33" s="159"/>
      <c r="S33" s="159"/>
      <c r="T33" s="160"/>
      <c r="W33" s="164" t="s">
        <v>6</v>
      </c>
      <c r="X33" s="158"/>
      <c r="Y33" s="158"/>
      <c r="Z33" s="159"/>
      <c r="AA33" s="159"/>
      <c r="AB33" s="159"/>
      <c r="AC33" s="159"/>
      <c r="AD33" s="159"/>
      <c r="AE33" s="159"/>
      <c r="AF33" s="159"/>
      <c r="AG33" s="159"/>
      <c r="AH33" s="159"/>
      <c r="AI33" s="159"/>
      <c r="AJ33" s="159"/>
      <c r="AK33" s="159"/>
      <c r="AL33" s="159"/>
      <c r="AM33" s="159"/>
      <c r="AN33" s="159"/>
      <c r="AO33" s="159"/>
      <c r="AP33" s="160"/>
      <c r="AR33" s="154">
        <v>10</v>
      </c>
      <c r="AS33" s="583" t="e">
        <f t="shared" si="0"/>
        <v>#DIV/0!</v>
      </c>
    </row>
    <row r="34" spans="2:45" x14ac:dyDescent="0.25">
      <c r="B34" s="598">
        <v>1</v>
      </c>
      <c r="C34" s="478">
        <f>'Travel Time'!AQ24</f>
        <v>0</v>
      </c>
      <c r="D34" s="1463" t="e">
        <f>Reliability!AM26</f>
        <v>#DIV/0!</v>
      </c>
      <c r="E34" s="478">
        <f>'Vehicle Operating Costs'!AK24</f>
        <v>0</v>
      </c>
      <c r="F34" s="478">
        <f>'Accident Costs'!AD24</f>
        <v>0</v>
      </c>
      <c r="G34" s="478" t="e">
        <f>Emissions!BP24</f>
        <v>#N/A</v>
      </c>
      <c r="H34" s="747"/>
      <c r="I34" s="747"/>
      <c r="J34" s="747"/>
      <c r="K34" s="747"/>
      <c r="L34" s="747"/>
      <c r="M34" s="747"/>
      <c r="N34" s="747"/>
      <c r="O34" s="747"/>
      <c r="P34" s="747"/>
      <c r="Q34" s="747"/>
      <c r="R34" s="583" t="e">
        <f t="shared" ref="R34:R53" si="5">SUM(C34:Q34)</f>
        <v>#DIV/0!</v>
      </c>
      <c r="S34" s="595">
        <f>'1) Project Information'!AE24</f>
        <v>0</v>
      </c>
      <c r="T34" s="583" t="e">
        <f>R34-S34</f>
        <v>#DIV/0!</v>
      </c>
      <c r="W34" s="598">
        <v>1</v>
      </c>
      <c r="X34" s="478">
        <f>'Travel Time'!AS24</f>
        <v>0</v>
      </c>
      <c r="Y34" s="478" t="e">
        <f>Reliability!AO26</f>
        <v>#DIV/0!</v>
      </c>
      <c r="Z34" s="478">
        <f>'Vehicle Operating Costs'!AM24</f>
        <v>0</v>
      </c>
      <c r="AA34" s="478">
        <f>'Accident Costs'!AF24</f>
        <v>0</v>
      </c>
      <c r="AB34" s="478" t="e">
        <f>Emissions!BR24</f>
        <v>#N/A</v>
      </c>
      <c r="AC34" s="747"/>
      <c r="AD34" s="747"/>
      <c r="AE34" s="747"/>
      <c r="AF34" s="747"/>
      <c r="AG34" s="747"/>
      <c r="AH34" s="747"/>
      <c r="AI34" s="747"/>
      <c r="AJ34" s="747"/>
      <c r="AK34" s="747"/>
      <c r="AL34" s="747"/>
      <c r="AM34" s="583" t="e">
        <f t="shared" ref="AM34:AM53" si="6">SUM(X34:AL34)</f>
        <v>#DIV/0!</v>
      </c>
      <c r="AN34" s="595">
        <f>'1) Project Information'!AD24</f>
        <v>0</v>
      </c>
      <c r="AO34" s="583" t="e">
        <f>AM34-AN34</f>
        <v>#DIV/0!</v>
      </c>
      <c r="AP34" s="583" t="e">
        <f>AO34</f>
        <v>#DIV/0!</v>
      </c>
      <c r="AR34" s="154">
        <v>11</v>
      </c>
      <c r="AS34" s="583" t="e">
        <f t="shared" si="0"/>
        <v>#DIV/0!</v>
      </c>
    </row>
    <row r="35" spans="2:45" x14ac:dyDescent="0.25">
      <c r="B35" s="152">
        <v>2</v>
      </c>
      <c r="C35" s="478">
        <f>'Travel Time'!AQ27</f>
        <v>0</v>
      </c>
      <c r="D35" s="1463" t="e">
        <f>Reliability!AM29</f>
        <v>#DIV/0!</v>
      </c>
      <c r="E35" s="478">
        <f>'Vehicle Operating Costs'!AK27</f>
        <v>0</v>
      </c>
      <c r="F35" s="478">
        <f>'Accident Costs'!AD27</f>
        <v>0</v>
      </c>
      <c r="G35" s="478" t="e">
        <f>Emissions!BP27</f>
        <v>#N/A</v>
      </c>
      <c r="H35" s="747"/>
      <c r="I35" s="747"/>
      <c r="J35" s="747"/>
      <c r="K35" s="747"/>
      <c r="L35" s="747"/>
      <c r="M35" s="747"/>
      <c r="N35" s="747"/>
      <c r="O35" s="747"/>
      <c r="P35" s="747"/>
      <c r="Q35" s="747"/>
      <c r="R35" s="583" t="e">
        <f t="shared" si="5"/>
        <v>#DIV/0!</v>
      </c>
      <c r="S35" s="595">
        <f>'1) Project Information'!AE25</f>
        <v>0</v>
      </c>
      <c r="T35" s="583" t="e">
        <f t="shared" ref="T35:T53" si="7">R35-S35</f>
        <v>#DIV/0!</v>
      </c>
      <c r="W35" s="152">
        <v>2</v>
      </c>
      <c r="X35" s="478">
        <f>'Travel Time'!AS27</f>
        <v>0</v>
      </c>
      <c r="Y35" s="478" t="e">
        <f>Reliability!AO29</f>
        <v>#DIV/0!</v>
      </c>
      <c r="Z35" s="478">
        <f>'Vehicle Operating Costs'!AM27</f>
        <v>0</v>
      </c>
      <c r="AA35" s="478">
        <f>'Accident Costs'!AF27</f>
        <v>0</v>
      </c>
      <c r="AB35" s="478" t="e">
        <f>Emissions!BR27</f>
        <v>#N/A</v>
      </c>
      <c r="AC35" s="747"/>
      <c r="AD35" s="747"/>
      <c r="AE35" s="747"/>
      <c r="AF35" s="747"/>
      <c r="AG35" s="747"/>
      <c r="AH35" s="747"/>
      <c r="AI35" s="747"/>
      <c r="AJ35" s="747"/>
      <c r="AK35" s="747"/>
      <c r="AL35" s="747"/>
      <c r="AM35" s="583" t="e">
        <f t="shared" si="6"/>
        <v>#DIV/0!</v>
      </c>
      <c r="AN35" s="595">
        <f>'1) Project Information'!AD25</f>
        <v>0</v>
      </c>
      <c r="AO35" s="583" t="e">
        <f t="shared" ref="AO35:AO53" si="8">AM35-AN35</f>
        <v>#DIV/0!</v>
      </c>
      <c r="AP35" s="583" t="e">
        <f>AP34+AO35</f>
        <v>#DIV/0!</v>
      </c>
      <c r="AR35" s="154">
        <v>12</v>
      </c>
      <c r="AS35" s="583" t="e">
        <f t="shared" si="0"/>
        <v>#DIV/0!</v>
      </c>
    </row>
    <row r="36" spans="2:45" x14ac:dyDescent="0.25">
      <c r="B36" s="152">
        <v>3</v>
      </c>
      <c r="C36" s="478">
        <f>'Travel Time'!AQ28</f>
        <v>0</v>
      </c>
      <c r="D36" s="1463" t="e">
        <f>Reliability!AM30</f>
        <v>#DIV/0!</v>
      </c>
      <c r="E36" s="478">
        <f>'Vehicle Operating Costs'!AK28</f>
        <v>0</v>
      </c>
      <c r="F36" s="478">
        <f>'Accident Costs'!AD28</f>
        <v>0</v>
      </c>
      <c r="G36" s="478" t="e">
        <f>Emissions!BP28</f>
        <v>#N/A</v>
      </c>
      <c r="H36" s="747"/>
      <c r="I36" s="747"/>
      <c r="J36" s="747"/>
      <c r="K36" s="747"/>
      <c r="L36" s="747"/>
      <c r="M36" s="747"/>
      <c r="N36" s="747"/>
      <c r="O36" s="747"/>
      <c r="P36" s="747"/>
      <c r="Q36" s="747"/>
      <c r="R36" s="583" t="e">
        <f t="shared" si="5"/>
        <v>#DIV/0!</v>
      </c>
      <c r="S36" s="595">
        <f>'1) Project Information'!AE26</f>
        <v>0</v>
      </c>
      <c r="T36" s="583" t="e">
        <f t="shared" si="7"/>
        <v>#DIV/0!</v>
      </c>
      <c r="W36" s="152">
        <v>3</v>
      </c>
      <c r="X36" s="478">
        <f>'Travel Time'!AS28</f>
        <v>0</v>
      </c>
      <c r="Y36" s="478" t="e">
        <f>Reliability!AO30</f>
        <v>#DIV/0!</v>
      </c>
      <c r="Z36" s="478">
        <f>'Vehicle Operating Costs'!AM28</f>
        <v>0</v>
      </c>
      <c r="AA36" s="478">
        <f>'Accident Costs'!AF28</f>
        <v>0</v>
      </c>
      <c r="AB36" s="478" t="e">
        <f>Emissions!BR28</f>
        <v>#N/A</v>
      </c>
      <c r="AC36" s="747"/>
      <c r="AD36" s="747"/>
      <c r="AE36" s="747"/>
      <c r="AF36" s="747"/>
      <c r="AG36" s="747"/>
      <c r="AH36" s="747"/>
      <c r="AI36" s="747"/>
      <c r="AJ36" s="747"/>
      <c r="AK36" s="747"/>
      <c r="AL36" s="747"/>
      <c r="AM36" s="583" t="e">
        <f t="shared" si="6"/>
        <v>#DIV/0!</v>
      </c>
      <c r="AN36" s="595">
        <f>'1) Project Information'!AD26</f>
        <v>0</v>
      </c>
      <c r="AO36" s="583" t="e">
        <f t="shared" si="8"/>
        <v>#DIV/0!</v>
      </c>
      <c r="AP36" s="583" t="e">
        <f t="shared" ref="AP36:AP53" si="9">AP35+AO36</f>
        <v>#DIV/0!</v>
      </c>
      <c r="AR36" s="154">
        <v>13</v>
      </c>
      <c r="AS36" s="583" t="e">
        <f t="shared" si="0"/>
        <v>#DIV/0!</v>
      </c>
    </row>
    <row r="37" spans="2:45" x14ac:dyDescent="0.25">
      <c r="B37" s="152">
        <v>4</v>
      </c>
      <c r="C37" s="478">
        <f>'Travel Time'!AQ29</f>
        <v>0</v>
      </c>
      <c r="D37" s="1463" t="e">
        <f>Reliability!AM31</f>
        <v>#DIV/0!</v>
      </c>
      <c r="E37" s="478">
        <f>'Vehicle Operating Costs'!AK29</f>
        <v>0</v>
      </c>
      <c r="F37" s="478">
        <f>'Accident Costs'!AD29</f>
        <v>0</v>
      </c>
      <c r="G37" s="478" t="e">
        <f>Emissions!BP29</f>
        <v>#N/A</v>
      </c>
      <c r="H37" s="747"/>
      <c r="I37" s="747"/>
      <c r="J37" s="747"/>
      <c r="K37" s="747"/>
      <c r="L37" s="747"/>
      <c r="M37" s="747"/>
      <c r="N37" s="747"/>
      <c r="O37" s="747"/>
      <c r="P37" s="747"/>
      <c r="Q37" s="747"/>
      <c r="R37" s="583" t="e">
        <f t="shared" si="5"/>
        <v>#DIV/0!</v>
      </c>
      <c r="S37" s="595">
        <f>'1) Project Information'!AE27</f>
        <v>0</v>
      </c>
      <c r="T37" s="583" t="e">
        <f t="shared" si="7"/>
        <v>#DIV/0!</v>
      </c>
      <c r="W37" s="152">
        <v>4</v>
      </c>
      <c r="X37" s="478">
        <f>'Travel Time'!AS29</f>
        <v>0</v>
      </c>
      <c r="Y37" s="478" t="e">
        <f>Reliability!AO31</f>
        <v>#DIV/0!</v>
      </c>
      <c r="Z37" s="478">
        <f>'Vehicle Operating Costs'!AM29</f>
        <v>0</v>
      </c>
      <c r="AA37" s="478">
        <f>'Accident Costs'!AF29</f>
        <v>0</v>
      </c>
      <c r="AB37" s="478" t="e">
        <f>Emissions!BR29</f>
        <v>#N/A</v>
      </c>
      <c r="AC37" s="747"/>
      <c r="AD37" s="747"/>
      <c r="AE37" s="747"/>
      <c r="AF37" s="747"/>
      <c r="AG37" s="747"/>
      <c r="AH37" s="747"/>
      <c r="AI37" s="747"/>
      <c r="AJ37" s="747"/>
      <c r="AK37" s="747"/>
      <c r="AL37" s="747"/>
      <c r="AM37" s="583" t="e">
        <f t="shared" si="6"/>
        <v>#DIV/0!</v>
      </c>
      <c r="AN37" s="595">
        <f>'1) Project Information'!AD27</f>
        <v>0</v>
      </c>
      <c r="AO37" s="583" t="e">
        <f t="shared" si="8"/>
        <v>#DIV/0!</v>
      </c>
      <c r="AP37" s="583" t="e">
        <f t="shared" si="9"/>
        <v>#DIV/0!</v>
      </c>
      <c r="AR37" s="154">
        <v>14</v>
      </c>
      <c r="AS37" s="583" t="e">
        <f t="shared" si="0"/>
        <v>#DIV/0!</v>
      </c>
    </row>
    <row r="38" spans="2:45" x14ac:dyDescent="0.25">
      <c r="B38" s="152">
        <v>5</v>
      </c>
      <c r="C38" s="478">
        <f>'Travel Time'!AQ30</f>
        <v>0</v>
      </c>
      <c r="D38" s="1463" t="e">
        <f>Reliability!AM32</f>
        <v>#DIV/0!</v>
      </c>
      <c r="E38" s="478">
        <f>'Vehicle Operating Costs'!AK30</f>
        <v>0</v>
      </c>
      <c r="F38" s="478">
        <f>'Accident Costs'!AD30</f>
        <v>0</v>
      </c>
      <c r="G38" s="478" t="e">
        <f>Emissions!BP30</f>
        <v>#N/A</v>
      </c>
      <c r="H38" s="747"/>
      <c r="I38" s="747"/>
      <c r="J38" s="747"/>
      <c r="K38" s="747"/>
      <c r="L38" s="747"/>
      <c r="M38" s="747"/>
      <c r="N38" s="747"/>
      <c r="O38" s="747"/>
      <c r="P38" s="747"/>
      <c r="Q38" s="747"/>
      <c r="R38" s="583" t="e">
        <f t="shared" si="5"/>
        <v>#DIV/0!</v>
      </c>
      <c r="S38" s="595">
        <f>'1) Project Information'!AE28</f>
        <v>0</v>
      </c>
      <c r="T38" s="583" t="e">
        <f t="shared" si="7"/>
        <v>#DIV/0!</v>
      </c>
      <c r="W38" s="152">
        <v>5</v>
      </c>
      <c r="X38" s="478">
        <f>'Travel Time'!AS30</f>
        <v>0</v>
      </c>
      <c r="Y38" s="478" t="e">
        <f>Reliability!AO32</f>
        <v>#DIV/0!</v>
      </c>
      <c r="Z38" s="478">
        <f>'Vehicle Operating Costs'!AM30</f>
        <v>0</v>
      </c>
      <c r="AA38" s="478">
        <f>'Accident Costs'!AF30</f>
        <v>0</v>
      </c>
      <c r="AB38" s="478" t="e">
        <f>Emissions!BR30</f>
        <v>#N/A</v>
      </c>
      <c r="AC38" s="747"/>
      <c r="AD38" s="747"/>
      <c r="AE38" s="747"/>
      <c r="AF38" s="747"/>
      <c r="AG38" s="747"/>
      <c r="AH38" s="747"/>
      <c r="AI38" s="747"/>
      <c r="AJ38" s="747"/>
      <c r="AK38" s="747"/>
      <c r="AL38" s="747"/>
      <c r="AM38" s="583" t="e">
        <f t="shared" si="6"/>
        <v>#DIV/0!</v>
      </c>
      <c r="AN38" s="595">
        <f>'1) Project Information'!AD28</f>
        <v>0</v>
      </c>
      <c r="AO38" s="583" t="e">
        <f t="shared" si="8"/>
        <v>#DIV/0!</v>
      </c>
      <c r="AP38" s="583" t="e">
        <f t="shared" si="9"/>
        <v>#DIV/0!</v>
      </c>
      <c r="AR38" s="154">
        <v>15</v>
      </c>
      <c r="AS38" s="583" t="e">
        <f t="shared" si="0"/>
        <v>#DIV/0!</v>
      </c>
    </row>
    <row r="39" spans="2:45" x14ac:dyDescent="0.25">
      <c r="B39" s="152">
        <v>6</v>
      </c>
      <c r="C39" s="478">
        <f>'Travel Time'!AQ31</f>
        <v>0</v>
      </c>
      <c r="D39" s="1463" t="e">
        <f>Reliability!AM33</f>
        <v>#DIV/0!</v>
      </c>
      <c r="E39" s="478">
        <f>'Vehicle Operating Costs'!AK31</f>
        <v>0</v>
      </c>
      <c r="F39" s="478">
        <f>'Accident Costs'!AD31</f>
        <v>0</v>
      </c>
      <c r="G39" s="478" t="e">
        <f>Emissions!BP31</f>
        <v>#N/A</v>
      </c>
      <c r="H39" s="747"/>
      <c r="I39" s="747"/>
      <c r="J39" s="747"/>
      <c r="K39" s="747"/>
      <c r="L39" s="747"/>
      <c r="M39" s="747"/>
      <c r="N39" s="747"/>
      <c r="O39" s="747"/>
      <c r="P39" s="747"/>
      <c r="Q39" s="747"/>
      <c r="R39" s="583" t="e">
        <f t="shared" si="5"/>
        <v>#DIV/0!</v>
      </c>
      <c r="S39" s="595">
        <f>'1) Project Information'!AE29</f>
        <v>0</v>
      </c>
      <c r="T39" s="583" t="e">
        <f t="shared" si="7"/>
        <v>#DIV/0!</v>
      </c>
      <c r="W39" s="152">
        <v>6</v>
      </c>
      <c r="X39" s="478">
        <f>'Travel Time'!AS31</f>
        <v>0</v>
      </c>
      <c r="Y39" s="478" t="e">
        <f>Reliability!AO33</f>
        <v>#DIV/0!</v>
      </c>
      <c r="Z39" s="478">
        <f>'Vehicle Operating Costs'!AM31</f>
        <v>0</v>
      </c>
      <c r="AA39" s="478">
        <f>'Accident Costs'!AF31</f>
        <v>0</v>
      </c>
      <c r="AB39" s="478" t="e">
        <f>Emissions!BR31</f>
        <v>#N/A</v>
      </c>
      <c r="AC39" s="747"/>
      <c r="AD39" s="747"/>
      <c r="AE39" s="747"/>
      <c r="AF39" s="747"/>
      <c r="AG39" s="747"/>
      <c r="AH39" s="747"/>
      <c r="AI39" s="747"/>
      <c r="AJ39" s="747"/>
      <c r="AK39" s="747"/>
      <c r="AL39" s="747"/>
      <c r="AM39" s="583" t="e">
        <f t="shared" si="6"/>
        <v>#DIV/0!</v>
      </c>
      <c r="AN39" s="595">
        <f>'1) Project Information'!AD29</f>
        <v>0</v>
      </c>
      <c r="AO39" s="583" t="e">
        <f t="shared" si="8"/>
        <v>#DIV/0!</v>
      </c>
      <c r="AP39" s="583" t="e">
        <f t="shared" si="9"/>
        <v>#DIV/0!</v>
      </c>
      <c r="AR39" s="154">
        <v>16</v>
      </c>
      <c r="AS39" s="583" t="e">
        <f t="shared" si="0"/>
        <v>#DIV/0!</v>
      </c>
    </row>
    <row r="40" spans="2:45" x14ac:dyDescent="0.25">
      <c r="B40" s="152">
        <v>7</v>
      </c>
      <c r="C40" s="478">
        <f>'Travel Time'!AQ32</f>
        <v>0</v>
      </c>
      <c r="D40" s="1463" t="e">
        <f>Reliability!AM34</f>
        <v>#DIV/0!</v>
      </c>
      <c r="E40" s="478">
        <f>'Vehicle Operating Costs'!AK32</f>
        <v>0</v>
      </c>
      <c r="F40" s="478">
        <f>'Accident Costs'!AD32</f>
        <v>0</v>
      </c>
      <c r="G40" s="478" t="e">
        <f>Emissions!BP32</f>
        <v>#N/A</v>
      </c>
      <c r="H40" s="747"/>
      <c r="I40" s="747"/>
      <c r="J40" s="747"/>
      <c r="K40" s="747"/>
      <c r="L40" s="747"/>
      <c r="M40" s="747"/>
      <c r="N40" s="747"/>
      <c r="O40" s="747"/>
      <c r="P40" s="747"/>
      <c r="Q40" s="747"/>
      <c r="R40" s="583" t="e">
        <f t="shared" si="5"/>
        <v>#DIV/0!</v>
      </c>
      <c r="S40" s="595">
        <f>'1) Project Information'!AE30</f>
        <v>0</v>
      </c>
      <c r="T40" s="583" t="e">
        <f t="shared" si="7"/>
        <v>#DIV/0!</v>
      </c>
      <c r="W40" s="152">
        <v>7</v>
      </c>
      <c r="X40" s="478">
        <f>'Travel Time'!AS32</f>
        <v>0</v>
      </c>
      <c r="Y40" s="478" t="e">
        <f>Reliability!AO34</f>
        <v>#DIV/0!</v>
      </c>
      <c r="Z40" s="478">
        <f>'Vehicle Operating Costs'!AM32</f>
        <v>0</v>
      </c>
      <c r="AA40" s="478">
        <f>'Accident Costs'!AF32</f>
        <v>0</v>
      </c>
      <c r="AB40" s="478" t="e">
        <f>Emissions!BR32</f>
        <v>#N/A</v>
      </c>
      <c r="AC40" s="747"/>
      <c r="AD40" s="747"/>
      <c r="AE40" s="747"/>
      <c r="AF40" s="747"/>
      <c r="AG40" s="747"/>
      <c r="AH40" s="747"/>
      <c r="AI40" s="747"/>
      <c r="AJ40" s="747"/>
      <c r="AK40" s="747"/>
      <c r="AL40" s="747"/>
      <c r="AM40" s="583" t="e">
        <f t="shared" si="6"/>
        <v>#DIV/0!</v>
      </c>
      <c r="AN40" s="595">
        <f>'1) Project Information'!AD30</f>
        <v>0</v>
      </c>
      <c r="AO40" s="583" t="e">
        <f t="shared" si="8"/>
        <v>#DIV/0!</v>
      </c>
      <c r="AP40" s="583" t="e">
        <f t="shared" si="9"/>
        <v>#DIV/0!</v>
      </c>
      <c r="AR40" s="154">
        <v>17</v>
      </c>
      <c r="AS40" s="583" t="e">
        <f t="shared" si="0"/>
        <v>#DIV/0!</v>
      </c>
    </row>
    <row r="41" spans="2:45" x14ac:dyDescent="0.25">
      <c r="B41" s="152">
        <v>8</v>
      </c>
      <c r="C41" s="478">
        <f>'Travel Time'!AQ33</f>
        <v>0</v>
      </c>
      <c r="D41" s="1463" t="e">
        <f>Reliability!AM35</f>
        <v>#DIV/0!</v>
      </c>
      <c r="E41" s="478">
        <f>'Vehicle Operating Costs'!AK33</f>
        <v>0</v>
      </c>
      <c r="F41" s="478">
        <f>'Accident Costs'!AD33</f>
        <v>0</v>
      </c>
      <c r="G41" s="478" t="e">
        <f>Emissions!BP33</f>
        <v>#N/A</v>
      </c>
      <c r="H41" s="747"/>
      <c r="I41" s="747"/>
      <c r="J41" s="747"/>
      <c r="K41" s="747"/>
      <c r="L41" s="747"/>
      <c r="M41" s="747"/>
      <c r="N41" s="747"/>
      <c r="O41" s="747"/>
      <c r="P41" s="747"/>
      <c r="Q41" s="747"/>
      <c r="R41" s="583" t="e">
        <f t="shared" si="5"/>
        <v>#DIV/0!</v>
      </c>
      <c r="S41" s="595">
        <f>'1) Project Information'!AE31</f>
        <v>0</v>
      </c>
      <c r="T41" s="583" t="e">
        <f t="shared" si="7"/>
        <v>#DIV/0!</v>
      </c>
      <c r="W41" s="152">
        <v>8</v>
      </c>
      <c r="X41" s="478">
        <f>'Travel Time'!AS33</f>
        <v>0</v>
      </c>
      <c r="Y41" s="478" t="e">
        <f>Reliability!AO35</f>
        <v>#DIV/0!</v>
      </c>
      <c r="Z41" s="478">
        <f>'Vehicle Operating Costs'!AM33</f>
        <v>0</v>
      </c>
      <c r="AA41" s="478">
        <f>'Accident Costs'!AF33</f>
        <v>0</v>
      </c>
      <c r="AB41" s="478" t="e">
        <f>Emissions!BR33</f>
        <v>#N/A</v>
      </c>
      <c r="AC41" s="747"/>
      <c r="AD41" s="747"/>
      <c r="AE41" s="747"/>
      <c r="AF41" s="747"/>
      <c r="AG41" s="747"/>
      <c r="AH41" s="747"/>
      <c r="AI41" s="747"/>
      <c r="AJ41" s="747"/>
      <c r="AK41" s="747"/>
      <c r="AL41" s="747"/>
      <c r="AM41" s="583" t="e">
        <f t="shared" si="6"/>
        <v>#DIV/0!</v>
      </c>
      <c r="AN41" s="595">
        <f>'1) Project Information'!AD31</f>
        <v>0</v>
      </c>
      <c r="AO41" s="583" t="e">
        <f t="shared" si="8"/>
        <v>#DIV/0!</v>
      </c>
      <c r="AP41" s="583" t="e">
        <f t="shared" si="9"/>
        <v>#DIV/0!</v>
      </c>
      <c r="AR41" s="154">
        <v>18</v>
      </c>
      <c r="AS41" s="583" t="e">
        <f t="shared" si="0"/>
        <v>#DIV/0!</v>
      </c>
    </row>
    <row r="42" spans="2:45" x14ac:dyDescent="0.25">
      <c r="B42" s="152">
        <v>9</v>
      </c>
      <c r="C42" s="478">
        <f>'Travel Time'!AQ34</f>
        <v>0</v>
      </c>
      <c r="D42" s="1463" t="e">
        <f>Reliability!AM36</f>
        <v>#DIV/0!</v>
      </c>
      <c r="E42" s="478">
        <f>'Vehicle Operating Costs'!AK34</f>
        <v>0</v>
      </c>
      <c r="F42" s="478">
        <f>'Accident Costs'!AD34</f>
        <v>0</v>
      </c>
      <c r="G42" s="478" t="e">
        <f>Emissions!BP34</f>
        <v>#N/A</v>
      </c>
      <c r="H42" s="747"/>
      <c r="I42" s="747"/>
      <c r="J42" s="747"/>
      <c r="K42" s="747"/>
      <c r="L42" s="747"/>
      <c r="M42" s="747"/>
      <c r="N42" s="747"/>
      <c r="O42" s="747"/>
      <c r="P42" s="747"/>
      <c r="Q42" s="747"/>
      <c r="R42" s="583" t="e">
        <f t="shared" si="5"/>
        <v>#DIV/0!</v>
      </c>
      <c r="S42" s="595">
        <f>'1) Project Information'!AE32</f>
        <v>0</v>
      </c>
      <c r="T42" s="583" t="e">
        <f t="shared" si="7"/>
        <v>#DIV/0!</v>
      </c>
      <c r="W42" s="152">
        <v>9</v>
      </c>
      <c r="X42" s="478">
        <f>'Travel Time'!AS34</f>
        <v>0</v>
      </c>
      <c r="Y42" s="478" t="e">
        <f>Reliability!AO36</f>
        <v>#DIV/0!</v>
      </c>
      <c r="Z42" s="478">
        <f>'Vehicle Operating Costs'!AM34</f>
        <v>0</v>
      </c>
      <c r="AA42" s="478">
        <f>'Accident Costs'!AF34</f>
        <v>0</v>
      </c>
      <c r="AB42" s="478" t="e">
        <f>Emissions!BR34</f>
        <v>#N/A</v>
      </c>
      <c r="AC42" s="747"/>
      <c r="AD42" s="747"/>
      <c r="AE42" s="747"/>
      <c r="AF42" s="747"/>
      <c r="AG42" s="747"/>
      <c r="AH42" s="747"/>
      <c r="AI42" s="747"/>
      <c r="AJ42" s="747"/>
      <c r="AK42" s="747"/>
      <c r="AL42" s="747"/>
      <c r="AM42" s="583" t="e">
        <f t="shared" si="6"/>
        <v>#DIV/0!</v>
      </c>
      <c r="AN42" s="595">
        <f>'1) Project Information'!AD32</f>
        <v>0</v>
      </c>
      <c r="AO42" s="583" t="e">
        <f t="shared" si="8"/>
        <v>#DIV/0!</v>
      </c>
      <c r="AP42" s="583" t="e">
        <f t="shared" si="9"/>
        <v>#DIV/0!</v>
      </c>
      <c r="AR42" s="154">
        <v>19</v>
      </c>
      <c r="AS42" s="583" t="e">
        <f t="shared" si="0"/>
        <v>#DIV/0!</v>
      </c>
    </row>
    <row r="43" spans="2:45" x14ac:dyDescent="0.25">
      <c r="B43" s="152">
        <v>10</v>
      </c>
      <c r="C43" s="478">
        <f>'Travel Time'!AQ35</f>
        <v>0</v>
      </c>
      <c r="D43" s="1463" t="e">
        <f>Reliability!AM37</f>
        <v>#DIV/0!</v>
      </c>
      <c r="E43" s="478">
        <f>'Vehicle Operating Costs'!AK35</f>
        <v>0</v>
      </c>
      <c r="F43" s="478">
        <f>'Accident Costs'!AD35</f>
        <v>0</v>
      </c>
      <c r="G43" s="478" t="e">
        <f>Emissions!BP35</f>
        <v>#N/A</v>
      </c>
      <c r="H43" s="747"/>
      <c r="I43" s="747"/>
      <c r="J43" s="747"/>
      <c r="K43" s="747"/>
      <c r="L43" s="747"/>
      <c r="M43" s="747"/>
      <c r="N43" s="747"/>
      <c r="O43" s="747"/>
      <c r="P43" s="747"/>
      <c r="Q43" s="747"/>
      <c r="R43" s="583" t="e">
        <f t="shared" si="5"/>
        <v>#DIV/0!</v>
      </c>
      <c r="S43" s="595">
        <f>'1) Project Information'!AE33</f>
        <v>0</v>
      </c>
      <c r="T43" s="583" t="e">
        <f t="shared" si="7"/>
        <v>#DIV/0!</v>
      </c>
      <c r="W43" s="152">
        <v>10</v>
      </c>
      <c r="X43" s="478">
        <f>'Travel Time'!AS35</f>
        <v>0</v>
      </c>
      <c r="Y43" s="478" t="e">
        <f>Reliability!AO37</f>
        <v>#DIV/0!</v>
      </c>
      <c r="Z43" s="478">
        <f>'Vehicle Operating Costs'!AM35</f>
        <v>0</v>
      </c>
      <c r="AA43" s="478">
        <f>'Accident Costs'!AF35</f>
        <v>0</v>
      </c>
      <c r="AB43" s="478" t="e">
        <f>Emissions!BR35</f>
        <v>#N/A</v>
      </c>
      <c r="AC43" s="747"/>
      <c r="AD43" s="747"/>
      <c r="AE43" s="747"/>
      <c r="AF43" s="747"/>
      <c r="AG43" s="747"/>
      <c r="AH43" s="747"/>
      <c r="AI43" s="747"/>
      <c r="AJ43" s="747"/>
      <c r="AK43" s="747"/>
      <c r="AL43" s="747"/>
      <c r="AM43" s="583" t="e">
        <f t="shared" si="6"/>
        <v>#DIV/0!</v>
      </c>
      <c r="AN43" s="595">
        <f>'1) Project Information'!AD33</f>
        <v>0</v>
      </c>
      <c r="AO43" s="583" t="e">
        <f t="shared" si="8"/>
        <v>#DIV/0!</v>
      </c>
      <c r="AP43" s="583" t="e">
        <f t="shared" si="9"/>
        <v>#DIV/0!</v>
      </c>
      <c r="AR43" s="154">
        <v>20</v>
      </c>
      <c r="AS43" s="583" t="e">
        <f t="shared" si="0"/>
        <v>#DIV/0!</v>
      </c>
    </row>
    <row r="44" spans="2:45" x14ac:dyDescent="0.25">
      <c r="B44" s="152">
        <v>11</v>
      </c>
      <c r="C44" s="478">
        <f>'Travel Time'!AQ36</f>
        <v>0</v>
      </c>
      <c r="D44" s="1463" t="e">
        <f>Reliability!AM38</f>
        <v>#DIV/0!</v>
      </c>
      <c r="E44" s="478">
        <f>'Vehicle Operating Costs'!AK36</f>
        <v>0</v>
      </c>
      <c r="F44" s="478">
        <f>'Accident Costs'!AD36</f>
        <v>0</v>
      </c>
      <c r="G44" s="478" t="e">
        <f>Emissions!BP36</f>
        <v>#N/A</v>
      </c>
      <c r="H44" s="747"/>
      <c r="I44" s="747"/>
      <c r="J44" s="747"/>
      <c r="K44" s="747"/>
      <c r="L44" s="747"/>
      <c r="M44" s="747"/>
      <c r="N44" s="747"/>
      <c r="O44" s="747"/>
      <c r="P44" s="747"/>
      <c r="Q44" s="747"/>
      <c r="R44" s="583" t="e">
        <f t="shared" si="5"/>
        <v>#DIV/0!</v>
      </c>
      <c r="S44" s="595">
        <f>'1) Project Information'!AE34</f>
        <v>0</v>
      </c>
      <c r="T44" s="583" t="e">
        <f t="shared" si="7"/>
        <v>#DIV/0!</v>
      </c>
      <c r="W44" s="152">
        <v>11</v>
      </c>
      <c r="X44" s="478">
        <f>'Travel Time'!AS36</f>
        <v>0</v>
      </c>
      <c r="Y44" s="478" t="e">
        <f>Reliability!AO38</f>
        <v>#DIV/0!</v>
      </c>
      <c r="Z44" s="478">
        <f>'Vehicle Operating Costs'!AM36</f>
        <v>0</v>
      </c>
      <c r="AA44" s="478">
        <f>'Accident Costs'!AF36</f>
        <v>0</v>
      </c>
      <c r="AB44" s="478" t="e">
        <f>Emissions!BR36</f>
        <v>#N/A</v>
      </c>
      <c r="AC44" s="747"/>
      <c r="AD44" s="747"/>
      <c r="AE44" s="747"/>
      <c r="AF44" s="747"/>
      <c r="AG44" s="747"/>
      <c r="AH44" s="747"/>
      <c r="AI44" s="747"/>
      <c r="AJ44" s="747"/>
      <c r="AK44" s="747"/>
      <c r="AL44" s="747"/>
      <c r="AM44" s="583" t="e">
        <f t="shared" si="6"/>
        <v>#DIV/0!</v>
      </c>
      <c r="AN44" s="595">
        <f>'1) Project Information'!AD34</f>
        <v>0</v>
      </c>
      <c r="AO44" s="583" t="e">
        <f t="shared" si="8"/>
        <v>#DIV/0!</v>
      </c>
      <c r="AP44" s="583" t="e">
        <f t="shared" si="9"/>
        <v>#DIV/0!</v>
      </c>
      <c r="AR44" s="154">
        <v>21</v>
      </c>
      <c r="AS44" s="583">
        <f t="shared" si="0"/>
        <v>0</v>
      </c>
    </row>
    <row r="45" spans="2:45" x14ac:dyDescent="0.25">
      <c r="B45" s="152">
        <v>12</v>
      </c>
      <c r="C45" s="478">
        <f>'Travel Time'!AQ37</f>
        <v>0</v>
      </c>
      <c r="D45" s="1463" t="e">
        <f>Reliability!AM39</f>
        <v>#DIV/0!</v>
      </c>
      <c r="E45" s="478">
        <f>'Vehicle Operating Costs'!AK37</f>
        <v>0</v>
      </c>
      <c r="F45" s="478">
        <f>'Accident Costs'!AD37</f>
        <v>0</v>
      </c>
      <c r="G45" s="478" t="e">
        <f>Emissions!BP37</f>
        <v>#N/A</v>
      </c>
      <c r="H45" s="747"/>
      <c r="I45" s="747"/>
      <c r="J45" s="747"/>
      <c r="K45" s="747"/>
      <c r="L45" s="747"/>
      <c r="M45" s="747"/>
      <c r="N45" s="747"/>
      <c r="O45" s="747"/>
      <c r="P45" s="747"/>
      <c r="Q45" s="747"/>
      <c r="R45" s="583" t="e">
        <f t="shared" si="5"/>
        <v>#DIV/0!</v>
      </c>
      <c r="S45" s="595">
        <f>'1) Project Information'!AE35</f>
        <v>0</v>
      </c>
      <c r="T45" s="583" t="e">
        <f t="shared" si="7"/>
        <v>#DIV/0!</v>
      </c>
      <c r="W45" s="152">
        <v>12</v>
      </c>
      <c r="X45" s="478">
        <f>'Travel Time'!AS37</f>
        <v>0</v>
      </c>
      <c r="Y45" s="478" t="e">
        <f>Reliability!AO39</f>
        <v>#DIV/0!</v>
      </c>
      <c r="Z45" s="478">
        <f>'Vehicle Operating Costs'!AM37</f>
        <v>0</v>
      </c>
      <c r="AA45" s="478">
        <f>'Accident Costs'!AF37</f>
        <v>0</v>
      </c>
      <c r="AB45" s="478" t="e">
        <f>Emissions!BR37</f>
        <v>#N/A</v>
      </c>
      <c r="AC45" s="747"/>
      <c r="AD45" s="747"/>
      <c r="AE45" s="747"/>
      <c r="AF45" s="747"/>
      <c r="AG45" s="747"/>
      <c r="AH45" s="747"/>
      <c r="AI45" s="747"/>
      <c r="AJ45" s="747"/>
      <c r="AK45" s="747"/>
      <c r="AL45" s="747"/>
      <c r="AM45" s="583" t="e">
        <f t="shared" si="6"/>
        <v>#DIV/0!</v>
      </c>
      <c r="AN45" s="595">
        <f>'1) Project Information'!AD35</f>
        <v>0</v>
      </c>
      <c r="AO45" s="583" t="e">
        <f t="shared" si="8"/>
        <v>#DIV/0!</v>
      </c>
      <c r="AP45" s="583" t="e">
        <f t="shared" si="9"/>
        <v>#DIV/0!</v>
      </c>
      <c r="AR45" s="154">
        <v>22</v>
      </c>
      <c r="AS45" s="583">
        <f t="shared" si="0"/>
        <v>0</v>
      </c>
    </row>
    <row r="46" spans="2:45" x14ac:dyDescent="0.25">
      <c r="B46" s="152">
        <v>13</v>
      </c>
      <c r="C46" s="478">
        <f>'Travel Time'!AQ38</f>
        <v>0</v>
      </c>
      <c r="D46" s="1463" t="e">
        <f>Reliability!AM40</f>
        <v>#DIV/0!</v>
      </c>
      <c r="E46" s="478">
        <f>'Vehicle Operating Costs'!AK38</f>
        <v>0</v>
      </c>
      <c r="F46" s="478">
        <f>'Accident Costs'!AD38</f>
        <v>0</v>
      </c>
      <c r="G46" s="478" t="e">
        <f>Emissions!BP38</f>
        <v>#N/A</v>
      </c>
      <c r="H46" s="747"/>
      <c r="I46" s="747"/>
      <c r="J46" s="747"/>
      <c r="K46" s="747"/>
      <c r="L46" s="747"/>
      <c r="M46" s="747"/>
      <c r="N46" s="747"/>
      <c r="O46" s="747"/>
      <c r="P46" s="747"/>
      <c r="Q46" s="747"/>
      <c r="R46" s="583" t="e">
        <f t="shared" si="5"/>
        <v>#DIV/0!</v>
      </c>
      <c r="S46" s="595">
        <f>'1) Project Information'!AE36</f>
        <v>0</v>
      </c>
      <c r="T46" s="583" t="e">
        <f t="shared" si="7"/>
        <v>#DIV/0!</v>
      </c>
      <c r="W46" s="152">
        <v>13</v>
      </c>
      <c r="X46" s="478">
        <f>'Travel Time'!AS38</f>
        <v>0</v>
      </c>
      <c r="Y46" s="478" t="e">
        <f>Reliability!AO40</f>
        <v>#DIV/0!</v>
      </c>
      <c r="Z46" s="478">
        <f>'Vehicle Operating Costs'!AM38</f>
        <v>0</v>
      </c>
      <c r="AA46" s="478">
        <f>'Accident Costs'!AF38</f>
        <v>0</v>
      </c>
      <c r="AB46" s="478" t="e">
        <f>Emissions!BR38</f>
        <v>#N/A</v>
      </c>
      <c r="AC46" s="747"/>
      <c r="AD46" s="747"/>
      <c r="AE46" s="747"/>
      <c r="AF46" s="747"/>
      <c r="AG46" s="747"/>
      <c r="AH46" s="747"/>
      <c r="AI46" s="747"/>
      <c r="AJ46" s="747"/>
      <c r="AK46" s="747"/>
      <c r="AL46" s="747"/>
      <c r="AM46" s="583" t="e">
        <f t="shared" si="6"/>
        <v>#DIV/0!</v>
      </c>
      <c r="AN46" s="595">
        <f>'1) Project Information'!AD36</f>
        <v>0</v>
      </c>
      <c r="AO46" s="583" t="e">
        <f t="shared" si="8"/>
        <v>#DIV/0!</v>
      </c>
      <c r="AP46" s="583" t="e">
        <f t="shared" si="9"/>
        <v>#DIV/0!</v>
      </c>
      <c r="AR46" s="154">
        <v>23</v>
      </c>
      <c r="AS46" s="583">
        <f t="shared" si="0"/>
        <v>0</v>
      </c>
    </row>
    <row r="47" spans="2:45" x14ac:dyDescent="0.25">
      <c r="B47" s="152">
        <v>14</v>
      </c>
      <c r="C47" s="478">
        <f>'Travel Time'!AQ39</f>
        <v>0</v>
      </c>
      <c r="D47" s="1463" t="e">
        <f>Reliability!AM41</f>
        <v>#DIV/0!</v>
      </c>
      <c r="E47" s="478">
        <f>'Vehicle Operating Costs'!AK39</f>
        <v>0</v>
      </c>
      <c r="F47" s="478">
        <f>'Accident Costs'!AD39</f>
        <v>0</v>
      </c>
      <c r="G47" s="478" t="e">
        <f>Emissions!BP39</f>
        <v>#N/A</v>
      </c>
      <c r="H47" s="747"/>
      <c r="I47" s="747"/>
      <c r="J47" s="747"/>
      <c r="K47" s="747"/>
      <c r="L47" s="747"/>
      <c r="M47" s="747"/>
      <c r="N47" s="747"/>
      <c r="O47" s="747"/>
      <c r="P47" s="747"/>
      <c r="Q47" s="747"/>
      <c r="R47" s="583" t="e">
        <f t="shared" si="5"/>
        <v>#DIV/0!</v>
      </c>
      <c r="S47" s="595">
        <f>'1) Project Information'!AE37</f>
        <v>0</v>
      </c>
      <c r="T47" s="583" t="e">
        <f t="shared" si="7"/>
        <v>#DIV/0!</v>
      </c>
      <c r="W47" s="152">
        <v>14</v>
      </c>
      <c r="X47" s="478">
        <f>'Travel Time'!AS39</f>
        <v>0</v>
      </c>
      <c r="Y47" s="478" t="e">
        <f>Reliability!AO41</f>
        <v>#DIV/0!</v>
      </c>
      <c r="Z47" s="478">
        <f>'Vehicle Operating Costs'!AM39</f>
        <v>0</v>
      </c>
      <c r="AA47" s="478">
        <f>'Accident Costs'!AF39</f>
        <v>0</v>
      </c>
      <c r="AB47" s="478" t="e">
        <f>Emissions!BR39</f>
        <v>#N/A</v>
      </c>
      <c r="AC47" s="747"/>
      <c r="AD47" s="747"/>
      <c r="AE47" s="747"/>
      <c r="AF47" s="747"/>
      <c r="AG47" s="747"/>
      <c r="AH47" s="747"/>
      <c r="AI47" s="747"/>
      <c r="AJ47" s="747"/>
      <c r="AK47" s="747"/>
      <c r="AL47" s="747"/>
      <c r="AM47" s="583" t="e">
        <f t="shared" si="6"/>
        <v>#DIV/0!</v>
      </c>
      <c r="AN47" s="595">
        <f>'1) Project Information'!AD37</f>
        <v>0</v>
      </c>
      <c r="AO47" s="583" t="e">
        <f t="shared" si="8"/>
        <v>#DIV/0!</v>
      </c>
      <c r="AP47" s="583" t="e">
        <f t="shared" si="9"/>
        <v>#DIV/0!</v>
      </c>
      <c r="AR47" s="154">
        <v>24</v>
      </c>
      <c r="AS47" s="583">
        <f t="shared" si="0"/>
        <v>0</v>
      </c>
    </row>
    <row r="48" spans="2:45" x14ac:dyDescent="0.25">
      <c r="B48" s="152">
        <v>15</v>
      </c>
      <c r="C48" s="478">
        <f>'Travel Time'!AQ40</f>
        <v>0</v>
      </c>
      <c r="D48" s="1463" t="e">
        <f>Reliability!AM42</f>
        <v>#DIV/0!</v>
      </c>
      <c r="E48" s="478">
        <f>'Vehicle Operating Costs'!AK40</f>
        <v>0</v>
      </c>
      <c r="F48" s="478">
        <f>'Accident Costs'!AD40</f>
        <v>0</v>
      </c>
      <c r="G48" s="478" t="e">
        <f>Emissions!BP40</f>
        <v>#N/A</v>
      </c>
      <c r="H48" s="747"/>
      <c r="I48" s="747"/>
      <c r="J48" s="747"/>
      <c r="K48" s="747"/>
      <c r="L48" s="747"/>
      <c r="M48" s="747"/>
      <c r="N48" s="747"/>
      <c r="O48" s="747"/>
      <c r="P48" s="747"/>
      <c r="Q48" s="747"/>
      <c r="R48" s="583" t="e">
        <f t="shared" si="5"/>
        <v>#DIV/0!</v>
      </c>
      <c r="S48" s="595">
        <f>'1) Project Information'!AE38</f>
        <v>0</v>
      </c>
      <c r="T48" s="583" t="e">
        <f t="shared" si="7"/>
        <v>#DIV/0!</v>
      </c>
      <c r="W48" s="152">
        <v>15</v>
      </c>
      <c r="X48" s="478">
        <f>'Travel Time'!AS40</f>
        <v>0</v>
      </c>
      <c r="Y48" s="478" t="e">
        <f>Reliability!AO42</f>
        <v>#DIV/0!</v>
      </c>
      <c r="Z48" s="478">
        <f>'Vehicle Operating Costs'!AM40</f>
        <v>0</v>
      </c>
      <c r="AA48" s="478">
        <f>'Accident Costs'!AF40</f>
        <v>0</v>
      </c>
      <c r="AB48" s="478" t="e">
        <f>Emissions!BR40</f>
        <v>#N/A</v>
      </c>
      <c r="AC48" s="747"/>
      <c r="AD48" s="747"/>
      <c r="AE48" s="747"/>
      <c r="AF48" s="747"/>
      <c r="AG48" s="747"/>
      <c r="AH48" s="747"/>
      <c r="AI48" s="747"/>
      <c r="AJ48" s="747"/>
      <c r="AK48" s="747"/>
      <c r="AL48" s="747"/>
      <c r="AM48" s="583" t="e">
        <f t="shared" si="6"/>
        <v>#DIV/0!</v>
      </c>
      <c r="AN48" s="595">
        <f>'1) Project Information'!AD38</f>
        <v>0</v>
      </c>
      <c r="AO48" s="583" t="e">
        <f t="shared" si="8"/>
        <v>#DIV/0!</v>
      </c>
      <c r="AP48" s="583" t="e">
        <f t="shared" si="9"/>
        <v>#DIV/0!</v>
      </c>
      <c r="AR48" s="154">
        <v>25</v>
      </c>
      <c r="AS48" s="583">
        <f t="shared" si="0"/>
        <v>0</v>
      </c>
    </row>
    <row r="49" spans="2:54" x14ac:dyDescent="0.25">
      <c r="B49" s="152">
        <v>16</v>
      </c>
      <c r="C49" s="478">
        <f>'Travel Time'!AQ41</f>
        <v>0</v>
      </c>
      <c r="D49" s="1463" t="e">
        <f>Reliability!AM43</f>
        <v>#DIV/0!</v>
      </c>
      <c r="E49" s="478">
        <f>'Vehicle Operating Costs'!AK41</f>
        <v>0</v>
      </c>
      <c r="F49" s="478">
        <f>'Accident Costs'!AD41</f>
        <v>0</v>
      </c>
      <c r="G49" s="478" t="e">
        <f>Emissions!BP41</f>
        <v>#N/A</v>
      </c>
      <c r="H49" s="747"/>
      <c r="I49" s="747"/>
      <c r="J49" s="747"/>
      <c r="K49" s="747"/>
      <c r="L49" s="747"/>
      <c r="M49" s="747"/>
      <c r="N49" s="747"/>
      <c r="O49" s="747"/>
      <c r="P49" s="747"/>
      <c r="Q49" s="747"/>
      <c r="R49" s="583" t="e">
        <f t="shared" si="5"/>
        <v>#DIV/0!</v>
      </c>
      <c r="S49" s="595">
        <f>'1) Project Information'!AE39</f>
        <v>0</v>
      </c>
      <c r="T49" s="583" t="e">
        <f t="shared" si="7"/>
        <v>#DIV/0!</v>
      </c>
      <c r="W49" s="152">
        <v>16</v>
      </c>
      <c r="X49" s="478">
        <f>'Travel Time'!AS41</f>
        <v>0</v>
      </c>
      <c r="Y49" s="478" t="e">
        <f>Reliability!AO43</f>
        <v>#DIV/0!</v>
      </c>
      <c r="Z49" s="478">
        <f>'Vehicle Operating Costs'!AM41</f>
        <v>0</v>
      </c>
      <c r="AA49" s="478">
        <f>'Accident Costs'!AF41</f>
        <v>0</v>
      </c>
      <c r="AB49" s="478" t="e">
        <f>Emissions!BR41</f>
        <v>#N/A</v>
      </c>
      <c r="AC49" s="747"/>
      <c r="AD49" s="747"/>
      <c r="AE49" s="747"/>
      <c r="AF49" s="747"/>
      <c r="AG49" s="747"/>
      <c r="AH49" s="747"/>
      <c r="AI49" s="747"/>
      <c r="AJ49" s="747"/>
      <c r="AK49" s="747"/>
      <c r="AL49" s="747"/>
      <c r="AM49" s="583" t="e">
        <f t="shared" si="6"/>
        <v>#DIV/0!</v>
      </c>
      <c r="AN49" s="595">
        <f>'1) Project Information'!AD39</f>
        <v>0</v>
      </c>
      <c r="AO49" s="583" t="e">
        <f t="shared" si="8"/>
        <v>#DIV/0!</v>
      </c>
      <c r="AP49" s="583" t="e">
        <f t="shared" si="9"/>
        <v>#DIV/0!</v>
      </c>
      <c r="AR49" s="154">
        <v>26</v>
      </c>
      <c r="AS49" s="583">
        <f t="shared" si="0"/>
        <v>0</v>
      </c>
    </row>
    <row r="50" spans="2:54" x14ac:dyDescent="0.25">
      <c r="B50" s="152">
        <v>17</v>
      </c>
      <c r="C50" s="478">
        <f>'Travel Time'!AQ42</f>
        <v>0</v>
      </c>
      <c r="D50" s="1463" t="e">
        <f>Reliability!AM44</f>
        <v>#DIV/0!</v>
      </c>
      <c r="E50" s="478">
        <f>'Vehicle Operating Costs'!AK42</f>
        <v>0</v>
      </c>
      <c r="F50" s="478">
        <f>'Accident Costs'!AD42</f>
        <v>0</v>
      </c>
      <c r="G50" s="478" t="e">
        <f>Emissions!BP42</f>
        <v>#N/A</v>
      </c>
      <c r="H50" s="747"/>
      <c r="I50" s="747"/>
      <c r="J50" s="747"/>
      <c r="K50" s="747"/>
      <c r="L50" s="747"/>
      <c r="M50" s="747"/>
      <c r="N50" s="747"/>
      <c r="O50" s="747"/>
      <c r="P50" s="747"/>
      <c r="Q50" s="747"/>
      <c r="R50" s="583" t="e">
        <f t="shared" si="5"/>
        <v>#DIV/0!</v>
      </c>
      <c r="S50" s="595">
        <f>'1) Project Information'!AE40</f>
        <v>0</v>
      </c>
      <c r="T50" s="583" t="e">
        <f t="shared" si="7"/>
        <v>#DIV/0!</v>
      </c>
      <c r="W50" s="152">
        <v>17</v>
      </c>
      <c r="X50" s="478">
        <f>'Travel Time'!AS42</f>
        <v>0</v>
      </c>
      <c r="Y50" s="478" t="e">
        <f>Reliability!AO44</f>
        <v>#DIV/0!</v>
      </c>
      <c r="Z50" s="478">
        <f>'Vehicle Operating Costs'!AM42</f>
        <v>0</v>
      </c>
      <c r="AA50" s="478">
        <f>'Accident Costs'!AF42</f>
        <v>0</v>
      </c>
      <c r="AB50" s="478" t="e">
        <f>Emissions!BR42</f>
        <v>#N/A</v>
      </c>
      <c r="AC50" s="747"/>
      <c r="AD50" s="747"/>
      <c r="AE50" s="747"/>
      <c r="AF50" s="747"/>
      <c r="AG50" s="747"/>
      <c r="AH50" s="747"/>
      <c r="AI50" s="747"/>
      <c r="AJ50" s="747"/>
      <c r="AK50" s="747"/>
      <c r="AL50" s="747"/>
      <c r="AM50" s="583" t="e">
        <f t="shared" si="6"/>
        <v>#DIV/0!</v>
      </c>
      <c r="AN50" s="595">
        <f>'1) Project Information'!AD40</f>
        <v>0</v>
      </c>
      <c r="AO50" s="583" t="e">
        <f t="shared" si="8"/>
        <v>#DIV/0!</v>
      </c>
      <c r="AP50" s="583" t="e">
        <f t="shared" si="9"/>
        <v>#DIV/0!</v>
      </c>
      <c r="AR50" s="154">
        <v>27</v>
      </c>
      <c r="AS50" s="583">
        <f t="shared" si="0"/>
        <v>0</v>
      </c>
    </row>
    <row r="51" spans="2:54" x14ac:dyDescent="0.25">
      <c r="B51" s="152">
        <v>18</v>
      </c>
      <c r="C51" s="478">
        <f>'Travel Time'!AQ43</f>
        <v>0</v>
      </c>
      <c r="D51" s="1463" t="e">
        <f>Reliability!AM45</f>
        <v>#DIV/0!</v>
      </c>
      <c r="E51" s="478">
        <f>'Vehicle Operating Costs'!AK43</f>
        <v>0</v>
      </c>
      <c r="F51" s="478">
        <f>'Accident Costs'!AD43</f>
        <v>0</v>
      </c>
      <c r="G51" s="478" t="e">
        <f>Emissions!BP43</f>
        <v>#N/A</v>
      </c>
      <c r="H51" s="747"/>
      <c r="I51" s="747"/>
      <c r="J51" s="747"/>
      <c r="K51" s="747"/>
      <c r="L51" s="747"/>
      <c r="M51" s="747"/>
      <c r="N51" s="747"/>
      <c r="O51" s="747"/>
      <c r="P51" s="747"/>
      <c r="Q51" s="747"/>
      <c r="R51" s="583" t="e">
        <f t="shared" si="5"/>
        <v>#DIV/0!</v>
      </c>
      <c r="S51" s="595">
        <f>'1) Project Information'!AE41</f>
        <v>0</v>
      </c>
      <c r="T51" s="583" t="e">
        <f t="shared" si="7"/>
        <v>#DIV/0!</v>
      </c>
      <c r="W51" s="152">
        <v>18</v>
      </c>
      <c r="X51" s="478">
        <f>'Travel Time'!AS43</f>
        <v>0</v>
      </c>
      <c r="Y51" s="478" t="e">
        <f>Reliability!AO45</f>
        <v>#DIV/0!</v>
      </c>
      <c r="Z51" s="478">
        <f>'Vehicle Operating Costs'!AM43</f>
        <v>0</v>
      </c>
      <c r="AA51" s="478">
        <f>'Accident Costs'!AF43</f>
        <v>0</v>
      </c>
      <c r="AB51" s="478" t="e">
        <f>Emissions!BR43</f>
        <v>#N/A</v>
      </c>
      <c r="AC51" s="747"/>
      <c r="AD51" s="747"/>
      <c r="AE51" s="747"/>
      <c r="AF51" s="747"/>
      <c r="AG51" s="747"/>
      <c r="AH51" s="747"/>
      <c r="AI51" s="747"/>
      <c r="AJ51" s="747"/>
      <c r="AK51" s="747"/>
      <c r="AL51" s="747"/>
      <c r="AM51" s="583" t="e">
        <f t="shared" si="6"/>
        <v>#DIV/0!</v>
      </c>
      <c r="AN51" s="595">
        <f>'1) Project Information'!AD41</f>
        <v>0</v>
      </c>
      <c r="AO51" s="583" t="e">
        <f t="shared" si="8"/>
        <v>#DIV/0!</v>
      </c>
      <c r="AP51" s="583" t="e">
        <f t="shared" si="9"/>
        <v>#DIV/0!</v>
      </c>
      <c r="AR51" s="154">
        <v>28</v>
      </c>
      <c r="AS51" s="600">
        <f t="shared" si="0"/>
        <v>0</v>
      </c>
    </row>
    <row r="52" spans="2:54" x14ac:dyDescent="0.25">
      <c r="B52" s="152">
        <v>19</v>
      </c>
      <c r="C52" s="478">
        <f>'Travel Time'!AQ44</f>
        <v>0</v>
      </c>
      <c r="D52" s="1463" t="e">
        <f>Reliability!AM46</f>
        <v>#DIV/0!</v>
      </c>
      <c r="E52" s="478">
        <f>'Vehicle Operating Costs'!AK44</f>
        <v>0</v>
      </c>
      <c r="F52" s="478">
        <f>'Accident Costs'!AD44</f>
        <v>0</v>
      </c>
      <c r="G52" s="478" t="e">
        <f>Emissions!BP44</f>
        <v>#N/A</v>
      </c>
      <c r="H52" s="747"/>
      <c r="I52" s="747"/>
      <c r="J52" s="747"/>
      <c r="K52" s="747"/>
      <c r="L52" s="747"/>
      <c r="M52" s="747"/>
      <c r="N52" s="747"/>
      <c r="O52" s="747"/>
      <c r="P52" s="747"/>
      <c r="Q52" s="747"/>
      <c r="R52" s="583" t="e">
        <f t="shared" si="5"/>
        <v>#DIV/0!</v>
      </c>
      <c r="S52" s="595">
        <f>'1) Project Information'!AE42</f>
        <v>0</v>
      </c>
      <c r="T52" s="583" t="e">
        <f t="shared" si="7"/>
        <v>#DIV/0!</v>
      </c>
      <c r="W52" s="152">
        <v>19</v>
      </c>
      <c r="X52" s="478">
        <f>'Travel Time'!AS44</f>
        <v>0</v>
      </c>
      <c r="Y52" s="478" t="e">
        <f>Reliability!AO46</f>
        <v>#DIV/0!</v>
      </c>
      <c r="Z52" s="478">
        <f>'Vehicle Operating Costs'!AM44</f>
        <v>0</v>
      </c>
      <c r="AA52" s="478">
        <f>'Accident Costs'!AF44</f>
        <v>0</v>
      </c>
      <c r="AB52" s="478" t="e">
        <f>Emissions!BR44</f>
        <v>#N/A</v>
      </c>
      <c r="AC52" s="747"/>
      <c r="AD52" s="747"/>
      <c r="AE52" s="747"/>
      <c r="AF52" s="747"/>
      <c r="AG52" s="747"/>
      <c r="AH52" s="747"/>
      <c r="AI52" s="747"/>
      <c r="AJ52" s="747"/>
      <c r="AK52" s="747"/>
      <c r="AL52" s="747"/>
      <c r="AM52" s="583" t="e">
        <f t="shared" si="6"/>
        <v>#DIV/0!</v>
      </c>
      <c r="AN52" s="595">
        <f>'1) Project Information'!AD42</f>
        <v>0</v>
      </c>
      <c r="AO52" s="583" t="e">
        <f t="shared" si="8"/>
        <v>#DIV/0!</v>
      </c>
      <c r="AP52" s="583" t="e">
        <f t="shared" si="9"/>
        <v>#DIV/0!</v>
      </c>
      <c r="AR52" s="610"/>
    </row>
    <row r="53" spans="2:54" ht="13" x14ac:dyDescent="0.25">
      <c r="B53" s="153">
        <v>20</v>
      </c>
      <c r="C53" s="599">
        <f>'Travel Time'!AQ25</f>
        <v>0</v>
      </c>
      <c r="D53" s="1463" t="e">
        <f>Reliability!AM27</f>
        <v>#DIV/0!</v>
      </c>
      <c r="E53" s="599">
        <f>'Vehicle Operating Costs'!AK25</f>
        <v>0</v>
      </c>
      <c r="F53" s="599">
        <f>'Accident Costs'!AD25</f>
        <v>0</v>
      </c>
      <c r="G53" s="599" t="e">
        <f>Emissions!BP25</f>
        <v>#N/A</v>
      </c>
      <c r="H53" s="748"/>
      <c r="I53" s="748"/>
      <c r="J53" s="748"/>
      <c r="K53" s="748"/>
      <c r="L53" s="748"/>
      <c r="M53" s="748"/>
      <c r="N53" s="748"/>
      <c r="O53" s="748"/>
      <c r="P53" s="748"/>
      <c r="Q53" s="748"/>
      <c r="R53" s="583" t="e">
        <f t="shared" si="5"/>
        <v>#DIV/0!</v>
      </c>
      <c r="S53" s="595">
        <f>'1) Project Information'!AE43</f>
        <v>0</v>
      </c>
      <c r="T53" s="583" t="e">
        <f t="shared" si="7"/>
        <v>#DIV/0!</v>
      </c>
      <c r="W53" s="153">
        <v>20</v>
      </c>
      <c r="X53" s="599">
        <f>'Travel Time'!AS25</f>
        <v>0</v>
      </c>
      <c r="Y53" s="478" t="e">
        <f>Reliability!AO27</f>
        <v>#DIV/0!</v>
      </c>
      <c r="Z53" s="599">
        <f>'Vehicle Operating Costs'!AM25</f>
        <v>0</v>
      </c>
      <c r="AA53" s="599">
        <f>'Accident Costs'!AF25</f>
        <v>0</v>
      </c>
      <c r="AB53" s="599" t="e">
        <f>Emissions!BR25</f>
        <v>#N/A</v>
      </c>
      <c r="AC53" s="748"/>
      <c r="AD53" s="748"/>
      <c r="AE53" s="748"/>
      <c r="AF53" s="748"/>
      <c r="AG53" s="748"/>
      <c r="AH53" s="748"/>
      <c r="AI53" s="748"/>
      <c r="AJ53" s="748"/>
      <c r="AK53" s="748"/>
      <c r="AL53" s="748"/>
      <c r="AM53" s="583" t="e">
        <f t="shared" si="6"/>
        <v>#DIV/0!</v>
      </c>
      <c r="AN53" s="595">
        <f>'1) Project Information'!AD43</f>
        <v>0</v>
      </c>
      <c r="AO53" s="583" t="e">
        <f t="shared" si="8"/>
        <v>#DIV/0!</v>
      </c>
      <c r="AP53" s="583" t="e">
        <f t="shared" si="9"/>
        <v>#DIV/0!</v>
      </c>
      <c r="AR53" s="612" t="s">
        <v>340</v>
      </c>
      <c r="AU53" s="700" t="s">
        <v>341</v>
      </c>
      <c r="AV53" s="701"/>
      <c r="AW53" s="701"/>
      <c r="AX53" s="702"/>
      <c r="AY53" s="702"/>
      <c r="AZ53" s="703"/>
      <c r="BA53" s="703"/>
      <c r="BB53" s="703"/>
    </row>
    <row r="54" spans="2:54" ht="13" x14ac:dyDescent="0.25">
      <c r="B54" s="357"/>
      <c r="C54" s="358"/>
      <c r="D54" s="1487"/>
      <c r="E54" s="358"/>
      <c r="F54" s="358"/>
      <c r="G54" s="358"/>
      <c r="H54" s="358"/>
      <c r="I54" s="358"/>
      <c r="J54" s="358"/>
      <c r="K54" s="358"/>
      <c r="L54" s="358"/>
      <c r="M54" s="358"/>
      <c r="N54" s="358"/>
      <c r="O54" s="358"/>
      <c r="P54" s="358"/>
      <c r="Q54" s="358"/>
      <c r="R54" s="358"/>
      <c r="S54" s="358"/>
      <c r="T54" s="358"/>
      <c r="W54" s="357"/>
      <c r="X54" s="358"/>
      <c r="Y54" s="358"/>
      <c r="Z54" s="358"/>
      <c r="AA54" s="358"/>
      <c r="AB54" s="358"/>
      <c r="AC54" s="358"/>
      <c r="AD54" s="358"/>
      <c r="AE54" s="358"/>
      <c r="AF54" s="358"/>
      <c r="AG54" s="358"/>
      <c r="AH54" s="358"/>
      <c r="AI54" s="358"/>
      <c r="AJ54" s="358"/>
      <c r="AK54" s="358"/>
      <c r="AL54" s="358"/>
      <c r="AM54" s="358"/>
      <c r="AN54" s="358"/>
      <c r="AO54" s="358"/>
      <c r="AP54" s="709"/>
      <c r="AR54" s="613" t="s">
        <v>342</v>
      </c>
      <c r="AS54" s="614" t="e">
        <f>IF(SUM(AS24:AS51)=0,"N/A",IRR(AS24:AS51))</f>
        <v>#DIV/0!</v>
      </c>
      <c r="AU54" s="700" t="s">
        <v>348</v>
      </c>
      <c r="AV54" s="701"/>
      <c r="AW54" s="701"/>
      <c r="AX54" s="704"/>
      <c r="AY54" s="701"/>
      <c r="AZ54" s="705"/>
      <c r="BA54" s="703"/>
      <c r="BB54" s="703"/>
    </row>
    <row r="55" spans="2:54" ht="13" x14ac:dyDescent="0.25">
      <c r="B55" s="329" t="s">
        <v>172</v>
      </c>
      <c r="C55" s="607">
        <f t="shared" ref="C55:Q55" si="10">SUM(C34:C53)</f>
        <v>0</v>
      </c>
      <c r="D55" s="1603" t="e">
        <f>SUM(D34:D53)</f>
        <v>#DIV/0!</v>
      </c>
      <c r="E55" s="607">
        <f t="shared" si="10"/>
        <v>0</v>
      </c>
      <c r="F55" s="607">
        <f t="shared" si="10"/>
        <v>0</v>
      </c>
      <c r="G55" s="607" t="e">
        <f t="shared" si="10"/>
        <v>#N/A</v>
      </c>
      <c r="H55" s="607">
        <f>SUM(H34:H53)</f>
        <v>0</v>
      </c>
      <c r="I55" s="607">
        <f>SUM(I34:I53)</f>
        <v>0</v>
      </c>
      <c r="J55" s="607">
        <f>SUM(J34:J53)</f>
        <v>0</v>
      </c>
      <c r="K55" s="607">
        <f>SUM(K34:K53)</f>
        <v>0</v>
      </c>
      <c r="L55" s="607">
        <f>SUM(L34:L53)</f>
        <v>0</v>
      </c>
      <c r="M55" s="607">
        <f t="shared" si="10"/>
        <v>0</v>
      </c>
      <c r="N55" s="607">
        <f t="shared" si="10"/>
        <v>0</v>
      </c>
      <c r="O55" s="607">
        <f t="shared" si="10"/>
        <v>0</v>
      </c>
      <c r="P55" s="607">
        <f t="shared" si="10"/>
        <v>0</v>
      </c>
      <c r="Q55" s="607">
        <f t="shared" si="10"/>
        <v>0</v>
      </c>
      <c r="R55" s="590" t="e">
        <f>SUM(R25:R53)</f>
        <v>#DIV/0!</v>
      </c>
      <c r="S55" s="590">
        <f>SUM(S25:S53)</f>
        <v>0</v>
      </c>
      <c r="T55" s="590" t="e">
        <f>SUM(T25:T53)</f>
        <v>#DIV/0!</v>
      </c>
      <c r="W55" s="329" t="s">
        <v>172</v>
      </c>
      <c r="X55" s="607">
        <f t="shared" ref="X55:AL55" si="11">SUM(X34:X53)</f>
        <v>0</v>
      </c>
      <c r="Y55" s="607" t="e">
        <f t="shared" si="11"/>
        <v>#DIV/0!</v>
      </c>
      <c r="Z55" s="607">
        <f t="shared" si="11"/>
        <v>0</v>
      </c>
      <c r="AA55" s="607">
        <f t="shared" si="11"/>
        <v>0</v>
      </c>
      <c r="AB55" s="607" t="e">
        <f t="shared" si="11"/>
        <v>#N/A</v>
      </c>
      <c r="AC55" s="607">
        <f>SUM(AC34:AC53)</f>
        <v>0</v>
      </c>
      <c r="AD55" s="607">
        <f>SUM(AD34:AD53)</f>
        <v>0</v>
      </c>
      <c r="AE55" s="607">
        <f>SUM(AE34:AE53)</f>
        <v>0</v>
      </c>
      <c r="AF55" s="607">
        <f>SUM(AF34:AF53)</f>
        <v>0</v>
      </c>
      <c r="AG55" s="607">
        <f>SUM(AG34:AG53)</f>
        <v>0</v>
      </c>
      <c r="AH55" s="607">
        <f t="shared" si="11"/>
        <v>0</v>
      </c>
      <c r="AI55" s="607">
        <f t="shared" si="11"/>
        <v>0</v>
      </c>
      <c r="AJ55" s="607">
        <f t="shared" si="11"/>
        <v>0</v>
      </c>
      <c r="AK55" s="607">
        <f t="shared" si="11"/>
        <v>0</v>
      </c>
      <c r="AL55" s="607">
        <f t="shared" si="11"/>
        <v>0</v>
      </c>
      <c r="AM55" s="597" t="e">
        <f>SUM(AM25:AM53)</f>
        <v>#DIV/0!</v>
      </c>
      <c r="AN55" s="596">
        <f>SUM(AN25:AN53)</f>
        <v>0</v>
      </c>
      <c r="AO55" s="597" t="e">
        <f>SUM(AO25:AO53)</f>
        <v>#DIV/0!</v>
      </c>
      <c r="AP55" s="710"/>
      <c r="AU55" s="700" t="s">
        <v>349</v>
      </c>
      <c r="AV55" s="701"/>
      <c r="AW55" s="701"/>
      <c r="AX55" s="701"/>
      <c r="AY55" s="701"/>
      <c r="AZ55" s="705"/>
      <c r="BA55" s="705"/>
      <c r="BB55" s="703"/>
    </row>
    <row r="57" spans="2:54" ht="13" x14ac:dyDescent="0.25">
      <c r="C57" s="877">
        <f>'Travel Time'!AU46</f>
        <v>0</v>
      </c>
      <c r="D57" t="s">
        <v>81</v>
      </c>
      <c r="H57" s="878"/>
      <c r="I57" t="s">
        <v>81</v>
      </c>
      <c r="M57" s="878"/>
      <c r="N57" t="s">
        <v>81</v>
      </c>
      <c r="Q57" s="591"/>
      <c r="AL57" s="591"/>
      <c r="AM57" s="591"/>
      <c r="AO57" s="612" t="s">
        <v>350</v>
      </c>
      <c r="AP57" s="591"/>
      <c r="AR57" t="s">
        <v>351</v>
      </c>
    </row>
    <row r="58" spans="2:54" ht="13" x14ac:dyDescent="0.3">
      <c r="Q58" s="591"/>
      <c r="AK58" s="708" t="s">
        <v>352</v>
      </c>
      <c r="AM58" s="597">
        <f>ABS(SUM(AO25:AO32))</f>
        <v>0</v>
      </c>
      <c r="AO58" s="613" t="s">
        <v>250</v>
      </c>
      <c r="AP58" s="1066" t="str">
        <f>IF(AM58=0,"N/A",IF(AM58&lt;AP34,1,IF(AM58&gt;AP53,21,(LOOKUP(AM58,AP34:AP53,W34:W53)+1))))</f>
        <v>N/A</v>
      </c>
      <c r="AR58" t="s">
        <v>353</v>
      </c>
    </row>
    <row r="59" spans="2:54" ht="13" x14ac:dyDescent="0.3">
      <c r="C59" s="1309" t="s">
        <v>731</v>
      </c>
      <c r="D59" s="1309" t="s">
        <v>732</v>
      </c>
      <c r="H59" s="1309" t="s">
        <v>731</v>
      </c>
      <c r="I59" s="1309" t="s">
        <v>732</v>
      </c>
      <c r="M59" s="1309" t="s">
        <v>731</v>
      </c>
      <c r="N59" s="1309" t="s">
        <v>732</v>
      </c>
      <c r="Q59" s="591"/>
      <c r="AK59" s="708"/>
      <c r="AR59" t="s">
        <v>354</v>
      </c>
    </row>
    <row r="60" spans="2:54" ht="13" x14ac:dyDescent="0.25">
      <c r="C60" s="877">
        <f>Emissions!BT46</f>
        <v>0</v>
      </c>
      <c r="D60" s="607" t="e">
        <f>Emissions!CA46</f>
        <v>#N/A</v>
      </c>
      <c r="E60" s="1308" t="s">
        <v>734</v>
      </c>
      <c r="H60" s="878"/>
      <c r="I60" s="1041"/>
      <c r="J60" s="1308" t="s">
        <v>734</v>
      </c>
      <c r="M60" s="878"/>
      <c r="N60" s="1041"/>
      <c r="O60" s="1308" t="s">
        <v>734</v>
      </c>
      <c r="Q60" s="591"/>
      <c r="AL60" s="591"/>
      <c r="AM60" s="591"/>
      <c r="AO60" s="612"/>
      <c r="AP60" s="591"/>
    </row>
    <row r="61" spans="2:54" ht="15.5" x14ac:dyDescent="0.4">
      <c r="C61" s="877">
        <f>Emissions!BU46</f>
        <v>0</v>
      </c>
      <c r="D61" s="607" t="e">
        <f>Emissions!CB46</f>
        <v>#N/A</v>
      </c>
      <c r="E61" s="1308" t="s">
        <v>735</v>
      </c>
      <c r="F61" s="591"/>
      <c r="H61" s="878"/>
      <c r="I61" s="1041"/>
      <c r="J61" s="1308" t="s">
        <v>735</v>
      </c>
      <c r="M61" s="878"/>
      <c r="N61" s="1041"/>
      <c r="O61" s="1308" t="s">
        <v>735</v>
      </c>
      <c r="P61" s="591"/>
      <c r="Q61" s="591"/>
      <c r="R61" s="591"/>
      <c r="S61" s="591"/>
      <c r="T61" s="591"/>
      <c r="U61" s="591"/>
      <c r="V61" s="591"/>
      <c r="W61" s="591"/>
      <c r="X61" s="591"/>
      <c r="Y61" s="591"/>
      <c r="Z61" s="591"/>
      <c r="AA61" s="591"/>
      <c r="AB61" s="591"/>
      <c r="AC61" s="591"/>
      <c r="AD61" s="591"/>
      <c r="AE61" s="591"/>
      <c r="AF61" s="591"/>
      <c r="AG61" s="591"/>
      <c r="AH61" s="591"/>
      <c r="AI61" s="591"/>
    </row>
    <row r="62" spans="2:54" ht="15.5" x14ac:dyDescent="0.4">
      <c r="C62" s="877">
        <f>Emissions!BV46</f>
        <v>0</v>
      </c>
      <c r="D62" s="607" t="e">
        <f>Emissions!CC46</f>
        <v>#N/A</v>
      </c>
      <c r="E62" s="1308" t="s">
        <v>736</v>
      </c>
      <c r="F62" s="591"/>
      <c r="H62" s="878"/>
      <c r="I62" s="1041"/>
      <c r="J62" s="1308" t="s">
        <v>736</v>
      </c>
      <c r="M62" s="878"/>
      <c r="N62" s="1041"/>
      <c r="O62" s="1308" t="s">
        <v>736</v>
      </c>
      <c r="P62" s="591"/>
      <c r="Q62" s="591"/>
      <c r="R62" s="591"/>
      <c r="S62" s="591"/>
      <c r="T62" s="591"/>
      <c r="U62" s="591"/>
      <c r="V62" s="591"/>
      <c r="W62" s="591"/>
      <c r="X62" s="591"/>
      <c r="Y62" s="591"/>
      <c r="Z62" s="591"/>
      <c r="AA62" s="591"/>
      <c r="AB62" s="591"/>
      <c r="AC62" s="591"/>
      <c r="AD62" s="591"/>
      <c r="AE62" s="591"/>
      <c r="AF62" s="591"/>
      <c r="AG62" s="591"/>
      <c r="AH62" s="591"/>
      <c r="AI62" s="591"/>
    </row>
    <row r="63" spans="2:54" ht="15.5" x14ac:dyDescent="0.4">
      <c r="C63" s="877">
        <f>Emissions!BW46</f>
        <v>0</v>
      </c>
      <c r="D63" s="607" t="e">
        <f>Emissions!CD46</f>
        <v>#N/A</v>
      </c>
      <c r="E63" s="1308" t="s">
        <v>737</v>
      </c>
      <c r="F63" s="591"/>
      <c r="H63" s="878"/>
      <c r="I63" s="1041"/>
      <c r="J63" s="1308" t="s">
        <v>737</v>
      </c>
      <c r="M63" s="878"/>
      <c r="N63" s="1041"/>
      <c r="O63" s="1308" t="s">
        <v>737</v>
      </c>
      <c r="P63" s="591"/>
      <c r="Q63" s="591"/>
      <c r="R63" s="591"/>
      <c r="S63" s="591"/>
      <c r="T63" s="591"/>
      <c r="U63" s="591"/>
      <c r="V63" s="591"/>
      <c r="W63" s="591"/>
      <c r="X63" s="591"/>
      <c r="Y63" s="591"/>
      <c r="Z63" s="591"/>
      <c r="AA63" s="591"/>
      <c r="AB63" s="591"/>
      <c r="AC63" s="591"/>
      <c r="AD63" s="591"/>
      <c r="AE63" s="591"/>
      <c r="AF63" s="591"/>
      <c r="AG63" s="591"/>
      <c r="AH63" s="591"/>
      <c r="AI63" s="591"/>
      <c r="AK63" s="708"/>
    </row>
    <row r="64" spans="2:54" ht="15.5" x14ac:dyDescent="0.4">
      <c r="C64" s="877">
        <f>Emissions!BZ46</f>
        <v>0</v>
      </c>
      <c r="D64" s="1310"/>
      <c r="E64" s="1308" t="s">
        <v>738</v>
      </c>
      <c r="F64" s="591"/>
      <c r="H64" s="878"/>
      <c r="I64" s="1310"/>
      <c r="J64" s="1308" t="s">
        <v>738</v>
      </c>
      <c r="M64" s="878"/>
      <c r="N64" s="1310"/>
      <c r="O64" s="1308" t="s">
        <v>738</v>
      </c>
      <c r="P64" s="591"/>
      <c r="Q64" s="591"/>
      <c r="R64" s="591"/>
      <c r="S64" s="591"/>
      <c r="T64" s="591"/>
      <c r="U64" s="591"/>
      <c r="V64" s="591"/>
      <c r="W64" s="591"/>
      <c r="X64" s="591"/>
      <c r="Y64" s="591"/>
      <c r="Z64" s="591"/>
      <c r="AA64" s="591"/>
      <c r="AB64" s="591"/>
      <c r="AC64" s="591"/>
      <c r="AD64" s="591"/>
      <c r="AE64" s="591"/>
      <c r="AF64" s="591"/>
      <c r="AG64" s="591"/>
      <c r="AH64" s="591"/>
      <c r="AI64" s="591"/>
      <c r="AK64" s="708"/>
    </row>
    <row r="65" spans="3:37" ht="15.5" x14ac:dyDescent="0.4">
      <c r="C65" s="877">
        <f>Emissions!BX46</f>
        <v>0</v>
      </c>
      <c r="D65" s="607" t="e">
        <f>Emissions!CE46</f>
        <v>#N/A</v>
      </c>
      <c r="E65" s="1308" t="s">
        <v>739</v>
      </c>
      <c r="F65" s="591"/>
      <c r="H65" s="878"/>
      <c r="I65" s="1041"/>
      <c r="J65" s="1308" t="s">
        <v>739</v>
      </c>
      <c r="M65" s="878"/>
      <c r="N65" s="1041"/>
      <c r="O65" s="1308" t="s">
        <v>739</v>
      </c>
      <c r="P65" s="591"/>
      <c r="Q65" s="591"/>
      <c r="R65" s="591"/>
      <c r="S65" s="591"/>
      <c r="T65" s="591"/>
      <c r="U65" s="591"/>
      <c r="V65" s="591"/>
      <c r="W65" s="591"/>
      <c r="X65" s="591"/>
      <c r="Y65" s="591"/>
      <c r="Z65" s="591"/>
      <c r="AA65" s="591"/>
      <c r="AB65" s="591"/>
      <c r="AC65" s="591"/>
      <c r="AD65" s="591"/>
      <c r="AE65" s="591"/>
      <c r="AF65" s="591"/>
      <c r="AG65" s="591"/>
      <c r="AH65" s="591"/>
      <c r="AI65" s="591"/>
      <c r="AK65" s="708"/>
    </row>
    <row r="66" spans="3:37" x14ac:dyDescent="0.25">
      <c r="C66" s="877">
        <f>Emissions!BY46</f>
        <v>0</v>
      </c>
      <c r="D66" s="607" t="e">
        <f>Emissions!CF46</f>
        <v>#N/A</v>
      </c>
      <c r="E66" s="1" t="s">
        <v>733</v>
      </c>
      <c r="H66" s="878"/>
      <c r="I66" s="1041"/>
      <c r="J66" s="1" t="s">
        <v>733</v>
      </c>
      <c r="M66" s="878"/>
      <c r="N66" s="1041"/>
      <c r="O66" s="1" t="s">
        <v>733</v>
      </c>
    </row>
    <row r="68" spans="3:37" x14ac:dyDescent="0.25">
      <c r="C68" s="607">
        <f>'Travel Time'!AG46+'Travel Time'!AL46</f>
        <v>0</v>
      </c>
      <c r="D68" s="607" t="e">
        <f>IF(Reliability&lt;&gt;"N",Reliability!AG48+Reliability!AJ48,0)</f>
        <v>#DIV/0!</v>
      </c>
      <c r="E68" s="607">
        <f>IF(VehOp&lt;&gt;"N",'Vehicle Operating Costs'!AD46+'Vehicle Operating Costs'!AH46,0)</f>
        <v>0</v>
      </c>
      <c r="F68" s="607">
        <f>IF(Accidents&lt;&gt;"N",'Accident Costs'!X46+'Accident Costs'!AB46,0)</f>
        <v>0</v>
      </c>
      <c r="G68" s="607" t="e">
        <f>IF(Emissions&lt;&gt;"N",Emissions!BF46+Emissions!BK46,0)</f>
        <v>#N/A</v>
      </c>
      <c r="H68" s="1065"/>
      <c r="I68" s="1065"/>
      <c r="J68" s="1065"/>
      <c r="K68" s="1065"/>
      <c r="L68" s="1065"/>
      <c r="M68" s="1065"/>
      <c r="N68" s="1065"/>
      <c r="O68" s="1065"/>
      <c r="P68" s="1065"/>
      <c r="Q68" s="1065"/>
      <c r="R68" s="1" t="s">
        <v>651</v>
      </c>
    </row>
    <row r="69" spans="3:37" x14ac:dyDescent="0.25">
      <c r="C69" s="1"/>
      <c r="G69" s="1"/>
      <c r="K69" s="1"/>
    </row>
  </sheetData>
  <phoneticPr fontId="0" type="noConversion"/>
  <printOptions horizontalCentered="1"/>
  <pageMargins left="0.5" right="0.5" top="0.75" bottom="0.75" header="0.5" footer="0.5"/>
  <pageSetup scale="71" fitToWidth="5" orientation="landscape" r:id="rId1"/>
  <headerFooter alignWithMargins="0">
    <oddFooter>&amp;L&amp;8Transportation Economics
Caltrans DOTP&amp;C&amp;8Cal-B/C &amp;A&amp;R&amp;8Page &amp;P
&amp;D</oddFooter>
  </headerFooter>
  <colBreaks count="4" manualBreakCount="4">
    <brk id="10" min="13" max="67" man="1"/>
    <brk id="18" min="13" max="67" man="1"/>
    <brk id="30" min="13" max="67" man="1"/>
    <brk id="39" min="13" max="67" man="1"/>
  </col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FFFFCC"/>
  </sheetPr>
  <dimension ref="B1:ES300"/>
  <sheetViews>
    <sheetView showGridLines="0" tabSelected="1" topLeftCell="A7" zoomScaleNormal="100" zoomScaleSheetLayoutView="25" workbookViewId="0">
      <selection activeCell="H17" sqref="H17"/>
    </sheetView>
  </sheetViews>
  <sheetFormatPr defaultColWidth="9.1796875" defaultRowHeight="12.5" x14ac:dyDescent="0.25"/>
  <cols>
    <col min="1" max="1" width="9.1796875" style="1"/>
    <col min="2" max="2" width="5.81640625" style="1" customWidth="1"/>
    <col min="3" max="3" width="5.7265625" style="1" customWidth="1"/>
    <col min="4" max="4" width="37.26953125" style="1" customWidth="1"/>
    <col min="5" max="5" width="14.453125" style="1" customWidth="1"/>
    <col min="6" max="6" width="14.453125" style="1068" customWidth="1"/>
    <col min="7" max="7" width="5.7265625" style="1068" customWidth="1"/>
    <col min="8" max="8" width="14.26953125" style="315" customWidth="1"/>
    <col min="9" max="10" width="5.7265625" style="1" customWidth="1"/>
    <col min="11" max="11" width="26.81640625" style="1" customWidth="1"/>
    <col min="12" max="15" width="11.26953125" style="1" customWidth="1"/>
    <col min="16" max="16" width="5.7265625" style="1" customWidth="1"/>
    <col min="17" max="17" width="14.54296875" style="1" customWidth="1"/>
    <col min="18" max="18" width="6" style="1" customWidth="1"/>
    <col min="19" max="19" width="3.54296875" style="1" customWidth="1"/>
    <col min="20" max="20" width="86.453125" style="1" customWidth="1"/>
    <col min="21" max="22" width="14.1796875" style="1" customWidth="1"/>
    <col min="23" max="23" width="4.453125" style="1" customWidth="1"/>
    <col min="24" max="24" width="14.54296875" style="1" customWidth="1"/>
    <col min="25" max="25" width="5.7265625" style="1" customWidth="1"/>
    <col min="26" max="26" width="34.81640625" style="1" bestFit="1" customWidth="1"/>
    <col min="27" max="27" width="10.26953125" style="1" bestFit="1" customWidth="1"/>
    <col min="28" max="28" width="14.1796875" style="1" customWidth="1"/>
    <col min="29" max="29" width="42.453125" style="1" customWidth="1"/>
    <col min="30" max="30" width="5.81640625" style="1" customWidth="1"/>
    <col min="31" max="31" width="14.453125" style="1" customWidth="1"/>
    <col min="32" max="32" width="5.54296875" style="1" customWidth="1"/>
    <col min="33" max="33" width="16" style="1" bestFit="1" customWidth="1"/>
    <col min="34" max="39" width="10.26953125" style="1" customWidth="1"/>
    <col min="40" max="40" width="5.54296875" style="1" customWidth="1"/>
    <col min="41" max="41" width="9.54296875" style="1" customWidth="1"/>
    <col min="42" max="42" width="9.1796875" style="1"/>
    <col min="43" max="43" width="5.453125" style="1" customWidth="1"/>
    <col min="44" max="46" width="9.1796875" style="1"/>
    <col min="47" max="47" width="5.453125" style="1" customWidth="1"/>
    <col min="48" max="49" width="9.26953125" style="1" customWidth="1"/>
    <col min="50" max="50" width="5.453125" style="1" customWidth="1"/>
    <col min="51" max="51" width="21.7265625" style="1" bestFit="1" customWidth="1"/>
    <col min="52" max="52" width="12" style="1" bestFit="1" customWidth="1"/>
    <col min="53" max="53" width="12.26953125" style="1" bestFit="1" customWidth="1"/>
    <col min="54" max="55" width="12.26953125" style="1" customWidth="1"/>
    <col min="56" max="56" width="5.453125" style="1" customWidth="1"/>
    <col min="57" max="57" width="9.1796875" style="1"/>
    <col min="58" max="58" width="5.54296875" style="1" customWidth="1"/>
    <col min="59" max="59" width="16.81640625" style="1" customWidth="1"/>
    <col min="60" max="63" width="14.54296875" style="1" customWidth="1"/>
    <col min="64" max="64" width="5.54296875" style="1" customWidth="1"/>
    <col min="65" max="66" width="9.1796875" style="1"/>
    <col min="67" max="67" width="5.7265625" style="1" customWidth="1"/>
    <col min="68" max="68" width="8.81640625" customWidth="1"/>
    <col min="69" max="69" width="9" customWidth="1"/>
    <col min="70" max="70" width="9.453125" bestFit="1" customWidth="1"/>
    <col min="71" max="71" width="10.453125" bestFit="1" customWidth="1"/>
    <col min="72" max="74" width="9.453125" bestFit="1" customWidth="1"/>
    <col min="75" max="75" width="9.453125" customWidth="1"/>
    <col min="76" max="76" width="9.453125" bestFit="1" customWidth="1"/>
    <col min="77" max="77" width="5.7265625" style="1" customWidth="1"/>
    <col min="78" max="78" width="9.1796875" style="1"/>
    <col min="79" max="79" width="5.7265625" style="1" customWidth="1"/>
    <col min="80" max="80" width="8.81640625" customWidth="1"/>
    <col min="81" max="81" width="9" customWidth="1"/>
    <col min="82" max="82" width="9.453125" bestFit="1" customWidth="1"/>
    <col min="83" max="83" width="9.81640625" bestFit="1" customWidth="1"/>
    <col min="84" max="86" width="9.453125" bestFit="1" customWidth="1"/>
    <col min="87" max="87" width="9.453125" customWidth="1"/>
    <col min="88" max="88" width="9.453125" bestFit="1" customWidth="1"/>
    <col min="89" max="89" width="5.7265625" style="1" customWidth="1"/>
    <col min="90" max="90" width="9.1796875" style="1" customWidth="1"/>
    <col min="91" max="91" width="9.26953125" style="1" customWidth="1"/>
    <col min="92" max="92" width="5.7265625" style="1" customWidth="1"/>
    <col min="93" max="93" width="16.54296875" style="1" customWidth="1"/>
    <col min="94" max="94" width="11.54296875" style="1" bestFit="1" customWidth="1"/>
    <col min="95" max="99" width="9.54296875" style="1" customWidth="1"/>
    <col min="100" max="101" width="9.7265625" style="1" customWidth="1"/>
    <col min="102" max="102" width="5.54296875" style="1" customWidth="1"/>
    <col min="103" max="104" width="9.1796875" style="1" customWidth="1"/>
    <col min="105" max="105" width="5.54296875" style="1" customWidth="1"/>
    <col min="106" max="106" width="8.1796875" style="1" customWidth="1"/>
    <col min="107" max="109" width="9.1796875" style="1" customWidth="1"/>
    <col min="110" max="110" width="5.453125" style="1" customWidth="1"/>
    <col min="111" max="111" width="9.1796875" style="1" customWidth="1"/>
    <col min="112" max="112" width="5.453125" style="1" customWidth="1"/>
    <col min="113" max="115" width="9.453125" style="1" customWidth="1"/>
    <col min="116" max="116" width="5.453125" style="1" customWidth="1"/>
    <col min="117" max="118" width="9.1796875" style="1" customWidth="1"/>
    <col min="119" max="119" width="5.453125" style="1" customWidth="1"/>
    <col min="120" max="120" width="13.7265625" style="1" customWidth="1"/>
    <col min="121" max="122" width="13.54296875" style="1" customWidth="1"/>
    <col min="123" max="123" width="5.453125" style="1" customWidth="1"/>
    <col min="124" max="125" width="9.1796875" style="1" customWidth="1"/>
    <col min="126" max="126" width="5.453125" style="1" customWidth="1"/>
    <col min="127" max="127" width="11.1796875" style="1" customWidth="1"/>
    <col min="128" max="135" width="9.453125" style="1" customWidth="1"/>
    <col min="136" max="136" width="5.453125" style="1" customWidth="1"/>
    <col min="137" max="138" width="9.1796875" style="1"/>
    <col min="139" max="139" width="5.453125" style="1" customWidth="1"/>
    <col min="140" max="140" width="15.7265625" style="1" customWidth="1"/>
    <col min="141" max="141" width="12.7265625" style="1" customWidth="1"/>
    <col min="142" max="142" width="12.1796875" style="1" customWidth="1"/>
    <col min="143" max="143" width="11.54296875" style="1" customWidth="1"/>
    <col min="144" max="144" width="5.453125" style="1" customWidth="1"/>
    <col min="145" max="16384" width="9.1796875" style="1"/>
  </cols>
  <sheetData>
    <row r="1" spans="2:149" ht="20" x14ac:dyDescent="0.4">
      <c r="B1" s="310" t="s">
        <v>100</v>
      </c>
      <c r="EH1" s="1366"/>
      <c r="EI1" s="1366"/>
      <c r="EJ1" s="1366"/>
      <c r="EK1" s="1366"/>
      <c r="EL1" s="1366"/>
      <c r="EM1" s="1366"/>
      <c r="EN1" s="1366"/>
      <c r="EO1" s="1366"/>
      <c r="EP1" s="1366"/>
      <c r="EQ1" s="1366"/>
    </row>
    <row r="2" spans="2:149" x14ac:dyDescent="0.25">
      <c r="EH2" s="1366"/>
      <c r="EI2" s="1366"/>
      <c r="EJ2" s="1366"/>
      <c r="EK2" s="1366"/>
      <c r="EL2" s="1366"/>
      <c r="EM2" s="1366"/>
      <c r="EN2" s="1366"/>
      <c r="EO2" s="1366"/>
      <c r="EP2" s="1366"/>
      <c r="EQ2" s="1366"/>
    </row>
    <row r="3" spans="2:149" ht="17.5" x14ac:dyDescent="0.25">
      <c r="B3" s="289" t="s">
        <v>355</v>
      </c>
      <c r="EH3" s="1366"/>
      <c r="EI3" s="1366"/>
      <c r="EJ3" s="1366"/>
      <c r="EK3" s="1366"/>
      <c r="EL3" s="1366"/>
      <c r="EM3" s="1366"/>
      <c r="EN3" s="1366"/>
      <c r="EO3" s="1366"/>
      <c r="EP3" s="1366"/>
      <c r="EQ3" s="1366"/>
    </row>
    <row r="4" spans="2:149" ht="17.5" x14ac:dyDescent="0.35">
      <c r="B4" s="289" t="s">
        <v>356</v>
      </c>
      <c r="AF4" s="683" t="s">
        <v>54</v>
      </c>
      <c r="AQ4" s="683" t="s">
        <v>357</v>
      </c>
      <c r="AR4" s="683"/>
      <c r="AS4" s="683"/>
      <c r="AT4" s="683"/>
      <c r="AU4" s="683"/>
      <c r="AV4" s="683"/>
      <c r="AW4" s="683"/>
      <c r="AX4" s="683" t="s">
        <v>358</v>
      </c>
      <c r="AY4" s="683"/>
      <c r="AZ4" s="683"/>
      <c r="BA4" s="683"/>
      <c r="BB4" s="683"/>
      <c r="BC4" s="683"/>
      <c r="BD4" s="683"/>
      <c r="BO4" s="683" t="s">
        <v>359</v>
      </c>
      <c r="DA4" s="683" t="s">
        <v>360</v>
      </c>
      <c r="DO4" s="683" t="s">
        <v>498</v>
      </c>
      <c r="DV4" s="683" t="s">
        <v>602</v>
      </c>
      <c r="EH4" s="1366"/>
      <c r="EI4" s="683" t="s">
        <v>824</v>
      </c>
      <c r="EJ4" s="1366"/>
      <c r="EK4" s="1366"/>
      <c r="EL4" s="1366"/>
      <c r="EM4" s="1366"/>
      <c r="EN4" s="1366"/>
      <c r="EO4" s="1366"/>
      <c r="EP4" s="1366"/>
      <c r="EQ4" s="1366"/>
    </row>
    <row r="5" spans="2:149" ht="17.5" x14ac:dyDescent="0.25">
      <c r="B5" s="289"/>
      <c r="DO5" s="804" t="s">
        <v>499</v>
      </c>
      <c r="DV5" s="804" t="s">
        <v>97</v>
      </c>
      <c r="EH5" s="1366"/>
      <c r="EI5" s="804" t="s">
        <v>825</v>
      </c>
      <c r="EJ5" s="1366"/>
      <c r="EK5" s="1366"/>
      <c r="EL5" s="1366"/>
      <c r="EM5" s="1366"/>
      <c r="EN5" s="1366"/>
      <c r="EO5" s="1366"/>
      <c r="EP5" s="1366"/>
      <c r="EQ5" s="1366"/>
    </row>
    <row r="6" spans="2:149" ht="16.5" customHeight="1" thickBot="1" x14ac:dyDescent="0.3">
      <c r="BN6" s="528"/>
      <c r="EH6" s="1366"/>
      <c r="EI6" s="1366"/>
      <c r="EJ6" s="1366"/>
      <c r="EK6" s="1366"/>
      <c r="EL6" s="1366"/>
      <c r="EM6" s="1366"/>
      <c r="EN6" s="1366"/>
      <c r="EO6" s="1366"/>
      <c r="EP6" s="1366"/>
      <c r="EQ6" s="1366"/>
    </row>
    <row r="7" spans="2:149" ht="16.5" customHeight="1" thickTop="1" x14ac:dyDescent="0.35">
      <c r="B7" s="54" t="s">
        <v>361</v>
      </c>
      <c r="C7" s="670"/>
      <c r="D7" s="55"/>
      <c r="E7" s="1069"/>
      <c r="F7" s="1069"/>
      <c r="G7" s="666"/>
      <c r="H7" s="751"/>
      <c r="I7" s="1622" t="s">
        <v>868</v>
      </c>
      <c r="J7" s="1626"/>
      <c r="K7" s="1630"/>
      <c r="Y7" s="54" t="s">
        <v>460</v>
      </c>
      <c r="Z7" s="55"/>
      <c r="AA7" s="55"/>
      <c r="AB7" s="55"/>
      <c r="AC7" s="55"/>
      <c r="AD7" s="56"/>
      <c r="AF7" s="501"/>
      <c r="AG7" s="502"/>
      <c r="AH7" s="502"/>
      <c r="AI7" s="502"/>
      <c r="AJ7" s="502"/>
      <c r="AK7" s="502"/>
      <c r="AL7" s="502"/>
      <c r="AM7" s="502"/>
      <c r="AN7" s="504"/>
      <c r="AO7" s="425"/>
      <c r="AQ7" s="501"/>
      <c r="AR7" s="502"/>
      <c r="AS7" s="503"/>
      <c r="AT7" s="503"/>
      <c r="AU7" s="504"/>
      <c r="AV7" s="425"/>
      <c r="AW7" s="425"/>
      <c r="AX7" s="44"/>
      <c r="AY7" s="53"/>
      <c r="AZ7" s="53"/>
      <c r="BA7" s="53"/>
      <c r="BB7" s="53"/>
      <c r="BC7" s="53"/>
      <c r="BD7" s="45"/>
      <c r="BF7" s="44"/>
      <c r="BG7" s="53"/>
      <c r="BH7" s="53"/>
      <c r="BI7" s="53"/>
      <c r="BJ7" s="53"/>
      <c r="BK7" s="53"/>
      <c r="BL7" s="45"/>
      <c r="BO7" s="44"/>
      <c r="BP7" s="230"/>
      <c r="BQ7" s="230"/>
      <c r="BR7" s="230"/>
      <c r="BS7" s="230"/>
      <c r="BT7" s="230"/>
      <c r="BU7" s="230"/>
      <c r="BV7" s="230"/>
      <c r="BW7" s="230"/>
      <c r="BX7" s="230"/>
      <c r="BY7" s="45"/>
      <c r="CA7" s="44"/>
      <c r="CB7" s="230"/>
      <c r="CC7" s="230"/>
      <c r="CD7" s="230"/>
      <c r="CE7" s="230"/>
      <c r="CF7" s="230"/>
      <c r="CG7" s="230"/>
      <c r="CH7" s="230"/>
      <c r="CI7" s="230"/>
      <c r="CJ7" s="230"/>
      <c r="CK7" s="45"/>
      <c r="CN7" s="44"/>
      <c r="CO7" s="53"/>
      <c r="CP7" s="53"/>
      <c r="CQ7" s="53"/>
      <c r="CR7" s="53"/>
      <c r="CS7" s="53"/>
      <c r="CT7" s="53"/>
      <c r="CU7" s="53"/>
      <c r="CV7" s="53"/>
      <c r="CW7" s="53"/>
      <c r="CX7" s="45"/>
      <c r="DA7" s="44"/>
      <c r="DB7" s="230"/>
      <c r="DC7" s="230"/>
      <c r="DD7" s="230"/>
      <c r="DE7" s="53"/>
      <c r="DF7" s="45"/>
      <c r="DH7" s="44"/>
      <c r="DI7" s="230"/>
      <c r="DJ7" s="230"/>
      <c r="DK7" s="230"/>
      <c r="DL7" s="45"/>
      <c r="DO7" s="44"/>
      <c r="DP7" s="230"/>
      <c r="DQ7" s="230"/>
      <c r="DR7" s="230"/>
      <c r="DS7" s="45"/>
      <c r="DV7" s="44"/>
      <c r="DW7" s="230"/>
      <c r="DX7" s="230"/>
      <c r="DY7" s="230"/>
      <c r="DZ7" s="230"/>
      <c r="EA7" s="230"/>
      <c r="EB7" s="230"/>
      <c r="EC7" s="230"/>
      <c r="ED7" s="230"/>
      <c r="EE7" s="230"/>
      <c r="EF7" s="45"/>
      <c r="EH7" s="1366"/>
      <c r="EI7" s="1367"/>
      <c r="EJ7" s="1368"/>
      <c r="EK7" s="1368"/>
      <c r="EL7" s="1368"/>
      <c r="EM7" s="1368"/>
      <c r="EN7" s="1369"/>
      <c r="EO7" s="1366"/>
      <c r="EP7" s="1366"/>
      <c r="EQ7" s="1366"/>
      <c r="ER7" s="1366"/>
      <c r="ES7" s="1366"/>
    </row>
    <row r="8" spans="2:149" ht="16.5" customHeight="1" x14ac:dyDescent="0.35">
      <c r="B8" s="57"/>
      <c r="C8" s="32"/>
      <c r="D8" s="33"/>
      <c r="E8" s="732"/>
      <c r="F8" s="33"/>
      <c r="G8" s="667"/>
      <c r="H8" s="751"/>
      <c r="I8" s="1623"/>
      <c r="J8" s="1627"/>
      <c r="K8" s="1631"/>
      <c r="Y8" s="57"/>
      <c r="Z8" s="33"/>
      <c r="AA8" s="33"/>
      <c r="AB8" s="33"/>
      <c r="AC8" s="33"/>
      <c r="AD8" s="58"/>
      <c r="AF8" s="505"/>
      <c r="AG8" s="522" t="s">
        <v>70</v>
      </c>
      <c r="AH8" s="523"/>
      <c r="AI8" s="523"/>
      <c r="AJ8" s="523"/>
      <c r="AK8" s="523"/>
      <c r="AL8" s="523"/>
      <c r="AM8" s="523"/>
      <c r="AN8" s="506"/>
      <c r="AO8" s="275"/>
      <c r="AQ8" s="505"/>
      <c r="AR8" s="522" t="s">
        <v>364</v>
      </c>
      <c r="AS8" s="523"/>
      <c r="AT8" s="523"/>
      <c r="AU8" s="506"/>
      <c r="AV8" s="275"/>
      <c r="AW8" s="275"/>
      <c r="AX8" s="46"/>
      <c r="AY8" s="522" t="s">
        <v>470</v>
      </c>
      <c r="AZ8" s="526"/>
      <c r="BA8" s="526"/>
      <c r="BB8" s="526"/>
      <c r="BC8" s="526"/>
      <c r="BD8" s="48"/>
      <c r="BF8" s="46"/>
      <c r="BG8" s="522" t="s">
        <v>758</v>
      </c>
      <c r="BH8" s="526"/>
      <c r="BI8" s="526"/>
      <c r="BJ8" s="526"/>
      <c r="BK8" s="526"/>
      <c r="BL8" s="48"/>
      <c r="BO8" s="46"/>
      <c r="BP8" s="522" t="s">
        <v>365</v>
      </c>
      <c r="BQ8" s="526"/>
      <c r="BR8" s="526"/>
      <c r="BS8" s="526"/>
      <c r="BT8" s="526"/>
      <c r="BU8" s="526"/>
      <c r="BV8" s="526"/>
      <c r="BW8" s="526"/>
      <c r="BX8" s="526"/>
      <c r="BY8" s="48"/>
      <c r="CA8" s="46"/>
      <c r="CB8" s="522" t="s">
        <v>365</v>
      </c>
      <c r="CC8" s="526"/>
      <c r="CD8" s="526"/>
      <c r="CE8" s="526"/>
      <c r="CF8" s="526"/>
      <c r="CG8" s="526"/>
      <c r="CH8" s="526"/>
      <c r="CI8" s="526"/>
      <c r="CJ8" s="526"/>
      <c r="CK8" s="48"/>
      <c r="CN8" s="46"/>
      <c r="CO8" s="522" t="s">
        <v>366</v>
      </c>
      <c r="CP8" s="526"/>
      <c r="CQ8" s="526"/>
      <c r="CR8" s="526"/>
      <c r="CS8" s="526"/>
      <c r="CT8" s="526"/>
      <c r="CU8" s="526"/>
      <c r="CV8" s="526"/>
      <c r="CW8" s="526"/>
      <c r="CX8" s="48"/>
      <c r="DA8" s="46"/>
      <c r="DB8" s="522" t="s">
        <v>367</v>
      </c>
      <c r="DC8" s="522"/>
      <c r="DD8" s="526"/>
      <c r="DE8" s="198"/>
      <c r="DF8" s="48"/>
      <c r="DH8" s="46"/>
      <c r="DI8" s="522" t="s">
        <v>368</v>
      </c>
      <c r="DJ8" s="526"/>
      <c r="DK8" s="526"/>
      <c r="DL8" s="48"/>
      <c r="DO8" s="46"/>
      <c r="DP8" s="522" t="s">
        <v>368</v>
      </c>
      <c r="DQ8" s="526"/>
      <c r="DR8" s="526"/>
      <c r="DS8" s="48"/>
      <c r="DV8" s="46"/>
      <c r="DW8" s="522" t="s">
        <v>581</v>
      </c>
      <c r="DX8" s="522"/>
      <c r="DY8" s="522"/>
      <c r="DZ8" s="526"/>
      <c r="EA8" s="526"/>
      <c r="EB8" s="526"/>
      <c r="EC8" s="526"/>
      <c r="ED8" s="526"/>
      <c r="EE8" s="526"/>
      <c r="EF8" s="48"/>
      <c r="EH8" s="1366"/>
      <c r="EI8" s="1370"/>
      <c r="EJ8" s="1372" t="s">
        <v>774</v>
      </c>
      <c r="EK8" s="1372"/>
      <c r="EL8" s="1372"/>
      <c r="EM8" s="1372"/>
      <c r="EN8" s="1371"/>
      <c r="EO8" s="1366"/>
      <c r="EP8" s="1366"/>
      <c r="EQ8" s="1366"/>
      <c r="ER8" s="1366"/>
      <c r="ES8" s="1366"/>
    </row>
    <row r="9" spans="2:149" ht="16.5" customHeight="1" x14ac:dyDescent="0.35">
      <c r="B9" s="57"/>
      <c r="C9" s="49" t="s">
        <v>362</v>
      </c>
      <c r="D9" s="33"/>
      <c r="E9" s="732"/>
      <c r="F9" s="680">
        <v>2021</v>
      </c>
      <c r="G9" s="672"/>
      <c r="H9" s="751"/>
      <c r="I9" s="1623"/>
      <c r="J9" s="1628" t="s">
        <v>155</v>
      </c>
      <c r="K9" s="1632"/>
      <c r="Y9" s="57"/>
      <c r="Z9" s="49" t="s">
        <v>458</v>
      </c>
      <c r="AA9" s="63"/>
      <c r="AB9" s="33"/>
      <c r="AC9" s="33" t="s">
        <v>12</v>
      </c>
      <c r="AD9" s="58"/>
      <c r="AF9" s="512"/>
      <c r="AG9" s="809" t="s">
        <v>536</v>
      </c>
      <c r="AH9" s="523"/>
      <c r="AI9" s="523"/>
      <c r="AJ9" s="523"/>
      <c r="AK9" s="523"/>
      <c r="AL9" s="523"/>
      <c r="AM9" s="523"/>
      <c r="AN9" s="506"/>
      <c r="AO9" s="275"/>
      <c r="AQ9" s="505"/>
      <c r="AR9" s="524" t="s">
        <v>370</v>
      </c>
      <c r="AS9" s="523"/>
      <c r="AT9" s="523"/>
      <c r="AU9" s="506"/>
      <c r="AV9" s="275"/>
      <c r="AW9" s="275"/>
      <c r="AX9" s="46"/>
      <c r="AY9" s="809" t="s">
        <v>38</v>
      </c>
      <c r="AZ9" s="526"/>
      <c r="BA9" s="526"/>
      <c r="BB9" s="526"/>
      <c r="BC9" s="526"/>
      <c r="BD9" s="48"/>
      <c r="BF9" s="46"/>
      <c r="BG9" s="809" t="s">
        <v>298</v>
      </c>
      <c r="BH9" s="526"/>
      <c r="BI9" s="526"/>
      <c r="BJ9" s="526"/>
      <c r="BK9" s="526"/>
      <c r="BL9" s="48"/>
      <c r="BO9" s="46"/>
      <c r="BP9" s="809" t="s">
        <v>845</v>
      </c>
      <c r="BQ9" s="526"/>
      <c r="BR9" s="526"/>
      <c r="BS9" s="526"/>
      <c r="BT9" s="526"/>
      <c r="BU9" s="526"/>
      <c r="BV9" s="526"/>
      <c r="BW9" s="526"/>
      <c r="BX9" s="526"/>
      <c r="BY9" s="48"/>
      <c r="CA9" s="46"/>
      <c r="CB9" s="809" t="s">
        <v>846</v>
      </c>
      <c r="CC9" s="526"/>
      <c r="CD9" s="526"/>
      <c r="CE9" s="526"/>
      <c r="CF9" s="526"/>
      <c r="CG9" s="526"/>
      <c r="CH9" s="526"/>
      <c r="CI9" s="526"/>
      <c r="CJ9" s="526"/>
      <c r="CK9" s="48"/>
      <c r="CN9" s="46"/>
      <c r="CO9" s="809" t="s">
        <v>372</v>
      </c>
      <c r="CP9" s="526"/>
      <c r="CQ9" s="526"/>
      <c r="CR9" s="526"/>
      <c r="CS9" s="526"/>
      <c r="CT9" s="526"/>
      <c r="CU9" s="526"/>
      <c r="CV9" s="526"/>
      <c r="CW9" s="526"/>
      <c r="CX9" s="48"/>
      <c r="DA9" s="46"/>
      <c r="DB9" s="809" t="s">
        <v>373</v>
      </c>
      <c r="DC9" s="524"/>
      <c r="DD9" s="526"/>
      <c r="DE9" s="198"/>
      <c r="DF9" s="48"/>
      <c r="DH9" s="46"/>
      <c r="DI9" s="809" t="s">
        <v>374</v>
      </c>
      <c r="DJ9" s="526"/>
      <c r="DK9" s="526"/>
      <c r="DL9" s="48"/>
      <c r="DO9" s="46"/>
      <c r="DP9" s="809" t="s">
        <v>374</v>
      </c>
      <c r="DQ9" s="526"/>
      <c r="DR9" s="526"/>
      <c r="DS9" s="48"/>
      <c r="DV9" s="46"/>
      <c r="DW9" s="809" t="s">
        <v>374</v>
      </c>
      <c r="DX9" s="809"/>
      <c r="DY9" s="809"/>
      <c r="DZ9" s="526"/>
      <c r="EA9" s="526"/>
      <c r="EB9" s="526"/>
      <c r="EC9" s="526"/>
      <c r="ED9" s="526"/>
      <c r="EE9" s="526"/>
      <c r="EF9" s="48"/>
      <c r="EH9" s="1366"/>
      <c r="EI9" s="1370"/>
      <c r="EJ9" s="1373" t="s">
        <v>775</v>
      </c>
      <c r="EK9" s="1373"/>
      <c r="EL9" s="1373"/>
      <c r="EM9" s="1373"/>
      <c r="EN9" s="1371"/>
      <c r="EO9" s="1366"/>
      <c r="EP9" s="1366"/>
      <c r="EQ9" s="1366"/>
      <c r="ER9" s="1366"/>
      <c r="ES9" s="1366"/>
    </row>
    <row r="10" spans="2:149" ht="16.5" customHeight="1" x14ac:dyDescent="0.35">
      <c r="B10" s="57"/>
      <c r="C10" s="49" t="s">
        <v>369</v>
      </c>
      <c r="D10" s="33"/>
      <c r="E10" s="732"/>
      <c r="F10" s="681">
        <v>1</v>
      </c>
      <c r="G10" s="673"/>
      <c r="H10" s="751">
        <v>1</v>
      </c>
      <c r="I10" s="1624"/>
      <c r="J10" s="1628" t="s">
        <v>379</v>
      </c>
      <c r="K10" s="1631"/>
      <c r="Y10" s="57"/>
      <c r="Z10" s="782" t="s">
        <v>461</v>
      </c>
      <c r="AA10" s="787" t="b">
        <f t="shared" ref="AA10:AA18" si="0">IF(ProjType=Z10,TRUE)</f>
        <v>0</v>
      </c>
      <c r="AB10" s="33" t="s">
        <v>440</v>
      </c>
      <c r="AC10" s="33"/>
      <c r="AD10" s="58"/>
      <c r="AF10" s="512"/>
      <c r="AN10" s="506"/>
      <c r="AO10" s="275"/>
      <c r="AQ10" s="248"/>
      <c r="AR10" s="88"/>
      <c r="AS10" s="88"/>
      <c r="AT10" s="88"/>
      <c r="AU10" s="507"/>
      <c r="AV10" s="925"/>
      <c r="AW10" s="925"/>
      <c r="AX10" s="46"/>
      <c r="AY10" s="26"/>
      <c r="AZ10" s="26"/>
      <c r="BA10" s="568"/>
      <c r="BB10" s="26"/>
      <c r="BC10" s="26"/>
      <c r="BD10" s="48"/>
      <c r="BF10" s="46"/>
      <c r="BG10" s="26"/>
      <c r="BH10" s="26"/>
      <c r="BI10" s="568"/>
      <c r="BJ10" s="26"/>
      <c r="BK10" s="26"/>
      <c r="BL10" s="48"/>
      <c r="BO10" s="46"/>
      <c r="BP10" s="527"/>
      <c r="BQ10" s="199"/>
      <c r="BR10" s="199"/>
      <c r="BS10" s="199"/>
      <c r="BT10" s="199"/>
      <c r="BU10" s="199"/>
      <c r="BV10" s="199"/>
      <c r="BW10" s="199"/>
      <c r="BX10" s="199"/>
      <c r="BY10" s="48"/>
      <c r="CA10" s="46"/>
      <c r="CB10" s="527"/>
      <c r="CC10" s="199"/>
      <c r="CD10" s="199"/>
      <c r="CE10" s="199"/>
      <c r="CF10" s="199"/>
      <c r="CG10" s="199"/>
      <c r="CH10" s="199"/>
      <c r="CI10" s="199"/>
      <c r="CJ10" s="199"/>
      <c r="CK10" s="48"/>
      <c r="CN10" s="46"/>
      <c r="CO10" s="199"/>
      <c r="CP10" s="199"/>
      <c r="CQ10" s="199"/>
      <c r="CR10" s="199"/>
      <c r="CS10" s="199"/>
      <c r="CT10" s="199"/>
      <c r="CU10" s="199"/>
      <c r="CV10" s="199"/>
      <c r="CW10" s="199"/>
      <c r="CX10" s="48"/>
      <c r="DA10" s="46"/>
      <c r="DB10" s="527"/>
      <c r="DC10" s="527"/>
      <c r="DD10" s="199"/>
      <c r="DE10" s="26"/>
      <c r="DF10" s="48"/>
      <c r="DH10" s="46"/>
      <c r="DI10" s="524"/>
      <c r="DJ10" s="526"/>
      <c r="DK10" s="526"/>
      <c r="DL10" s="48"/>
      <c r="DO10" s="46"/>
      <c r="DP10" s="524"/>
      <c r="DQ10" s="526"/>
      <c r="DR10" s="526"/>
      <c r="DS10" s="48"/>
      <c r="DV10" s="46"/>
      <c r="DW10" s="524"/>
      <c r="DX10" s="524"/>
      <c r="DY10" s="524"/>
      <c r="DZ10" s="526"/>
      <c r="EA10" s="526"/>
      <c r="EB10" s="526"/>
      <c r="EC10" s="526"/>
      <c r="ED10" s="526"/>
      <c r="EE10" s="526"/>
      <c r="EF10" s="48"/>
      <c r="EH10" s="1366"/>
      <c r="EI10" s="1370"/>
      <c r="EJ10" s="1366"/>
      <c r="EK10" s="1366"/>
      <c r="EL10" s="1366"/>
      <c r="EM10" s="1366"/>
      <c r="EN10" s="1371"/>
      <c r="EO10" s="1366"/>
      <c r="EP10" s="1366"/>
      <c r="EQ10" s="1366"/>
      <c r="ER10" s="1366"/>
      <c r="ES10" s="1366"/>
    </row>
    <row r="11" spans="2:149" ht="16.5" customHeight="1" x14ac:dyDescent="0.4">
      <c r="B11" s="57"/>
      <c r="C11" s="49"/>
      <c r="D11" s="33"/>
      <c r="E11" s="732"/>
      <c r="F11" s="1070"/>
      <c r="G11" s="673"/>
      <c r="H11" s="751"/>
      <c r="I11" s="1624"/>
      <c r="J11" s="1628" t="s">
        <v>312</v>
      </c>
      <c r="K11" s="1631"/>
      <c r="Y11" s="57"/>
      <c r="Z11" s="783" t="s">
        <v>88</v>
      </c>
      <c r="AA11" s="787" t="b">
        <f t="shared" si="0"/>
        <v>0</v>
      </c>
      <c r="AB11" s="33" t="s">
        <v>247</v>
      </c>
      <c r="AC11" s="33" t="s">
        <v>15</v>
      </c>
      <c r="AD11" s="58"/>
      <c r="AF11" s="512"/>
      <c r="AG11" s="771" t="s">
        <v>62</v>
      </c>
      <c r="AH11" s="864" t="s">
        <v>65</v>
      </c>
      <c r="AI11" s="863"/>
      <c r="AJ11" s="863"/>
      <c r="AK11" s="863"/>
      <c r="AL11" s="913"/>
      <c r="AM11" s="904"/>
      <c r="AN11" s="506"/>
      <c r="AO11" s="275"/>
      <c r="AQ11" s="248"/>
      <c r="AR11" s="508" t="s">
        <v>376</v>
      </c>
      <c r="AS11" s="509" t="s">
        <v>641</v>
      </c>
      <c r="AT11" s="510" t="s">
        <v>249</v>
      </c>
      <c r="AU11" s="511"/>
      <c r="AV11" s="926"/>
      <c r="AW11" s="926"/>
      <c r="AX11" s="46"/>
      <c r="AY11" s="563" t="s">
        <v>378</v>
      </c>
      <c r="AZ11" s="564" t="s">
        <v>65</v>
      </c>
      <c r="BA11" s="545" t="s">
        <v>466</v>
      </c>
      <c r="BB11" s="545" t="s">
        <v>64</v>
      </c>
      <c r="BC11" s="546" t="s">
        <v>591</v>
      </c>
      <c r="BD11" s="48"/>
      <c r="BF11" s="46"/>
      <c r="BG11" s="563" t="s">
        <v>378</v>
      </c>
      <c r="BH11" s="564" t="s">
        <v>379</v>
      </c>
      <c r="BI11" s="545" t="s">
        <v>312</v>
      </c>
      <c r="BJ11" s="545" t="s">
        <v>155</v>
      </c>
      <c r="BK11" s="546" t="s">
        <v>755</v>
      </c>
      <c r="BL11" s="48"/>
      <c r="BO11" s="46"/>
      <c r="BP11" s="525" t="s">
        <v>243</v>
      </c>
      <c r="BQ11" s="525" t="s">
        <v>376</v>
      </c>
      <c r="BR11" s="544" t="s">
        <v>380</v>
      </c>
      <c r="BS11" s="564" t="s">
        <v>769</v>
      </c>
      <c r="BT11" s="545" t="s">
        <v>770</v>
      </c>
      <c r="BU11" s="545" t="s">
        <v>771</v>
      </c>
      <c r="BV11" s="545" t="s">
        <v>772</v>
      </c>
      <c r="BW11" s="1317" t="s">
        <v>384</v>
      </c>
      <c r="BX11" s="546" t="s">
        <v>773</v>
      </c>
      <c r="BY11" s="48"/>
      <c r="CA11" s="46"/>
      <c r="CB11" s="525" t="s">
        <v>243</v>
      </c>
      <c r="CC11" s="525" t="s">
        <v>376</v>
      </c>
      <c r="CD11" s="544" t="s">
        <v>380</v>
      </c>
      <c r="CE11" s="564" t="s">
        <v>769</v>
      </c>
      <c r="CF11" s="545" t="s">
        <v>770</v>
      </c>
      <c r="CG11" s="545" t="s">
        <v>771</v>
      </c>
      <c r="CH11" s="545" t="s">
        <v>772</v>
      </c>
      <c r="CI11" s="1317" t="s">
        <v>384</v>
      </c>
      <c r="CJ11" s="546" t="s">
        <v>773</v>
      </c>
      <c r="CK11" s="48"/>
      <c r="CN11" s="46"/>
      <c r="CO11" s="525" t="s">
        <v>385</v>
      </c>
      <c r="CP11" s="525" t="s">
        <v>387</v>
      </c>
      <c r="CQ11" s="544" t="s">
        <v>380</v>
      </c>
      <c r="CR11" s="564" t="s">
        <v>7</v>
      </c>
      <c r="CS11" s="545" t="s">
        <v>381</v>
      </c>
      <c r="CT11" s="545" t="s">
        <v>382</v>
      </c>
      <c r="CU11" s="545" t="s">
        <v>383</v>
      </c>
      <c r="CV11" s="546" t="s">
        <v>384</v>
      </c>
      <c r="CW11" s="1023"/>
      <c r="CX11" s="48"/>
      <c r="DA11" s="46"/>
      <c r="DB11" s="771"/>
      <c r="DC11" s="772" t="s">
        <v>388</v>
      </c>
      <c r="DD11" s="773"/>
      <c r="DE11" s="774"/>
      <c r="DF11" s="48"/>
      <c r="DH11" s="46"/>
      <c r="DI11" s="527"/>
      <c r="DJ11" s="199"/>
      <c r="DK11" s="199"/>
      <c r="DL11" s="48"/>
      <c r="DO11" s="46"/>
      <c r="DP11" s="771" t="s">
        <v>500</v>
      </c>
      <c r="DQ11" s="807" t="s">
        <v>502</v>
      </c>
      <c r="DR11" s="808" t="s">
        <v>247</v>
      </c>
      <c r="DS11" s="48"/>
      <c r="DV11" s="46"/>
      <c r="DW11" s="860" t="s">
        <v>558</v>
      </c>
      <c r="DX11" s="864" t="s">
        <v>560</v>
      </c>
      <c r="DY11" s="863"/>
      <c r="DZ11" s="863" t="s">
        <v>562</v>
      </c>
      <c r="EA11" s="863"/>
      <c r="EB11" s="863" t="s">
        <v>564</v>
      </c>
      <c r="EC11" s="863"/>
      <c r="ED11" s="863"/>
      <c r="EE11" s="808" t="s">
        <v>172</v>
      </c>
      <c r="EF11" s="48"/>
      <c r="EH11" s="1366"/>
      <c r="EI11" s="1370"/>
      <c r="EJ11" s="1374" t="s">
        <v>776</v>
      </c>
      <c r="EK11" s="1375" t="s">
        <v>777</v>
      </c>
      <c r="EL11" s="509" t="s">
        <v>778</v>
      </c>
      <c r="EM11" s="510" t="s">
        <v>779</v>
      </c>
      <c r="EN11" s="1371"/>
      <c r="EO11" s="1366"/>
      <c r="EP11" s="1366"/>
      <c r="EQ11" s="1366"/>
      <c r="ER11" s="1366"/>
      <c r="ES11" s="1366"/>
    </row>
    <row r="12" spans="2:149" ht="16.5" customHeight="1" x14ac:dyDescent="0.35">
      <c r="B12" s="57"/>
      <c r="C12" s="49" t="s">
        <v>375</v>
      </c>
      <c r="D12" s="33"/>
      <c r="E12" s="732"/>
      <c r="F12" s="559">
        <v>0.04</v>
      </c>
      <c r="G12" s="674"/>
      <c r="H12" s="751">
        <v>2</v>
      </c>
      <c r="I12" s="1624"/>
      <c r="J12" s="1628" t="s">
        <v>129</v>
      </c>
      <c r="K12" s="1631"/>
      <c r="Y12" s="57"/>
      <c r="Z12" s="782" t="s">
        <v>47</v>
      </c>
      <c r="AA12" s="787" t="b">
        <f t="shared" si="0"/>
        <v>0</v>
      </c>
      <c r="AB12" s="33" t="s">
        <v>44</v>
      </c>
      <c r="AC12" s="33" t="s">
        <v>17</v>
      </c>
      <c r="AD12" s="58"/>
      <c r="AF12" s="512"/>
      <c r="AG12" s="609" t="s">
        <v>63</v>
      </c>
      <c r="AH12" s="906" t="s">
        <v>66</v>
      </c>
      <c r="AI12" s="907"/>
      <c r="AJ12" s="907" t="s">
        <v>67</v>
      </c>
      <c r="AK12" s="907"/>
      <c r="AL12" s="911" t="s">
        <v>64</v>
      </c>
      <c r="AM12" s="912"/>
      <c r="AN12" s="506"/>
      <c r="AO12" s="275"/>
      <c r="AQ12" s="512"/>
      <c r="AR12" s="736">
        <v>5</v>
      </c>
      <c r="AS12" s="1071">
        <v>5.1499999999999997E-2</v>
      </c>
      <c r="AT12" s="1072">
        <v>0.14000000000000001</v>
      </c>
      <c r="AU12" s="506"/>
      <c r="AV12" s="275"/>
      <c r="AW12" s="275"/>
      <c r="AX12" s="46"/>
      <c r="AY12" s="565" t="s">
        <v>467</v>
      </c>
      <c r="AZ12" s="1073">
        <f>ROUND((11713+2488)/277160,4)</f>
        <v>5.1200000000000002E-2</v>
      </c>
      <c r="BA12" s="1073">
        <f>ROUND((11713+2488)/277160,4)</f>
        <v>5.1200000000000002E-2</v>
      </c>
      <c r="BB12" s="1073">
        <f>ROUND((11713+2488)/277160,4)</f>
        <v>5.1200000000000002E-2</v>
      </c>
      <c r="BC12" s="1074">
        <f>ROUND((11713+2488)/277160,4)</f>
        <v>5.1200000000000002E-2</v>
      </c>
      <c r="BD12" s="48"/>
      <c r="BF12" s="46"/>
      <c r="BG12" s="565" t="s">
        <v>389</v>
      </c>
      <c r="BH12" s="1075">
        <v>8.0399999999999999E-2</v>
      </c>
      <c r="BI12" s="1076">
        <v>0.24160000000000001</v>
      </c>
      <c r="BJ12" s="1076">
        <v>3.7199999999999997E-2</v>
      </c>
      <c r="BK12" s="1077">
        <v>1.0367999999999999</v>
      </c>
      <c r="BL12" s="48"/>
      <c r="BO12" s="46"/>
      <c r="BP12" s="810" t="s">
        <v>377</v>
      </c>
      <c r="BQ12" s="810">
        <v>0</v>
      </c>
      <c r="BR12" s="943">
        <v>3.5182000000000002</v>
      </c>
      <c r="BS12" s="1365">
        <v>78.918499999999995</v>
      </c>
      <c r="BT12" s="944">
        <v>0.30559999999999998</v>
      </c>
      <c r="BU12" s="944">
        <v>2.2000000000000001E-3</v>
      </c>
      <c r="BV12" s="550">
        <v>8.0000000000000004E-4</v>
      </c>
      <c r="BW12" s="1318">
        <v>0.39</v>
      </c>
      <c r="BX12" s="1320">
        <v>2E-3</v>
      </c>
      <c r="BY12" s="48"/>
      <c r="CA12" s="46"/>
      <c r="CB12" s="810" t="s">
        <v>377</v>
      </c>
      <c r="CC12" s="810">
        <v>0</v>
      </c>
      <c r="CD12" s="946">
        <v>1.7535000000000001</v>
      </c>
      <c r="CE12" s="1363">
        <v>60.228900000000003</v>
      </c>
      <c r="CF12" s="550">
        <v>0.1686</v>
      </c>
      <c r="CG12" s="550">
        <v>8.0000000000000004E-4</v>
      </c>
      <c r="CH12" s="550">
        <v>5.9999999999999995E-4</v>
      </c>
      <c r="CI12" s="1318">
        <v>0.14510000000000001</v>
      </c>
      <c r="CJ12" s="945">
        <v>8.0000000000000004E-4</v>
      </c>
      <c r="CK12" s="48"/>
      <c r="CN12" s="46"/>
      <c r="CO12" s="538" t="s">
        <v>390</v>
      </c>
      <c r="CP12" s="539">
        <v>1</v>
      </c>
      <c r="CQ12" s="529">
        <f>ROUND(115*(1.1578/0.78)*ValueUpdate/5,0)*5</f>
        <v>170</v>
      </c>
      <c r="CR12" s="529">
        <f>ROUND(51*(1+2%)^(2021-2020)*(1.1578/1.1385)/1.10231*ValueUpdate,0)</f>
        <v>48</v>
      </c>
      <c r="CS12" s="530">
        <f>ROUND(46615*(1.1578/0.78)*ValueUpdate,-2)</f>
        <v>69200</v>
      </c>
      <c r="CT12" s="530">
        <f>ROUND(381859*(1.1578/0.78)*ValueUpdate,-2)</f>
        <v>566800</v>
      </c>
      <c r="CU12" s="530">
        <f>ROUND(143469*(1.1578/0.78)*ValueUpdate,-2)</f>
        <v>213000</v>
      </c>
      <c r="CV12" s="531">
        <f>ROUND(2898*(1.1578/0.78)*ValueUpdate/5,0)*5</f>
        <v>4300</v>
      </c>
      <c r="CW12" s="1023"/>
      <c r="CX12" s="48"/>
      <c r="DA12" s="46"/>
      <c r="DB12" s="770" t="s">
        <v>391</v>
      </c>
      <c r="DC12" s="544" t="s">
        <v>306</v>
      </c>
      <c r="DD12" s="545" t="s">
        <v>392</v>
      </c>
      <c r="DE12" s="546" t="s">
        <v>393</v>
      </c>
      <c r="DF12" s="48"/>
      <c r="DH12" s="46"/>
      <c r="DI12" s="525" t="s">
        <v>394</v>
      </c>
      <c r="DJ12" s="544" t="s">
        <v>377</v>
      </c>
      <c r="DK12" s="546" t="s">
        <v>249</v>
      </c>
      <c r="DL12" s="48"/>
      <c r="DO12" s="46"/>
      <c r="DP12" s="770" t="s">
        <v>501</v>
      </c>
      <c r="DQ12" s="805" t="s">
        <v>503</v>
      </c>
      <c r="DR12" s="806" t="s">
        <v>136</v>
      </c>
      <c r="DS12" s="48"/>
      <c r="DV12" s="46"/>
      <c r="DW12" s="861" t="s">
        <v>559</v>
      </c>
      <c r="DX12" s="805" t="s">
        <v>376</v>
      </c>
      <c r="DY12" s="862" t="s">
        <v>561</v>
      </c>
      <c r="DZ12" s="862" t="s">
        <v>376</v>
      </c>
      <c r="EA12" s="862" t="s">
        <v>561</v>
      </c>
      <c r="EB12" s="862" t="s">
        <v>563</v>
      </c>
      <c r="EC12" s="862" t="s">
        <v>384</v>
      </c>
      <c r="ED12" s="862" t="s">
        <v>566</v>
      </c>
      <c r="EE12" s="806" t="s">
        <v>576</v>
      </c>
      <c r="EF12" s="48"/>
      <c r="EH12" s="1366"/>
      <c r="EI12" s="1370"/>
      <c r="EJ12" s="1376">
        <v>1.0274000000000001</v>
      </c>
      <c r="EK12" s="1377">
        <v>1.2203999999999999</v>
      </c>
      <c r="EL12" s="1377">
        <v>0.71</v>
      </c>
      <c r="EM12" s="1378">
        <v>0.56000000000000005</v>
      </c>
      <c r="EN12" s="1371"/>
      <c r="EO12" s="1366"/>
      <c r="EP12" s="1366"/>
      <c r="EQ12" s="1366"/>
      <c r="ER12" s="1366"/>
      <c r="ES12" s="1366"/>
    </row>
    <row r="13" spans="2:149" ht="16.5" customHeight="1" thickBot="1" x14ac:dyDescent="0.4">
      <c r="B13" s="59"/>
      <c r="C13" s="74"/>
      <c r="D13" s="61"/>
      <c r="E13" s="1078"/>
      <c r="F13" s="1078"/>
      <c r="G13" s="668"/>
      <c r="H13" s="751"/>
      <c r="I13" s="1625"/>
      <c r="J13" s="1629"/>
      <c r="K13" s="1633"/>
      <c r="Y13" s="57"/>
      <c r="Z13" s="782" t="s">
        <v>462</v>
      </c>
      <c r="AA13" s="787" t="b">
        <f t="shared" si="0"/>
        <v>0</v>
      </c>
      <c r="AB13" s="33" t="s">
        <v>438</v>
      </c>
      <c r="AC13" s="33" t="s">
        <v>18</v>
      </c>
      <c r="AD13" s="58"/>
      <c r="AF13" s="512"/>
      <c r="AG13" s="770" t="s">
        <v>188</v>
      </c>
      <c r="AH13" s="908" t="s">
        <v>68</v>
      </c>
      <c r="AI13" s="909" t="s">
        <v>69</v>
      </c>
      <c r="AJ13" s="909" t="s">
        <v>68</v>
      </c>
      <c r="AK13" s="909" t="s">
        <v>69</v>
      </c>
      <c r="AL13" s="909" t="s">
        <v>68</v>
      </c>
      <c r="AM13" s="910" t="s">
        <v>69</v>
      </c>
      <c r="AN13" s="506"/>
      <c r="AO13" s="275"/>
      <c r="AQ13" s="512"/>
      <c r="AR13" s="736">
        <v>6</v>
      </c>
      <c r="AS13" s="1071">
        <v>5.0099999999999999E-2</v>
      </c>
      <c r="AT13" s="1072">
        <v>0.13769999999999999</v>
      </c>
      <c r="AU13" s="506"/>
      <c r="AV13" s="275"/>
      <c r="AW13" s="275"/>
      <c r="AX13" s="46"/>
      <c r="AY13" s="566" t="s">
        <v>468</v>
      </c>
      <c r="AZ13" s="1079">
        <f>ROUND((60380+9746)/277160,4)</f>
        <v>0.253</v>
      </c>
      <c r="BA13" s="1079">
        <f>ROUND((60380+9746)/277160,4)</f>
        <v>0.253</v>
      </c>
      <c r="BB13" s="1079">
        <f>ROUND((60380+9746)/277160,4)</f>
        <v>0.253</v>
      </c>
      <c r="BC13" s="1080">
        <f>ROUND((60380+9746)/277160,4)</f>
        <v>0.253</v>
      </c>
      <c r="BD13" s="48"/>
      <c r="BF13" s="46"/>
      <c r="BG13" s="566" t="s">
        <v>395</v>
      </c>
      <c r="BH13" s="1081">
        <v>0.28549999999999998</v>
      </c>
      <c r="BI13" s="1082">
        <v>2.9209000000000001</v>
      </c>
      <c r="BJ13" s="1082">
        <v>3.5526</v>
      </c>
      <c r="BK13" s="1083">
        <v>7.3121</v>
      </c>
      <c r="BL13" s="48"/>
      <c r="BO13" s="46"/>
      <c r="BP13" s="810"/>
      <c r="BQ13" s="810">
        <v>5</v>
      </c>
      <c r="BR13" s="946">
        <v>1.3615999999999999</v>
      </c>
      <c r="BS13" s="1363">
        <v>555.43650000000002</v>
      </c>
      <c r="BT13" s="550">
        <v>9.5899999999999999E-2</v>
      </c>
      <c r="BU13" s="550">
        <v>7.0000000000000001E-3</v>
      </c>
      <c r="BV13" s="550">
        <v>5.4999999999999997E-3</v>
      </c>
      <c r="BW13" s="1318">
        <v>8.6800000000000002E-2</v>
      </c>
      <c r="BX13" s="945">
        <v>6.4999999999999997E-3</v>
      </c>
      <c r="BY13" s="48"/>
      <c r="CA13" s="46"/>
      <c r="CB13" s="810"/>
      <c r="CC13" s="810">
        <v>5</v>
      </c>
      <c r="CD13" s="946">
        <v>0.55589999999999995</v>
      </c>
      <c r="CE13" s="1363">
        <v>330.90339999999998</v>
      </c>
      <c r="CF13" s="550">
        <v>2.23E-2</v>
      </c>
      <c r="CG13" s="550">
        <v>1.9E-3</v>
      </c>
      <c r="CH13" s="550">
        <v>3.3E-3</v>
      </c>
      <c r="CI13" s="1318">
        <v>2.4899999999999999E-2</v>
      </c>
      <c r="CJ13" s="945">
        <v>1.8E-3</v>
      </c>
      <c r="CK13" s="48"/>
      <c r="CN13" s="46"/>
      <c r="CO13" s="540" t="s">
        <v>396</v>
      </c>
      <c r="CP13" s="541">
        <v>2</v>
      </c>
      <c r="CQ13" s="532">
        <f>ROUND(60*(1.1578/0.78)*ValueUpdate/5,0)*5</f>
        <v>90</v>
      </c>
      <c r="CR13" s="532">
        <f>ROUND(51*(1+2%)^(2021-2020)*(1.1578/1.1385)/1.10231*ValueUpdate,0)</f>
        <v>48</v>
      </c>
      <c r="CS13" s="533">
        <f>ROUND(13646*(1.1578/0.78)*ValueUpdate,-2)</f>
        <v>20300</v>
      </c>
      <c r="CT13" s="533">
        <f>ROUND(110258*(1.1578/0.78)*ValueUpdate,-2)</f>
        <v>163700</v>
      </c>
      <c r="CU13" s="533">
        <f>ROUND(55069*(1.1578/0.78)*ValueUpdate,-2)</f>
        <v>81700</v>
      </c>
      <c r="CV13" s="534">
        <f>ROUND(954*(1.1578/0.78)*ValueUpdate/5,0)*5</f>
        <v>1415</v>
      </c>
      <c r="CW13" s="1023"/>
      <c r="CX13" s="48"/>
      <c r="DA13" s="46"/>
      <c r="DB13" s="810">
        <v>0</v>
      </c>
      <c r="DC13" s="776">
        <v>125</v>
      </c>
      <c r="DD13" s="777">
        <v>150</v>
      </c>
      <c r="DE13" s="778">
        <v>350</v>
      </c>
      <c r="DF13" s="48"/>
      <c r="DH13" s="46"/>
      <c r="DI13" s="810">
        <v>0</v>
      </c>
      <c r="DJ13" s="1084">
        <v>1</v>
      </c>
      <c r="DK13" s="1085">
        <v>1.0249999999999999</v>
      </c>
      <c r="DL13" s="48"/>
      <c r="DO13" s="46"/>
      <c r="DP13" s="1086">
        <v>0</v>
      </c>
      <c r="DQ13" s="1087">
        <v>1</v>
      </c>
      <c r="DR13" s="1088">
        <v>1</v>
      </c>
      <c r="DS13" s="48"/>
      <c r="DV13" s="46"/>
      <c r="DW13" s="1089" t="s">
        <v>567</v>
      </c>
      <c r="DX13" s="1090">
        <v>1.024390243902439</v>
      </c>
      <c r="DY13" s="1091">
        <v>0.95033206287590888</v>
      </c>
      <c r="DZ13" s="1092">
        <v>1.0226480836236935</v>
      </c>
      <c r="EA13" s="1092">
        <v>0.95024785653448107</v>
      </c>
      <c r="EB13" s="1092">
        <v>-5.0482654714564399</v>
      </c>
      <c r="EC13" s="1092">
        <v>12.812004768254743</v>
      </c>
      <c r="ED13" s="1092">
        <v>1.3685377639581497</v>
      </c>
      <c r="EE13" s="815">
        <v>0.73649754500818332</v>
      </c>
      <c r="EF13" s="48"/>
      <c r="EH13" s="1366"/>
      <c r="EI13" s="1379"/>
      <c r="EJ13" s="1380"/>
      <c r="EK13" s="1380"/>
      <c r="EL13" s="1380"/>
      <c r="EM13" s="1380"/>
      <c r="EN13" s="1381"/>
      <c r="EO13" s="1366"/>
      <c r="EP13" s="1366"/>
      <c r="EQ13" s="1366"/>
      <c r="ER13" s="1366"/>
      <c r="ES13" s="1366"/>
    </row>
    <row r="14" spans="2:149" ht="16.5" customHeight="1" thickTop="1" x14ac:dyDescent="0.35">
      <c r="I14" s="683"/>
      <c r="R14" s="683"/>
      <c r="S14" s="289"/>
      <c r="V14" s="1068"/>
      <c r="W14" s="315"/>
      <c r="Y14" s="57"/>
      <c r="Z14" s="782" t="s">
        <v>646</v>
      </c>
      <c r="AA14" s="787" t="b">
        <f t="shared" si="0"/>
        <v>0</v>
      </c>
      <c r="AB14" s="33" t="s">
        <v>439</v>
      </c>
      <c r="AC14" s="33" t="s">
        <v>14</v>
      </c>
      <c r="AD14" s="58"/>
      <c r="AF14" s="512"/>
      <c r="AG14" s="905">
        <v>1</v>
      </c>
      <c r="AH14" s="914">
        <v>8.5000000000000006E-2</v>
      </c>
      <c r="AI14" s="915">
        <v>8.5000000000000006E-2</v>
      </c>
      <c r="AJ14" s="915">
        <v>8.5000000000000006E-2</v>
      </c>
      <c r="AK14" s="915">
        <v>8.5000000000000006E-2</v>
      </c>
      <c r="AL14" s="915">
        <v>8.5000000000000006E-2</v>
      </c>
      <c r="AM14" s="916">
        <v>8.5000000000000006E-2</v>
      </c>
      <c r="AN14" s="506"/>
      <c r="AO14" s="275"/>
      <c r="AQ14" s="512"/>
      <c r="AR14" s="736">
        <v>7</v>
      </c>
      <c r="AS14" s="1071">
        <v>4.8800000000000003E-2</v>
      </c>
      <c r="AT14" s="1072">
        <v>0.13550000000000001</v>
      </c>
      <c r="AU14" s="506"/>
      <c r="AV14" s="275"/>
      <c r="AW14" s="275"/>
      <c r="AX14" s="46"/>
      <c r="AY14" s="567" t="s">
        <v>469</v>
      </c>
      <c r="AZ14" s="1093">
        <f>ROUND((174210+18623)/277160,4)</f>
        <v>0.69569999999999999</v>
      </c>
      <c r="BA14" s="1093">
        <f>ROUND((174210+18623)/277160,4)</f>
        <v>0.69569999999999999</v>
      </c>
      <c r="BB14" s="1093">
        <f>ROUND((174210+18623)/277160,4)</f>
        <v>0.69569999999999999</v>
      </c>
      <c r="BC14" s="1094">
        <f>ROUND((174210+18623)/277160,4)</f>
        <v>0.69569999999999999</v>
      </c>
      <c r="BD14" s="48"/>
      <c r="BF14" s="46"/>
      <c r="BG14" s="567" t="s">
        <v>411</v>
      </c>
      <c r="BH14" s="1095">
        <v>0.31280000000000002</v>
      </c>
      <c r="BI14" s="1096">
        <v>4.1374000000000004</v>
      </c>
      <c r="BJ14" s="1096">
        <v>2.0522999999999998</v>
      </c>
      <c r="BK14" s="1097">
        <v>13.250500000000001</v>
      </c>
      <c r="BL14" s="48"/>
      <c r="BO14" s="46"/>
      <c r="BP14" s="810"/>
      <c r="BQ14" s="810">
        <v>6</v>
      </c>
      <c r="BR14" s="946">
        <v>1.3409</v>
      </c>
      <c r="BS14" s="1363">
        <v>538.70389999999998</v>
      </c>
      <c r="BT14" s="550">
        <v>9.3299999999999994E-2</v>
      </c>
      <c r="BU14" s="550">
        <v>6.4999999999999997E-3</v>
      </c>
      <c r="BV14" s="550">
        <v>5.3E-3</v>
      </c>
      <c r="BW14" s="1318">
        <v>7.9699999999999993E-2</v>
      </c>
      <c r="BX14" s="945">
        <v>6.0000000000000001E-3</v>
      </c>
      <c r="BY14" s="48"/>
      <c r="CA14" s="46"/>
      <c r="CB14" s="810"/>
      <c r="CC14" s="810">
        <v>6</v>
      </c>
      <c r="CD14" s="946">
        <v>0.55759999999999998</v>
      </c>
      <c r="CE14" s="1363">
        <v>324.70420000000001</v>
      </c>
      <c r="CF14" s="550">
        <v>2.2100000000000002E-2</v>
      </c>
      <c r="CG14" s="550">
        <v>1.8E-3</v>
      </c>
      <c r="CH14" s="550">
        <v>3.2000000000000002E-3</v>
      </c>
      <c r="CI14" s="1318">
        <v>2.3300000000000001E-2</v>
      </c>
      <c r="CJ14" s="945">
        <v>1.6000000000000001E-3</v>
      </c>
      <c r="CK14" s="48"/>
      <c r="CN14" s="46"/>
      <c r="CO14" s="542" t="s">
        <v>398</v>
      </c>
      <c r="CP14" s="543">
        <v>3</v>
      </c>
      <c r="CQ14" s="535">
        <f>ROUND(54*(1.1578/0.78)*ValueUpdate/5,0)*5</f>
        <v>80</v>
      </c>
      <c r="CR14" s="535">
        <f>ROUND(51*(1+2%)^(2021-2020)*(1.1578/1.1385)/1.10231*ValueUpdate,0)</f>
        <v>48</v>
      </c>
      <c r="CS14" s="536">
        <f>ROUND(10144*(1.1578/0.78)*ValueUpdate,-2)</f>
        <v>15100</v>
      </c>
      <c r="CT14" s="536">
        <f>ROUND(78618*(1.1578/0.78)*ValueUpdate,-2)</f>
        <v>116700</v>
      </c>
      <c r="CU14" s="536">
        <f>ROUND(39732*(1.1578/0.78)*ValueUpdate,-2)</f>
        <v>59000</v>
      </c>
      <c r="CV14" s="537">
        <f>ROUND(749*(1.1578/0.78)*ValueUpdate/5,0)*5</f>
        <v>1110</v>
      </c>
      <c r="CW14" s="1023"/>
      <c r="CX14" s="48"/>
      <c r="DA14" s="46"/>
      <c r="DB14" s="810">
        <v>25</v>
      </c>
      <c r="DC14" s="776">
        <v>150</v>
      </c>
      <c r="DD14" s="777">
        <v>200</v>
      </c>
      <c r="DE14" s="778">
        <v>500</v>
      </c>
      <c r="DF14" s="48"/>
      <c r="DH14" s="46"/>
      <c r="DI14" s="810">
        <v>25</v>
      </c>
      <c r="DJ14" s="1084">
        <v>1</v>
      </c>
      <c r="DK14" s="1085">
        <v>1.0249999999999999</v>
      </c>
      <c r="DL14" s="48"/>
      <c r="DO14" s="46"/>
      <c r="DP14" s="1086">
        <v>2E-3</v>
      </c>
      <c r="DQ14" s="1087">
        <v>0.98199999999999998</v>
      </c>
      <c r="DR14" s="1088">
        <v>0.98799999999999999</v>
      </c>
      <c r="DS14" s="48"/>
      <c r="DV14" s="46"/>
      <c r="DW14" s="1089" t="s">
        <v>571</v>
      </c>
      <c r="DX14" s="1090">
        <v>1.5309734513274336</v>
      </c>
      <c r="DY14" s="1091">
        <v>0.93858158077544918</v>
      </c>
      <c r="DZ14" s="1092">
        <v>1.5339233038348083</v>
      </c>
      <c r="EA14" s="1092">
        <v>0.93652523253026121</v>
      </c>
      <c r="EB14" s="1092">
        <v>1.2055967118725646</v>
      </c>
      <c r="EC14" s="1092">
        <v>1.3795286778842835</v>
      </c>
      <c r="ED14" s="1092">
        <v>-0.36526583947602581</v>
      </c>
      <c r="EE14" s="815">
        <v>1</v>
      </c>
      <c r="EF14" s="48"/>
      <c r="EH14" s="1366"/>
      <c r="EI14" s="1366"/>
      <c r="EJ14" s="1366"/>
      <c r="EK14" s="1366"/>
      <c r="EL14" s="1366"/>
      <c r="EM14" s="1366"/>
      <c r="EN14" s="1366"/>
      <c r="EO14" s="1366"/>
      <c r="EP14" s="1366"/>
      <c r="EQ14" s="1366"/>
      <c r="ER14" s="1366"/>
      <c r="ES14" s="1366"/>
    </row>
    <row r="15" spans="2:149" ht="16.5" customHeight="1" thickBot="1" x14ac:dyDescent="0.35">
      <c r="S15" s="289"/>
      <c r="V15" s="1068"/>
      <c r="W15" s="315"/>
      <c r="Y15" s="57"/>
      <c r="Z15" s="782" t="s">
        <v>750</v>
      </c>
      <c r="AA15" s="787" t="b">
        <f t="shared" si="0"/>
        <v>0</v>
      </c>
      <c r="AB15" s="1336" t="s">
        <v>751</v>
      </c>
      <c r="AC15" s="1336" t="s">
        <v>752</v>
      </c>
      <c r="AD15" s="58"/>
      <c r="AF15" s="512"/>
      <c r="AG15" s="810">
        <v>2</v>
      </c>
      <c r="AH15" s="917">
        <v>0.16800000000000001</v>
      </c>
      <c r="AI15" s="918">
        <v>0.16800000000000001</v>
      </c>
      <c r="AJ15" s="918">
        <v>0.16800000000000001</v>
      </c>
      <c r="AK15" s="918">
        <v>0.16800000000000001</v>
      </c>
      <c r="AL15" s="918">
        <v>0.16800000000000001</v>
      </c>
      <c r="AM15" s="919">
        <v>0.16800000000000001</v>
      </c>
      <c r="AN15" s="506"/>
      <c r="AO15" s="275"/>
      <c r="AQ15" s="512"/>
      <c r="AR15" s="736">
        <v>8</v>
      </c>
      <c r="AS15" s="1071">
        <v>4.7600000000000003E-2</v>
      </c>
      <c r="AT15" s="1072">
        <v>0.1333</v>
      </c>
      <c r="AU15" s="506"/>
      <c r="AV15" s="275"/>
      <c r="AW15" s="275"/>
      <c r="AX15" s="50"/>
      <c r="AY15" s="51"/>
      <c r="AZ15" s="51"/>
      <c r="BA15" s="51"/>
      <c r="BB15" s="51"/>
      <c r="BC15" s="51"/>
      <c r="BD15" s="52"/>
      <c r="BF15" s="50"/>
      <c r="BG15" s="51"/>
      <c r="BH15" s="51"/>
      <c r="BI15" s="51"/>
      <c r="BJ15" s="51"/>
      <c r="BK15" s="51"/>
      <c r="BL15" s="52"/>
      <c r="BO15" s="46"/>
      <c r="BP15" s="810"/>
      <c r="BQ15" s="810">
        <v>7</v>
      </c>
      <c r="BR15" s="946">
        <v>1.3206</v>
      </c>
      <c r="BS15" s="1363">
        <v>522.47540000000004</v>
      </c>
      <c r="BT15" s="550">
        <v>9.0700000000000003E-2</v>
      </c>
      <c r="BU15" s="550">
        <v>6.0000000000000001E-3</v>
      </c>
      <c r="BV15" s="550">
        <v>5.1999999999999998E-3</v>
      </c>
      <c r="BW15" s="1318">
        <v>7.3200000000000001E-2</v>
      </c>
      <c r="BX15" s="945">
        <v>5.4999999999999997E-3</v>
      </c>
      <c r="BY15" s="48"/>
      <c r="CA15" s="46"/>
      <c r="CB15" s="810"/>
      <c r="CC15" s="810">
        <v>7</v>
      </c>
      <c r="CD15" s="946">
        <v>0.55940000000000001</v>
      </c>
      <c r="CE15" s="1363">
        <v>318.62099999999998</v>
      </c>
      <c r="CF15" s="550">
        <v>2.1899999999999999E-2</v>
      </c>
      <c r="CG15" s="550">
        <v>1.6999999999999999E-3</v>
      </c>
      <c r="CH15" s="550">
        <v>3.0999999999999999E-3</v>
      </c>
      <c r="CI15" s="1318">
        <v>2.1700000000000001E-2</v>
      </c>
      <c r="CJ15" s="945">
        <v>1.5E-3</v>
      </c>
      <c r="CK15" s="48"/>
      <c r="CN15" s="46"/>
      <c r="CO15" s="576"/>
      <c r="CP15" s="1022"/>
      <c r="CQ15" s="1023"/>
      <c r="CR15" s="1023"/>
      <c r="CS15" s="1023"/>
      <c r="CT15" s="1023"/>
      <c r="CU15" s="1023"/>
      <c r="CV15" s="1023"/>
      <c r="CW15" s="1023"/>
      <c r="CX15" s="48"/>
      <c r="DA15" s="46"/>
      <c r="DB15" s="810">
        <v>50</v>
      </c>
      <c r="DC15" s="776">
        <v>175</v>
      </c>
      <c r="DD15" s="777">
        <v>250</v>
      </c>
      <c r="DE15" s="778">
        <v>675</v>
      </c>
      <c r="DF15" s="48"/>
      <c r="DH15" s="46"/>
      <c r="DI15" s="810">
        <v>50</v>
      </c>
      <c r="DJ15" s="1084">
        <v>1</v>
      </c>
      <c r="DK15" s="1085">
        <v>1.0249999999999999</v>
      </c>
      <c r="DL15" s="48"/>
      <c r="DO15" s="46"/>
      <c r="DP15" s="1086">
        <v>4.0000000000000001E-3</v>
      </c>
      <c r="DQ15" s="1087">
        <v>0.96399999999999997</v>
      </c>
      <c r="DR15" s="1088">
        <v>0.97599999999999998</v>
      </c>
      <c r="DS15" s="48"/>
      <c r="DV15" s="46"/>
      <c r="DW15" s="1089" t="s">
        <v>568</v>
      </c>
      <c r="DX15" s="1090">
        <v>0.87631975867269996</v>
      </c>
      <c r="DY15" s="1091">
        <v>1.1787414968749441</v>
      </c>
      <c r="DZ15" s="1092">
        <v>0.97934595524956969</v>
      </c>
      <c r="EA15" s="1092">
        <v>0.95560600171461807</v>
      </c>
      <c r="EB15" s="1092">
        <v>0.51279967249004688</v>
      </c>
      <c r="EC15" s="1092">
        <v>0.14821287797598934</v>
      </c>
      <c r="ED15" s="1092">
        <v>5.8798924429168148E-2</v>
      </c>
      <c r="EE15" s="815">
        <v>0.73649754500818332</v>
      </c>
      <c r="EF15" s="48"/>
      <c r="EH15" s="1366"/>
      <c r="EI15" s="554" t="s">
        <v>828</v>
      </c>
      <c r="EJ15" s="1366"/>
      <c r="EK15" s="1366"/>
      <c r="EL15" s="1366"/>
      <c r="EM15" s="1366"/>
      <c r="EN15" s="1366"/>
      <c r="EO15" s="1366"/>
      <c r="EP15" s="1366"/>
      <c r="EQ15" s="1366"/>
      <c r="ER15" s="1366"/>
      <c r="ES15" s="1366"/>
    </row>
    <row r="16" spans="2:149" ht="16.5" customHeight="1" thickTop="1" x14ac:dyDescent="0.4">
      <c r="U16" s="315"/>
      <c r="V16" s="1068"/>
      <c r="W16" s="751"/>
      <c r="Y16" s="57"/>
      <c r="Z16" s="782" t="s">
        <v>465</v>
      </c>
      <c r="AA16" s="787" t="b">
        <f t="shared" si="0"/>
        <v>0</v>
      </c>
      <c r="AB16" s="33" t="s">
        <v>140</v>
      </c>
      <c r="AC16" s="33" t="s">
        <v>14</v>
      </c>
      <c r="AD16" s="58"/>
      <c r="AF16" s="512"/>
      <c r="AG16" s="810">
        <v>3</v>
      </c>
      <c r="AH16" s="917">
        <v>0.25</v>
      </c>
      <c r="AI16" s="918">
        <v>0.25</v>
      </c>
      <c r="AJ16" s="918">
        <v>0.25</v>
      </c>
      <c r="AK16" s="918">
        <v>0.25</v>
      </c>
      <c r="AL16" s="918">
        <v>0.25</v>
      </c>
      <c r="AM16" s="919">
        <v>0.25</v>
      </c>
      <c r="AN16" s="506"/>
      <c r="AO16" s="275"/>
      <c r="AQ16" s="512"/>
      <c r="AR16" s="736">
        <v>9</v>
      </c>
      <c r="AS16" s="1071">
        <v>4.6399999999999997E-2</v>
      </c>
      <c r="AT16" s="1072">
        <v>0.13120000000000001</v>
      </c>
      <c r="AU16" s="506"/>
      <c r="AV16" s="275"/>
      <c r="AW16" s="275"/>
      <c r="AX16" s="275"/>
      <c r="AY16" s="275"/>
      <c r="AZ16" s="275"/>
      <c r="BA16" s="275"/>
      <c r="BB16" s="275"/>
      <c r="BC16" s="275"/>
      <c r="BD16" s="275"/>
      <c r="BO16" s="46"/>
      <c r="BP16" s="810"/>
      <c r="BQ16" s="810">
        <v>8</v>
      </c>
      <c r="BR16" s="946">
        <v>1.3005</v>
      </c>
      <c r="BS16" s="1363">
        <v>506.73579999999998</v>
      </c>
      <c r="BT16" s="550">
        <v>8.8099999999999998E-2</v>
      </c>
      <c r="BU16" s="550">
        <v>5.4999999999999997E-3</v>
      </c>
      <c r="BV16" s="550">
        <v>5.0000000000000001E-3</v>
      </c>
      <c r="BW16" s="1318">
        <v>6.7199999999999996E-2</v>
      </c>
      <c r="BX16" s="945">
        <v>5.1000000000000004E-3</v>
      </c>
      <c r="BY16" s="48"/>
      <c r="CA16" s="46"/>
      <c r="CB16" s="810"/>
      <c r="CC16" s="810">
        <v>8</v>
      </c>
      <c r="CD16" s="946">
        <v>0.56120000000000003</v>
      </c>
      <c r="CE16" s="1363">
        <v>312.65179999999998</v>
      </c>
      <c r="CF16" s="550">
        <v>2.18E-2</v>
      </c>
      <c r="CG16" s="550">
        <v>1.6000000000000001E-3</v>
      </c>
      <c r="CH16" s="550">
        <v>3.0999999999999999E-3</v>
      </c>
      <c r="CI16" s="1318">
        <v>2.0299999999999999E-2</v>
      </c>
      <c r="CJ16" s="945">
        <v>1.4E-3</v>
      </c>
      <c r="CK16" s="48"/>
      <c r="CN16" s="46"/>
      <c r="CO16" s="576"/>
      <c r="CP16" s="1022"/>
      <c r="CQ16" s="1024" t="s">
        <v>652</v>
      </c>
      <c r="CR16" s="1098">
        <v>0.02</v>
      </c>
      <c r="CS16" s="1023" t="s">
        <v>270</v>
      </c>
      <c r="CT16" s="1023"/>
      <c r="CU16" s="1023"/>
      <c r="CV16" s="1023"/>
      <c r="CW16" s="1023"/>
      <c r="CX16" s="48"/>
      <c r="DA16" s="46"/>
      <c r="DB16" s="810">
        <v>75</v>
      </c>
      <c r="DC16" s="776">
        <v>200</v>
      </c>
      <c r="DD16" s="777">
        <v>300</v>
      </c>
      <c r="DE16" s="778">
        <v>750</v>
      </c>
      <c r="DF16" s="48"/>
      <c r="DH16" s="46"/>
      <c r="DI16" s="810">
        <v>75</v>
      </c>
      <c r="DJ16" s="1084">
        <v>1</v>
      </c>
      <c r="DK16" s="1085">
        <v>1.0249999999999999</v>
      </c>
      <c r="DL16" s="48"/>
      <c r="DO16" s="46"/>
      <c r="DP16" s="1086">
        <v>6.0000000000000001E-3</v>
      </c>
      <c r="DQ16" s="1087">
        <v>0.94499999999999995</v>
      </c>
      <c r="DR16" s="1088">
        <v>0.96399999999999997</v>
      </c>
      <c r="DS16" s="48"/>
      <c r="DV16" s="46"/>
      <c r="DW16" s="1089" t="s">
        <v>572</v>
      </c>
      <c r="DX16" s="1090">
        <v>1.0063897763578276</v>
      </c>
      <c r="DY16" s="1091">
        <v>0.97248628615245469</v>
      </c>
      <c r="DZ16" s="1092">
        <v>1.0095846645367412</v>
      </c>
      <c r="EA16" s="1092">
        <v>0.94610556221859576</v>
      </c>
      <c r="EB16" s="1092">
        <v>0.29570448855547743</v>
      </c>
      <c r="EC16" s="1092">
        <v>0.31261145032655596</v>
      </c>
      <c r="ED16" s="1092">
        <v>0.3020072068746259</v>
      </c>
      <c r="EE16" s="815">
        <v>1</v>
      </c>
      <c r="EF16" s="48"/>
      <c r="EH16" s="1366"/>
      <c r="EI16" s="554"/>
      <c r="EJ16" s="554" t="s">
        <v>829</v>
      </c>
      <c r="EK16" s="1366"/>
      <c r="EL16" s="1366"/>
      <c r="EM16" s="1366"/>
      <c r="EN16" s="1366"/>
      <c r="EO16" s="1366"/>
      <c r="EP16" s="1366"/>
      <c r="EQ16" s="1366"/>
      <c r="ER16" s="1366"/>
      <c r="ES16" s="1366"/>
    </row>
    <row r="17" spans="2:149" ht="16" thickBot="1" x14ac:dyDescent="0.4">
      <c r="B17" s="54" t="s">
        <v>405</v>
      </c>
      <c r="C17" s="923"/>
      <c r="D17" s="76"/>
      <c r="E17" s="55"/>
      <c r="F17" s="671"/>
      <c r="G17" s="666"/>
      <c r="H17" s="751"/>
      <c r="I17" s="54" t="s">
        <v>399</v>
      </c>
      <c r="J17" s="923"/>
      <c r="K17" s="76"/>
      <c r="L17" s="55"/>
      <c r="M17" s="671"/>
      <c r="N17" s="671"/>
      <c r="O17" s="671"/>
      <c r="P17" s="666"/>
      <c r="Q17" s="751"/>
      <c r="R17" s="1099" t="s">
        <v>653</v>
      </c>
      <c r="S17" s="1100"/>
      <c r="T17" s="1101"/>
      <c r="U17" s="1102"/>
      <c r="V17" s="1103"/>
      <c r="W17" s="1104"/>
      <c r="X17" s="751"/>
      <c r="Y17" s="57"/>
      <c r="Z17" s="782" t="s">
        <v>52</v>
      </c>
      <c r="AA17" s="787" t="b">
        <f t="shared" si="0"/>
        <v>0</v>
      </c>
      <c r="AB17" s="33" t="s">
        <v>53</v>
      </c>
      <c r="AC17" s="33" t="s">
        <v>637</v>
      </c>
      <c r="AD17" s="58"/>
      <c r="AF17" s="512"/>
      <c r="AG17" s="810">
        <v>4</v>
      </c>
      <c r="AH17" s="917">
        <v>0.32800000000000001</v>
      </c>
      <c r="AI17" s="918">
        <v>0.32800000000000001</v>
      </c>
      <c r="AJ17" s="918">
        <v>0.32800000000000001</v>
      </c>
      <c r="AK17" s="918">
        <v>0.32800000000000001</v>
      </c>
      <c r="AL17" s="918">
        <v>0.32800000000000001</v>
      </c>
      <c r="AM17" s="919">
        <v>0.32800000000000001</v>
      </c>
      <c r="AN17" s="506"/>
      <c r="AO17" s="275"/>
      <c r="AQ17" s="248"/>
      <c r="AR17" s="736">
        <v>10</v>
      </c>
      <c r="AS17" s="1071">
        <v>4.5199999999999997E-2</v>
      </c>
      <c r="AT17" s="1072">
        <v>0.12909999999999999</v>
      </c>
      <c r="AU17" s="244"/>
      <c r="AV17" s="271"/>
      <c r="AW17" s="271"/>
      <c r="AX17" s="554" t="s">
        <v>839</v>
      </c>
      <c r="AY17" s="271"/>
      <c r="AZ17" s="271"/>
      <c r="BA17" s="271"/>
      <c r="BB17" s="271"/>
      <c r="BC17" s="271"/>
      <c r="BD17" s="271"/>
      <c r="BF17" s="1352" t="s">
        <v>841</v>
      </c>
      <c r="BG17" s="1353"/>
      <c r="BO17" s="46"/>
      <c r="BP17" s="810"/>
      <c r="BQ17" s="810">
        <v>9</v>
      </c>
      <c r="BR17" s="946">
        <v>1.2806999999999999</v>
      </c>
      <c r="BS17" s="1363">
        <v>491.47030000000001</v>
      </c>
      <c r="BT17" s="550">
        <v>8.5699999999999998E-2</v>
      </c>
      <c r="BU17" s="550">
        <v>5.1000000000000004E-3</v>
      </c>
      <c r="BV17" s="550">
        <v>4.8999999999999998E-3</v>
      </c>
      <c r="BW17" s="1318">
        <v>6.1699999999999998E-2</v>
      </c>
      <c r="BX17" s="945">
        <v>4.7000000000000002E-3</v>
      </c>
      <c r="BY17" s="48"/>
      <c r="CA17" s="46"/>
      <c r="CB17" s="810"/>
      <c r="CC17" s="810">
        <v>9</v>
      </c>
      <c r="CD17" s="946">
        <v>0.56299999999999994</v>
      </c>
      <c r="CE17" s="1363">
        <v>306.79450000000003</v>
      </c>
      <c r="CF17" s="550">
        <v>2.1600000000000001E-2</v>
      </c>
      <c r="CG17" s="550">
        <v>1.4E-3</v>
      </c>
      <c r="CH17" s="550">
        <v>3.0000000000000001E-3</v>
      </c>
      <c r="CI17" s="1318">
        <v>1.89E-2</v>
      </c>
      <c r="CJ17" s="945">
        <v>1.2999999999999999E-3</v>
      </c>
      <c r="CK17" s="48"/>
      <c r="CN17" s="50"/>
      <c r="CO17" s="51"/>
      <c r="CP17" s="51"/>
      <c r="CQ17" s="51"/>
      <c r="CR17" s="51"/>
      <c r="CS17" s="51"/>
      <c r="CT17" s="51"/>
      <c r="CU17" s="51"/>
      <c r="CV17" s="51"/>
      <c r="CW17" s="51"/>
      <c r="CX17" s="52"/>
      <c r="DA17" s="46"/>
      <c r="DB17" s="810">
        <v>100</v>
      </c>
      <c r="DC17" s="776">
        <v>275</v>
      </c>
      <c r="DD17" s="777">
        <v>400</v>
      </c>
      <c r="DE17" s="778">
        <v>750</v>
      </c>
      <c r="DF17" s="48"/>
      <c r="DH17" s="46"/>
      <c r="DI17" s="810">
        <v>100</v>
      </c>
      <c r="DJ17" s="1084">
        <v>1</v>
      </c>
      <c r="DK17" s="1085">
        <v>1.0249999999999999</v>
      </c>
      <c r="DL17" s="48"/>
      <c r="DO17" s="46"/>
      <c r="DP17" s="1086">
        <v>8.0000000000000002E-3</v>
      </c>
      <c r="DQ17" s="1087">
        <v>0.92700000000000005</v>
      </c>
      <c r="DR17" s="1088">
        <v>0.95199999999999996</v>
      </c>
      <c r="DS17" s="48"/>
      <c r="DV17" s="46"/>
      <c r="DW17" s="1089" t="s">
        <v>575</v>
      </c>
      <c r="DX17" s="1090">
        <v>1</v>
      </c>
      <c r="DY17" s="1091">
        <v>1</v>
      </c>
      <c r="DZ17" s="1092">
        <v>1</v>
      </c>
      <c r="EA17" s="1092">
        <v>1</v>
      </c>
      <c r="EB17" s="1092">
        <v>0</v>
      </c>
      <c r="EC17" s="1092">
        <v>0</v>
      </c>
      <c r="ED17" s="1092">
        <v>0</v>
      </c>
      <c r="EE17" s="815">
        <v>1</v>
      </c>
      <c r="EF17" s="48"/>
      <c r="EH17" s="1366"/>
      <c r="EP17" s="1366"/>
      <c r="EQ17" s="1366"/>
      <c r="ER17" s="1366"/>
      <c r="ES17" s="1366"/>
    </row>
    <row r="18" spans="2:149" ht="16.5" thickTop="1" thickBot="1" x14ac:dyDescent="0.4">
      <c r="B18" s="1105"/>
      <c r="C18" s="1106"/>
      <c r="D18" s="1107"/>
      <c r="E18" s="679" t="s">
        <v>149</v>
      </c>
      <c r="F18" s="679" t="s">
        <v>400</v>
      </c>
      <c r="G18" s="1108"/>
      <c r="I18" s="79"/>
      <c r="J18" s="33"/>
      <c r="K18" s="33"/>
      <c r="L18" s="33"/>
      <c r="M18" s="679" t="s">
        <v>149</v>
      </c>
      <c r="N18" s="679" t="s">
        <v>400</v>
      </c>
      <c r="O18" s="679"/>
      <c r="P18" s="667"/>
      <c r="Q18" s="751"/>
      <c r="R18" s="1105"/>
      <c r="S18" s="1107"/>
      <c r="T18" s="1107"/>
      <c r="U18" s="1109"/>
      <c r="V18" s="1110"/>
      <c r="W18" s="1111"/>
      <c r="X18" s="751"/>
      <c r="Y18" s="57"/>
      <c r="Z18" s="782" t="s">
        <v>474</v>
      </c>
      <c r="AA18" s="787" t="b">
        <f t="shared" si="0"/>
        <v>0</v>
      </c>
      <c r="AB18" s="33" t="s">
        <v>150</v>
      </c>
      <c r="AC18" s="33" t="s">
        <v>19</v>
      </c>
      <c r="AD18" s="58"/>
      <c r="AF18" s="512"/>
      <c r="AG18" s="810">
        <v>5</v>
      </c>
      <c r="AH18" s="917">
        <v>0.40300000000000002</v>
      </c>
      <c r="AI18" s="918">
        <v>0.40300000000000002</v>
      </c>
      <c r="AJ18" s="918">
        <v>0.40300000000000002</v>
      </c>
      <c r="AK18" s="918">
        <v>0.40300000000000002</v>
      </c>
      <c r="AL18" s="918">
        <v>0.40300000000000002</v>
      </c>
      <c r="AM18" s="919">
        <v>0.40300000000000002</v>
      </c>
      <c r="AN18" s="506"/>
      <c r="AO18" s="275"/>
      <c r="AQ18" s="248"/>
      <c r="AR18" s="736">
        <v>11</v>
      </c>
      <c r="AS18" s="1071">
        <v>4.2900000000000001E-2</v>
      </c>
      <c r="AT18" s="1072">
        <v>0.12379999999999999</v>
      </c>
      <c r="AU18" s="244"/>
      <c r="AV18" s="271"/>
      <c r="AW18" s="271"/>
      <c r="AX18" s="271"/>
      <c r="AY18" s="271"/>
      <c r="AZ18" s="271"/>
      <c r="BA18" s="271"/>
      <c r="BB18" s="271"/>
      <c r="BC18" s="271"/>
      <c r="BD18" s="271"/>
      <c r="BF18" s="1353"/>
      <c r="BG18" s="1354" t="s">
        <v>842</v>
      </c>
      <c r="BO18" s="46"/>
      <c r="BP18" s="810"/>
      <c r="BQ18" s="810">
        <v>10</v>
      </c>
      <c r="BR18" s="946">
        <v>1.2613000000000001</v>
      </c>
      <c r="BS18" s="1363">
        <v>476.66469999999998</v>
      </c>
      <c r="BT18" s="550">
        <v>8.3299999999999999E-2</v>
      </c>
      <c r="BU18" s="550">
        <v>4.7000000000000002E-3</v>
      </c>
      <c r="BV18" s="550">
        <v>4.7000000000000002E-3</v>
      </c>
      <c r="BW18" s="1318">
        <v>5.67E-2</v>
      </c>
      <c r="BX18" s="945">
        <v>4.3E-3</v>
      </c>
      <c r="BY18" s="48"/>
      <c r="CA18" s="46"/>
      <c r="CB18" s="810"/>
      <c r="CC18" s="810">
        <v>10</v>
      </c>
      <c r="CD18" s="946">
        <v>0.56469999999999998</v>
      </c>
      <c r="CE18" s="1363">
        <v>301.04689999999999</v>
      </c>
      <c r="CF18" s="550">
        <v>2.1399999999999999E-2</v>
      </c>
      <c r="CG18" s="550">
        <v>1.4E-3</v>
      </c>
      <c r="CH18" s="550">
        <v>3.0000000000000001E-3</v>
      </c>
      <c r="CI18" s="1318">
        <v>1.77E-2</v>
      </c>
      <c r="CJ18" s="945">
        <v>1.1999999999999999E-3</v>
      </c>
      <c r="CK18" s="48"/>
      <c r="DA18" s="46"/>
      <c r="DB18" s="810">
        <v>125</v>
      </c>
      <c r="DC18" s="776">
        <v>325</v>
      </c>
      <c r="DD18" s="777">
        <v>475</v>
      </c>
      <c r="DE18" s="778">
        <v>750</v>
      </c>
      <c r="DF18" s="48"/>
      <c r="DH18" s="46"/>
      <c r="DI18" s="810">
        <v>125</v>
      </c>
      <c r="DJ18" s="1084">
        <v>1</v>
      </c>
      <c r="DK18" s="1085">
        <v>1.0249999999999999</v>
      </c>
      <c r="DL18" s="48"/>
      <c r="DO18" s="46"/>
      <c r="DP18" s="1086">
        <v>0.01</v>
      </c>
      <c r="DQ18" s="1087">
        <v>0.90900000000000003</v>
      </c>
      <c r="DR18" s="1088">
        <v>0.93899999999999995</v>
      </c>
      <c r="DS18" s="48"/>
      <c r="DV18" s="46"/>
      <c r="DW18" s="1089" t="s">
        <v>579</v>
      </c>
      <c r="DX18" s="1090">
        <f>1/1.025</f>
        <v>0.97560975609756106</v>
      </c>
      <c r="DY18" s="1091">
        <f>1/0.967507287790243</f>
        <v>1.0335839456919951</v>
      </c>
      <c r="DZ18" s="1092">
        <v>1</v>
      </c>
      <c r="EA18" s="1092">
        <v>1</v>
      </c>
      <c r="EB18" s="1092">
        <v>-7.3566477910576925E-2</v>
      </c>
      <c r="EC18" s="1092">
        <v>-3.0716152193242731E-2</v>
      </c>
      <c r="ED18" s="1092">
        <v>-6.9602992603797764E-2</v>
      </c>
      <c r="EE18" s="873">
        <f>1-MAX(0,MIN(1,IF(MeterStrat=1,-0.001*RampVolP+1.8,IF(MeterStrat=2,-0.0012*RampVolP+2.16,IF(MeterStrat=3,-0.2/150*RampVolP+2.4,IF(MeterStrat="D",-0.005*RampVolP+9,1))))))</f>
        <v>0</v>
      </c>
      <c r="EF18" s="48"/>
      <c r="EG18" s="751">
        <v>27</v>
      </c>
      <c r="EH18" s="1366"/>
      <c r="EI18" s="1366"/>
      <c r="EJ18" s="1366"/>
      <c r="EK18" s="1366"/>
      <c r="EL18" s="1366"/>
      <c r="EM18" s="1366"/>
      <c r="EN18" s="1366"/>
      <c r="EO18" s="1366"/>
      <c r="EP18" s="1366"/>
      <c r="EQ18" s="1366"/>
      <c r="ER18" s="1366"/>
      <c r="ES18" s="1366"/>
    </row>
    <row r="19" spans="2:149" ht="16" thickTop="1" x14ac:dyDescent="0.35">
      <c r="B19" s="57"/>
      <c r="C19" s="49" t="s">
        <v>643</v>
      </c>
      <c r="D19" s="32"/>
      <c r="E19" s="1112">
        <f>32.94*ValueUpdate</f>
        <v>32.94</v>
      </c>
      <c r="F19" s="63" t="s">
        <v>408</v>
      </c>
      <c r="G19" s="1113"/>
      <c r="H19" s="751">
        <v>3</v>
      </c>
      <c r="I19" s="79"/>
      <c r="J19" s="49" t="s">
        <v>401</v>
      </c>
      <c r="K19" s="32"/>
      <c r="L19" s="33"/>
      <c r="M19" s="560">
        <v>1.56</v>
      </c>
      <c r="N19" s="63" t="s">
        <v>279</v>
      </c>
      <c r="O19" s="63"/>
      <c r="P19" s="667"/>
      <c r="Q19" s="751">
        <v>16</v>
      </c>
      <c r="R19" s="1105"/>
      <c r="S19" s="1114" t="s">
        <v>654</v>
      </c>
      <c r="T19" s="32"/>
      <c r="U19" s="679" t="s">
        <v>149</v>
      </c>
      <c r="V19" s="679" t="s">
        <v>400</v>
      </c>
      <c r="W19" s="1111"/>
      <c r="X19" s="751"/>
      <c r="Y19" s="57"/>
      <c r="Z19" s="33"/>
      <c r="AA19" s="1107"/>
      <c r="AB19" s="33"/>
      <c r="AC19" s="33"/>
      <c r="AD19" s="58"/>
      <c r="AF19" s="512"/>
      <c r="AG19" s="810">
        <v>6</v>
      </c>
      <c r="AH19" s="917">
        <v>0.47400000000000003</v>
      </c>
      <c r="AI19" s="918">
        <v>0.47400000000000003</v>
      </c>
      <c r="AJ19" s="918">
        <v>0.47400000000000003</v>
      </c>
      <c r="AK19" s="918">
        <v>0.47400000000000003</v>
      </c>
      <c r="AL19" s="918">
        <v>0.47400000000000003</v>
      </c>
      <c r="AM19" s="919">
        <v>0.47400000000000003</v>
      </c>
      <c r="AN19" s="506"/>
      <c r="AO19" s="275"/>
      <c r="AQ19" s="248"/>
      <c r="AR19" s="736">
        <v>12</v>
      </c>
      <c r="AS19" s="1071">
        <v>4.07E-2</v>
      </c>
      <c r="AT19" s="1072">
        <v>0.1186</v>
      </c>
      <c r="AU19" s="244"/>
      <c r="AV19" s="271"/>
      <c r="AW19" s="271"/>
      <c r="AX19" s="271"/>
      <c r="AY19" s="271"/>
      <c r="AZ19" s="271"/>
      <c r="BA19" s="271"/>
      <c r="BB19" s="271"/>
      <c r="BC19" s="271"/>
      <c r="BD19" s="271"/>
      <c r="BG19" s="554"/>
      <c r="BO19" s="46"/>
      <c r="BP19" s="810"/>
      <c r="BQ19" s="810">
        <v>11</v>
      </c>
      <c r="BR19" s="946">
        <v>1.2222999999999999</v>
      </c>
      <c r="BS19" s="1363">
        <v>452.58</v>
      </c>
      <c r="BT19" s="550">
        <v>8.0399999999999999E-2</v>
      </c>
      <c r="BU19" s="550">
        <v>4.3E-3</v>
      </c>
      <c r="BV19" s="550">
        <v>4.4999999999999997E-3</v>
      </c>
      <c r="BW19" s="1318">
        <v>5.1799999999999999E-2</v>
      </c>
      <c r="BX19" s="945">
        <v>3.8999999999999998E-3</v>
      </c>
      <c r="BY19" s="48"/>
      <c r="CA19" s="46"/>
      <c r="CB19" s="810"/>
      <c r="CC19" s="810">
        <v>11</v>
      </c>
      <c r="CD19" s="946">
        <v>0.54790000000000005</v>
      </c>
      <c r="CE19" s="1363">
        <v>285.95350000000002</v>
      </c>
      <c r="CF19" s="550">
        <v>2.06E-2</v>
      </c>
      <c r="CG19" s="550">
        <v>1.1999999999999999E-3</v>
      </c>
      <c r="CH19" s="550">
        <v>2.8E-3</v>
      </c>
      <c r="CI19" s="1318">
        <v>1.61E-2</v>
      </c>
      <c r="CJ19" s="945">
        <v>1.1000000000000001E-3</v>
      </c>
      <c r="CK19" s="48"/>
      <c r="CN19" s="554" t="s">
        <v>8</v>
      </c>
      <c r="DA19" s="46"/>
      <c r="DB19" s="810">
        <v>150</v>
      </c>
      <c r="DC19" s="776">
        <v>400</v>
      </c>
      <c r="DD19" s="777">
        <v>575</v>
      </c>
      <c r="DE19" s="778">
        <v>750</v>
      </c>
      <c r="DF19" s="48"/>
      <c r="DH19" s="46"/>
      <c r="DI19" s="810">
        <v>150</v>
      </c>
      <c r="DJ19" s="1084">
        <v>1</v>
      </c>
      <c r="DK19" s="1085">
        <v>1.0129999999999999</v>
      </c>
      <c r="DL19" s="48"/>
      <c r="DO19" s="46"/>
      <c r="DP19" s="1086">
        <v>1.2E-2</v>
      </c>
      <c r="DQ19" s="1087">
        <v>0.89100000000000001</v>
      </c>
      <c r="DR19" s="1088">
        <v>0.92700000000000005</v>
      </c>
      <c r="DS19" s="48"/>
      <c r="DV19" s="46"/>
      <c r="DW19" s="1089" t="s">
        <v>578</v>
      </c>
      <c r="DX19" s="1090">
        <f>1/1.05014749262537</f>
        <v>0.95224719101123478</v>
      </c>
      <c r="DY19" s="1091">
        <f>1/0.972697289554735</f>
        <v>1.0280690721958967</v>
      </c>
      <c r="DZ19" s="1092">
        <v>1</v>
      </c>
      <c r="EA19" s="1092">
        <v>1</v>
      </c>
      <c r="EB19" s="1092">
        <v>-1.4815053347415766E-3</v>
      </c>
      <c r="EC19" s="1092">
        <v>-1.3238335688661946E-3</v>
      </c>
      <c r="ED19" s="1092">
        <v>5.6743741804302186</v>
      </c>
      <c r="EE19" s="873">
        <f>1-MAX(0,MIN(1,IF(MeterStrat=1,-0.001*RampVolP+1.8,IF(MeterStrat=2,-0.0012*RampVolP+2.16,IF(MeterStrat=3,-0.2/150*RampVolP+2.4,IF(MeterStrat="D",-0.005*RampVolP+9,1))))))</f>
        <v>0</v>
      </c>
      <c r="EF19" s="48"/>
      <c r="EG19" s="751">
        <v>27</v>
      </c>
      <c r="EI19" s="1367"/>
      <c r="EJ19" s="1368"/>
      <c r="EK19" s="1368"/>
      <c r="EL19" s="1369"/>
      <c r="EO19" s="1366"/>
      <c r="EP19" s="1366"/>
    </row>
    <row r="20" spans="2:149" ht="16" thickBot="1" x14ac:dyDescent="0.4">
      <c r="B20" s="57"/>
      <c r="C20" s="49"/>
      <c r="D20" s="32"/>
      <c r="E20" s="1115"/>
      <c r="F20" s="1116"/>
      <c r="G20" s="667"/>
      <c r="H20" s="751"/>
      <c r="I20" s="79"/>
      <c r="J20" s="33"/>
      <c r="K20" s="33"/>
      <c r="L20" s="33"/>
      <c r="M20" s="33"/>
      <c r="N20" s="33"/>
      <c r="O20" s="33"/>
      <c r="P20" s="667"/>
      <c r="Q20" s="751"/>
      <c r="R20" s="1105"/>
      <c r="S20" s="49"/>
      <c r="T20" s="677" t="s">
        <v>655</v>
      </c>
      <c r="U20" s="1117">
        <v>365</v>
      </c>
      <c r="V20" s="732" t="s">
        <v>656</v>
      </c>
      <c r="W20" s="1111"/>
      <c r="X20" s="751"/>
      <c r="Y20" s="57"/>
      <c r="Z20" s="49" t="s">
        <v>24</v>
      </c>
      <c r="AA20" s="63"/>
      <c r="AB20" s="33"/>
      <c r="AC20" s="33" t="s">
        <v>23</v>
      </c>
      <c r="AD20" s="58"/>
      <c r="AF20" s="512"/>
      <c r="AG20" s="810">
        <v>7</v>
      </c>
      <c r="AH20" s="917">
        <v>0.54200000000000004</v>
      </c>
      <c r="AI20" s="918">
        <v>0.54200000000000004</v>
      </c>
      <c r="AJ20" s="918">
        <v>0.54200000000000004</v>
      </c>
      <c r="AK20" s="918">
        <v>0.54200000000000004</v>
      </c>
      <c r="AL20" s="918">
        <v>0.54200000000000004</v>
      </c>
      <c r="AM20" s="919">
        <v>0.54200000000000004</v>
      </c>
      <c r="AN20" s="506"/>
      <c r="AO20" s="275"/>
      <c r="AQ20" s="248"/>
      <c r="AR20" s="736">
        <v>13</v>
      </c>
      <c r="AS20" s="1071">
        <v>3.8699999999999998E-2</v>
      </c>
      <c r="AT20" s="1072">
        <v>0.1137</v>
      </c>
      <c r="AU20" s="244"/>
      <c r="AV20" s="271"/>
      <c r="AW20" s="271"/>
      <c r="BM20" s="738"/>
      <c r="BO20" s="46"/>
      <c r="BP20" s="810"/>
      <c r="BQ20" s="810">
        <v>12</v>
      </c>
      <c r="BR20" s="946">
        <v>1.1846000000000001</v>
      </c>
      <c r="BS20" s="1363">
        <v>429.7124</v>
      </c>
      <c r="BT20" s="550">
        <v>7.7499999999999999E-2</v>
      </c>
      <c r="BU20" s="550">
        <v>3.8999999999999998E-3</v>
      </c>
      <c r="BV20" s="550">
        <v>4.1999999999999997E-3</v>
      </c>
      <c r="BW20" s="1318">
        <v>4.7300000000000002E-2</v>
      </c>
      <c r="BX20" s="945">
        <v>3.5999999999999999E-3</v>
      </c>
      <c r="BY20" s="48"/>
      <c r="CA20" s="46"/>
      <c r="CB20" s="810"/>
      <c r="CC20" s="810">
        <v>12</v>
      </c>
      <c r="CD20" s="946">
        <v>0.53149999999999997</v>
      </c>
      <c r="CE20" s="1363">
        <v>271.61689999999999</v>
      </c>
      <c r="CF20" s="550">
        <v>1.9900000000000001E-2</v>
      </c>
      <c r="CG20" s="550">
        <v>1.1000000000000001E-3</v>
      </c>
      <c r="CH20" s="550">
        <v>2.7000000000000001E-3</v>
      </c>
      <c r="CI20" s="1318">
        <v>1.47E-2</v>
      </c>
      <c r="CJ20" s="945">
        <v>1E-3</v>
      </c>
      <c r="CK20" s="48"/>
      <c r="CO20" s="554" t="s">
        <v>848</v>
      </c>
      <c r="DA20" s="46"/>
      <c r="DB20" s="810">
        <v>175</v>
      </c>
      <c r="DC20" s="776">
        <v>500</v>
      </c>
      <c r="DD20" s="777">
        <v>700</v>
      </c>
      <c r="DE20" s="778">
        <v>750</v>
      </c>
      <c r="DF20" s="48"/>
      <c r="DH20" s="46"/>
      <c r="DI20" s="810">
        <v>175</v>
      </c>
      <c r="DJ20" s="1084">
        <v>1</v>
      </c>
      <c r="DK20" s="1085">
        <v>1</v>
      </c>
      <c r="DL20" s="48"/>
      <c r="DO20" s="46"/>
      <c r="DP20" s="1086">
        <v>1.4E-2</v>
      </c>
      <c r="DQ20" s="1087">
        <v>0.873</v>
      </c>
      <c r="DR20" s="1088">
        <v>0.91500000000000004</v>
      </c>
      <c r="DS20" s="48"/>
      <c r="DV20" s="46"/>
      <c r="DW20" s="1089" t="s">
        <v>569</v>
      </c>
      <c r="DX20" s="1090">
        <v>1</v>
      </c>
      <c r="DY20" s="1091">
        <v>1</v>
      </c>
      <c r="DZ20" s="1092">
        <v>1.0249999999999999</v>
      </c>
      <c r="EA20" s="1092">
        <v>0.96750728779024331</v>
      </c>
      <c r="EB20" s="1092">
        <v>-7.3566477910576925E-2</v>
      </c>
      <c r="EC20" s="1092">
        <v>-3.0716152193242731E-2</v>
      </c>
      <c r="ED20" s="1092">
        <v>-6.9602992603797764E-2</v>
      </c>
      <c r="EE20" s="815">
        <v>1</v>
      </c>
      <c r="EF20" s="48"/>
      <c r="EI20" s="1370"/>
      <c r="EJ20" s="1609" t="s">
        <v>819</v>
      </c>
      <c r="EK20" s="1372"/>
      <c r="EL20" s="1371"/>
      <c r="EM20" s="1372"/>
      <c r="EO20" s="1366"/>
      <c r="EP20" s="1366"/>
    </row>
    <row r="21" spans="2:149" ht="16" thickTop="1" x14ac:dyDescent="0.35">
      <c r="B21" s="57"/>
      <c r="C21" s="49" t="s">
        <v>617</v>
      </c>
      <c r="D21" s="32"/>
      <c r="E21" s="679"/>
      <c r="F21" s="679"/>
      <c r="G21" s="1113"/>
      <c r="H21" s="751"/>
      <c r="I21" s="79"/>
      <c r="J21" s="208" t="s">
        <v>51</v>
      </c>
      <c r="K21" s="33"/>
      <c r="L21" s="33"/>
      <c r="M21" s="924">
        <f>IF(Queuing,DepRate1*PeakLngthNB/ADT1NB,VLOOKUP(PeakLngthNB,PerPeakTable,IF(RoadTypeNB="C",IF(ProjLoc=3,7,IF(ProjLoc=2,5,3)),IF(ProjLoc=3,6,IF(ProjLoc=2,4,2)))))</f>
        <v>0.40300000000000002</v>
      </c>
      <c r="N21" s="63" t="s">
        <v>403</v>
      </c>
      <c r="O21" s="63"/>
      <c r="P21" s="667"/>
      <c r="Q21" s="751"/>
      <c r="R21" s="1105"/>
      <c r="S21" s="49"/>
      <c r="T21" s="678" t="s">
        <v>657</v>
      </c>
      <c r="U21" s="1117">
        <v>365</v>
      </c>
      <c r="V21" s="732" t="s">
        <v>656</v>
      </c>
      <c r="W21" s="1111"/>
      <c r="X21" s="751"/>
      <c r="Y21" s="57"/>
      <c r="Z21" s="799" t="s">
        <v>475</v>
      </c>
      <c r="AA21" s="787" t="b">
        <f>IF(ProjType=Z21,TRUE)</f>
        <v>0</v>
      </c>
      <c r="AB21" s="33" t="s">
        <v>441</v>
      </c>
      <c r="AC21" s="33" t="s">
        <v>20</v>
      </c>
      <c r="AD21" s="58"/>
      <c r="AF21" s="512"/>
      <c r="AG21" s="810">
        <v>8</v>
      </c>
      <c r="AH21" s="917">
        <v>0.6080000000000001</v>
      </c>
      <c r="AI21" s="918">
        <v>0.6080000000000001</v>
      </c>
      <c r="AJ21" s="918">
        <v>0.6080000000000001</v>
      </c>
      <c r="AK21" s="918">
        <v>0.6080000000000001</v>
      </c>
      <c r="AL21" s="918">
        <v>0.6080000000000001</v>
      </c>
      <c r="AM21" s="919">
        <v>0.6080000000000001</v>
      </c>
      <c r="AN21" s="506"/>
      <c r="AO21" s="275"/>
      <c r="AQ21" s="248"/>
      <c r="AR21" s="736">
        <v>14</v>
      </c>
      <c r="AS21" s="1071">
        <v>3.6700000000000003E-2</v>
      </c>
      <c r="AT21" s="1072">
        <v>0.109</v>
      </c>
      <c r="AU21" s="244"/>
      <c r="AV21" s="271"/>
      <c r="AW21" s="271"/>
      <c r="AX21" s="44"/>
      <c r="AY21" s="53"/>
      <c r="AZ21" s="53"/>
      <c r="BA21" s="53"/>
      <c r="BB21" s="53"/>
      <c r="BC21" s="53"/>
      <c r="BD21" s="45"/>
      <c r="BF21" s="44"/>
      <c r="BG21" s="53"/>
      <c r="BH21" s="53"/>
      <c r="BI21" s="53"/>
      <c r="BJ21" s="53"/>
      <c r="BK21" s="53"/>
      <c r="BL21" s="45"/>
      <c r="BO21" s="46"/>
      <c r="BP21" s="810"/>
      <c r="BQ21" s="810">
        <v>13</v>
      </c>
      <c r="BR21" s="946">
        <v>1.1479999999999999</v>
      </c>
      <c r="BS21" s="1363">
        <v>408.00009999999997</v>
      </c>
      <c r="BT21" s="550">
        <v>7.4800000000000005E-2</v>
      </c>
      <c r="BU21" s="550">
        <v>3.5999999999999999E-3</v>
      </c>
      <c r="BV21" s="550">
        <v>4.0000000000000001E-3</v>
      </c>
      <c r="BW21" s="1318">
        <v>4.3299999999999998E-2</v>
      </c>
      <c r="BX21" s="945">
        <v>3.3E-3</v>
      </c>
      <c r="BY21" s="48"/>
      <c r="CA21" s="46"/>
      <c r="CB21" s="810"/>
      <c r="CC21" s="810">
        <v>13</v>
      </c>
      <c r="CD21" s="946">
        <v>0.51559999999999995</v>
      </c>
      <c r="CE21" s="1363">
        <v>257.9991</v>
      </c>
      <c r="CF21" s="550">
        <v>1.9199999999999998E-2</v>
      </c>
      <c r="CG21" s="550">
        <v>1E-3</v>
      </c>
      <c r="CH21" s="550">
        <v>2.5999999999999999E-3</v>
      </c>
      <c r="CI21" s="1318">
        <v>1.34E-2</v>
      </c>
      <c r="CJ21" s="945">
        <v>8.9999999999999998E-4</v>
      </c>
      <c r="CK21" s="48"/>
      <c r="DA21" s="46"/>
      <c r="DB21" s="810">
        <v>200</v>
      </c>
      <c r="DC21" s="776">
        <v>575</v>
      </c>
      <c r="DD21" s="777">
        <v>750</v>
      </c>
      <c r="DE21" s="778">
        <v>750</v>
      </c>
      <c r="DF21" s="48"/>
      <c r="DH21" s="46"/>
      <c r="DI21" s="810">
        <v>200</v>
      </c>
      <c r="DJ21" s="1084">
        <v>1</v>
      </c>
      <c r="DK21" s="1085">
        <v>0.98</v>
      </c>
      <c r="DL21" s="48"/>
      <c r="DO21" s="46"/>
      <c r="DP21" s="1086">
        <v>1.6E-2</v>
      </c>
      <c r="DQ21" s="1087">
        <v>0.85499999999999998</v>
      </c>
      <c r="DR21" s="1088">
        <v>0.90300000000000002</v>
      </c>
      <c r="DS21" s="48"/>
      <c r="DV21" s="46"/>
      <c r="DW21" s="1089" t="s">
        <v>573</v>
      </c>
      <c r="DX21" s="1090">
        <v>1</v>
      </c>
      <c r="DY21" s="1091">
        <v>1</v>
      </c>
      <c r="DZ21" s="1092">
        <v>1.0501474926253689</v>
      </c>
      <c r="EA21" s="1092">
        <v>0.97269728955473456</v>
      </c>
      <c r="EB21" s="1092">
        <v>-1.4815053347415766E-3</v>
      </c>
      <c r="EC21" s="1092">
        <v>-1.3238335688661946E-3</v>
      </c>
      <c r="ED21" s="1092">
        <v>5.6743741804302186</v>
      </c>
      <c r="EE21" s="815">
        <v>1</v>
      </c>
      <c r="EF21" s="48"/>
      <c r="EH21" s="1366"/>
      <c r="EI21" s="1370"/>
      <c r="EJ21" s="1608" t="s">
        <v>820</v>
      </c>
      <c r="EK21" s="34"/>
      <c r="EL21" s="1371"/>
      <c r="EM21" s="1607"/>
      <c r="EO21" s="1366"/>
      <c r="EP21" s="1605"/>
      <c r="EQ21" s="34"/>
    </row>
    <row r="22" spans="2:149" ht="16" thickBot="1" x14ac:dyDescent="0.4">
      <c r="B22" s="57"/>
      <c r="C22" s="49"/>
      <c r="D22" s="677" t="s">
        <v>407</v>
      </c>
      <c r="E22" s="1112">
        <f>25.06*ValueUpdate</f>
        <v>25.06</v>
      </c>
      <c r="F22" s="63" t="s">
        <v>408</v>
      </c>
      <c r="G22" s="667"/>
      <c r="H22" s="751">
        <v>3</v>
      </c>
      <c r="I22" s="79"/>
      <c r="J22" s="49" t="s">
        <v>402</v>
      </c>
      <c r="K22" s="33"/>
      <c r="L22" s="33"/>
      <c r="M22" s="924">
        <f>PerPeakADT/PeakLngthNB</f>
        <v>8.0600000000000005E-2</v>
      </c>
      <c r="N22" s="63" t="s">
        <v>403</v>
      </c>
      <c r="O22" s="63"/>
      <c r="P22" s="667"/>
      <c r="Q22" s="751"/>
      <c r="R22" s="1105"/>
      <c r="S22" s="49"/>
      <c r="T22" s="678" t="s">
        <v>658</v>
      </c>
      <c r="U22" s="1117">
        <v>180</v>
      </c>
      <c r="V22" s="732" t="s">
        <v>656</v>
      </c>
      <c r="W22" s="1111"/>
      <c r="X22" s="751"/>
      <c r="Y22" s="57"/>
      <c r="Z22" s="782" t="s">
        <v>476</v>
      </c>
      <c r="AA22" s="787" t="b">
        <f>IF(ProjType=Z22,TRUE)</f>
        <v>0</v>
      </c>
      <c r="AB22" s="33" t="s">
        <v>442</v>
      </c>
      <c r="AC22" s="33" t="s">
        <v>20</v>
      </c>
      <c r="AD22" s="58"/>
      <c r="AF22" s="512"/>
      <c r="AG22" s="810">
        <v>9</v>
      </c>
      <c r="AH22" s="917">
        <v>0.67100000000000004</v>
      </c>
      <c r="AI22" s="918">
        <v>0.67100000000000004</v>
      </c>
      <c r="AJ22" s="918">
        <v>0.67100000000000004</v>
      </c>
      <c r="AK22" s="918">
        <v>0.67100000000000004</v>
      </c>
      <c r="AL22" s="918">
        <v>0.67100000000000004</v>
      </c>
      <c r="AM22" s="919">
        <v>0.67100000000000004</v>
      </c>
      <c r="AN22" s="506"/>
      <c r="AO22" s="275"/>
      <c r="AQ22" s="512"/>
      <c r="AR22" s="736">
        <v>15</v>
      </c>
      <c r="AS22" s="1071">
        <v>3.49E-2</v>
      </c>
      <c r="AT22" s="1072">
        <v>0.10440000000000001</v>
      </c>
      <c r="AU22" s="506"/>
      <c r="AV22" s="275"/>
      <c r="AW22" s="271"/>
      <c r="AX22" s="46"/>
      <c r="AY22" s="522" t="s">
        <v>471</v>
      </c>
      <c r="AZ22" s="526"/>
      <c r="BA22" s="526"/>
      <c r="BB22" s="526"/>
      <c r="BC22" s="526"/>
      <c r="BD22" s="48"/>
      <c r="BF22" s="46"/>
      <c r="BG22" s="522" t="s">
        <v>759</v>
      </c>
      <c r="BH22" s="526"/>
      <c r="BI22" s="526"/>
      <c r="BJ22" s="526"/>
      <c r="BK22" s="526"/>
      <c r="BL22" s="48"/>
      <c r="BO22" s="46"/>
      <c r="BP22" s="810"/>
      <c r="BQ22" s="810">
        <v>14</v>
      </c>
      <c r="BR22" s="946">
        <v>1.1126</v>
      </c>
      <c r="BS22" s="1363">
        <v>387.38490000000002</v>
      </c>
      <c r="BT22" s="550">
        <v>7.2099999999999997E-2</v>
      </c>
      <c r="BU22" s="550">
        <v>3.3E-3</v>
      </c>
      <c r="BV22" s="550">
        <v>3.8E-3</v>
      </c>
      <c r="BW22" s="1318">
        <v>3.9600000000000003E-2</v>
      </c>
      <c r="BX22" s="945">
        <v>3.0000000000000001E-3</v>
      </c>
      <c r="BY22" s="48"/>
      <c r="CA22" s="46"/>
      <c r="CB22" s="810"/>
      <c r="CC22" s="810">
        <v>14</v>
      </c>
      <c r="CD22" s="946">
        <v>0.50019999999999998</v>
      </c>
      <c r="CE22" s="1363">
        <v>245.06399999999999</v>
      </c>
      <c r="CF22" s="550">
        <v>1.8499999999999999E-2</v>
      </c>
      <c r="CG22" s="550">
        <v>8.9999999999999998E-4</v>
      </c>
      <c r="CH22" s="550">
        <v>2.3999999999999998E-3</v>
      </c>
      <c r="CI22" s="1318">
        <v>1.2200000000000001E-2</v>
      </c>
      <c r="CJ22" s="945">
        <v>8.9999999999999998E-4</v>
      </c>
      <c r="CK22" s="48"/>
      <c r="DA22" s="46"/>
      <c r="DB22" s="810">
        <v>225</v>
      </c>
      <c r="DC22" s="776">
        <v>650</v>
      </c>
      <c r="DD22" s="777">
        <v>750</v>
      </c>
      <c r="DE22" s="778">
        <v>750</v>
      </c>
      <c r="DF22" s="48"/>
      <c r="DH22" s="46"/>
      <c r="DI22" s="810">
        <v>225</v>
      </c>
      <c r="DJ22" s="1084">
        <v>1</v>
      </c>
      <c r="DK22" s="1085">
        <v>0.94899999999999995</v>
      </c>
      <c r="DL22" s="48"/>
      <c r="DO22" s="46"/>
      <c r="DP22" s="1086">
        <v>1.7999999999999999E-2</v>
      </c>
      <c r="DQ22" s="1087">
        <v>0.83599999999999997</v>
      </c>
      <c r="DR22" s="1088">
        <v>0.89100000000000001</v>
      </c>
      <c r="DS22" s="48"/>
      <c r="DV22" s="46"/>
      <c r="DW22" s="1089" t="s">
        <v>570</v>
      </c>
      <c r="DX22" s="1090">
        <v>1</v>
      </c>
      <c r="DY22" s="1091">
        <v>1</v>
      </c>
      <c r="DZ22" s="1092">
        <v>1.0154639175257731</v>
      </c>
      <c r="EA22" s="1092">
        <v>0.96913081774301524</v>
      </c>
      <c r="EB22" s="1092">
        <v>-0.11026585870451545</v>
      </c>
      <c r="EC22" s="1092">
        <v>-0.11872704768355995</v>
      </c>
      <c r="ED22" s="1092">
        <v>-0.35180024680500832</v>
      </c>
      <c r="EE22" s="815">
        <v>1</v>
      </c>
      <c r="EF22" s="48"/>
      <c r="EH22" s="1366"/>
      <c r="EI22" s="1370"/>
      <c r="EJ22" s="1606"/>
      <c r="EK22" s="34"/>
      <c r="EL22" s="1371"/>
      <c r="EM22" s="1607"/>
      <c r="EO22" s="1366"/>
      <c r="EP22" s="1366"/>
    </row>
    <row r="23" spans="2:149" ht="16" thickTop="1" x14ac:dyDescent="0.35">
      <c r="B23" s="57"/>
      <c r="C23" s="49"/>
      <c r="D23" s="1118" t="s">
        <v>642</v>
      </c>
      <c r="E23" s="1112">
        <f>WageTruck*(32.42/21.65-1)*ValueUpdate</f>
        <v>12.466337182448042</v>
      </c>
      <c r="F23" s="63" t="s">
        <v>408</v>
      </c>
      <c r="G23" s="667"/>
      <c r="H23" s="751">
        <v>4</v>
      </c>
      <c r="I23" s="79"/>
      <c r="J23" s="33"/>
      <c r="K23" s="33"/>
      <c r="L23" s="33"/>
      <c r="M23" s="33"/>
      <c r="N23" s="33"/>
      <c r="O23" s="33"/>
      <c r="P23" s="667"/>
      <c r="Q23" s="751"/>
      <c r="R23" s="1105"/>
      <c r="S23" s="49"/>
      <c r="T23" s="32"/>
      <c r="U23" s="1107"/>
      <c r="V23" s="732"/>
      <c r="W23" s="1111"/>
      <c r="X23" s="751"/>
      <c r="Y23" s="57"/>
      <c r="Z23" s="782" t="s">
        <v>477</v>
      </c>
      <c r="AA23" s="787" t="b">
        <f>IF(ProjType=Z23,TRUE)</f>
        <v>0</v>
      </c>
      <c r="AB23" s="33" t="s">
        <v>155</v>
      </c>
      <c r="AC23" s="33" t="s">
        <v>20</v>
      </c>
      <c r="AD23" s="58"/>
      <c r="AF23" s="512"/>
      <c r="AG23" s="810">
        <v>10</v>
      </c>
      <c r="AH23" s="917">
        <v>0.73399999999999999</v>
      </c>
      <c r="AI23" s="918">
        <v>0.73399999999999999</v>
      </c>
      <c r="AJ23" s="918">
        <v>0.73399999999999999</v>
      </c>
      <c r="AK23" s="918">
        <v>0.73399999999999999</v>
      </c>
      <c r="AL23" s="918">
        <v>0.73399999999999999</v>
      </c>
      <c r="AM23" s="919">
        <v>0.73399999999999999</v>
      </c>
      <c r="AN23" s="506"/>
      <c r="AO23" s="275"/>
      <c r="AQ23" s="512"/>
      <c r="AR23" s="736">
        <v>16</v>
      </c>
      <c r="AS23" s="1071">
        <v>3.5099999999999999E-2</v>
      </c>
      <c r="AT23" s="1072">
        <v>0.10290000000000001</v>
      </c>
      <c r="AU23" s="506"/>
      <c r="AV23" s="275"/>
      <c r="AW23" s="275"/>
      <c r="AX23" s="46"/>
      <c r="AY23" s="809" t="s">
        <v>875</v>
      </c>
      <c r="AZ23" s="526"/>
      <c r="BA23" s="526"/>
      <c r="BB23" s="526"/>
      <c r="BC23" s="526"/>
      <c r="BD23" s="48"/>
      <c r="BF23" s="46"/>
      <c r="BG23" s="809" t="s">
        <v>371</v>
      </c>
      <c r="BH23" s="526"/>
      <c r="BI23" s="526"/>
      <c r="BJ23" s="526"/>
      <c r="BK23" s="526"/>
      <c r="BL23" s="48"/>
      <c r="BO23" s="46"/>
      <c r="BP23" s="810"/>
      <c r="BQ23" s="810">
        <v>15</v>
      </c>
      <c r="BR23" s="946">
        <v>1.0783</v>
      </c>
      <c r="BS23" s="1363">
        <v>367.81139999999999</v>
      </c>
      <c r="BT23" s="550">
        <v>6.9599999999999995E-2</v>
      </c>
      <c r="BU23" s="550">
        <v>3.0000000000000001E-3</v>
      </c>
      <c r="BV23" s="550">
        <v>3.5999999999999999E-3</v>
      </c>
      <c r="BW23" s="1318">
        <v>3.61E-2</v>
      </c>
      <c r="BX23" s="945">
        <v>2.7000000000000001E-3</v>
      </c>
      <c r="BY23" s="48"/>
      <c r="CA23" s="46"/>
      <c r="CB23" s="810"/>
      <c r="CC23" s="810">
        <v>15</v>
      </c>
      <c r="CD23" s="946">
        <v>0.48530000000000001</v>
      </c>
      <c r="CE23" s="1363">
        <v>232.7774</v>
      </c>
      <c r="CF23" s="550">
        <v>1.78E-2</v>
      </c>
      <c r="CG23" s="550">
        <v>8.0000000000000004E-4</v>
      </c>
      <c r="CH23" s="550">
        <v>2.3E-3</v>
      </c>
      <c r="CI23" s="1318">
        <v>1.11E-2</v>
      </c>
      <c r="CJ23" s="945">
        <v>8.0000000000000004E-4</v>
      </c>
      <c r="CK23" s="48"/>
      <c r="CN23" s="44"/>
      <c r="CO23" s="230"/>
      <c r="CP23" s="230"/>
      <c r="CQ23" s="230"/>
      <c r="CR23" s="230"/>
      <c r="CS23" s="230"/>
      <c r="CT23" s="230"/>
      <c r="CU23" s="230"/>
      <c r="CV23" s="230"/>
      <c r="CW23" s="230"/>
      <c r="CX23" s="45"/>
      <c r="DA23" s="46"/>
      <c r="DB23" s="810">
        <v>250</v>
      </c>
      <c r="DC23" s="776">
        <v>750</v>
      </c>
      <c r="DD23" s="777">
        <v>750</v>
      </c>
      <c r="DE23" s="778">
        <v>750</v>
      </c>
      <c r="DF23" s="48"/>
      <c r="DH23" s="46"/>
      <c r="DI23" s="810">
        <v>250</v>
      </c>
      <c r="DJ23" s="1084">
        <v>1</v>
      </c>
      <c r="DK23" s="1085">
        <v>0.91900000000000004</v>
      </c>
      <c r="DL23" s="48"/>
      <c r="DO23" s="46"/>
      <c r="DP23" s="1086">
        <v>0.02</v>
      </c>
      <c r="DQ23" s="1087">
        <v>0.78900000000000003</v>
      </c>
      <c r="DR23" s="1088">
        <v>0.879</v>
      </c>
      <c r="DS23" s="48"/>
      <c r="DV23" s="46"/>
      <c r="DW23" s="1119" t="s">
        <v>574</v>
      </c>
      <c r="DX23" s="1120">
        <v>1</v>
      </c>
      <c r="DY23" s="1121">
        <v>1</v>
      </c>
      <c r="DZ23" s="1122">
        <v>1.0058997050147493</v>
      </c>
      <c r="EA23" s="1122">
        <v>0.97183048805227856</v>
      </c>
      <c r="EB23" s="1122">
        <v>-0.39122572597877792</v>
      </c>
      <c r="EC23" s="1122">
        <v>-0.39160228819315196</v>
      </c>
      <c r="ED23" s="1122">
        <v>-0.35180024680500832</v>
      </c>
      <c r="EE23" s="816">
        <v>1</v>
      </c>
      <c r="EF23" s="48"/>
      <c r="EH23" s="1366"/>
      <c r="EI23" s="1370"/>
      <c r="EJ23" s="1374" t="s">
        <v>243</v>
      </c>
      <c r="EK23" s="510" t="s">
        <v>149</v>
      </c>
      <c r="EL23" s="1371"/>
      <c r="EM23" s="1366"/>
      <c r="EO23" s="1366"/>
      <c r="EP23" s="1366"/>
    </row>
    <row r="24" spans="2:149" ht="16" thickBot="1" x14ac:dyDescent="0.4">
      <c r="B24" s="57"/>
      <c r="C24" s="49"/>
      <c r="D24" s="32"/>
      <c r="E24" s="669"/>
      <c r="F24" s="63"/>
      <c r="G24" s="667"/>
      <c r="H24" s="751"/>
      <c r="I24" s="79"/>
      <c r="J24" s="1114" t="s">
        <v>34</v>
      </c>
      <c r="K24" s="33"/>
      <c r="L24" s="33"/>
      <c r="M24" s="901">
        <v>365</v>
      </c>
      <c r="N24" s="63" t="s">
        <v>35</v>
      </c>
      <c r="O24" s="63"/>
      <c r="P24" s="667"/>
      <c r="Q24" s="751"/>
      <c r="R24" s="1105"/>
      <c r="S24" s="1114" t="s">
        <v>659</v>
      </c>
      <c r="T24" s="63"/>
      <c r="U24" s="63"/>
      <c r="V24" s="732"/>
      <c r="W24" s="1111"/>
      <c r="X24" s="751"/>
      <c r="Y24" s="57"/>
      <c r="Z24" s="782" t="s">
        <v>639</v>
      </c>
      <c r="AA24" s="787" t="b">
        <f>IF(ProjType=Z24,TRUE)</f>
        <v>0</v>
      </c>
      <c r="AB24" s="33" t="s">
        <v>32</v>
      </c>
      <c r="AC24" s="33" t="s">
        <v>37</v>
      </c>
      <c r="AD24" s="58"/>
      <c r="AF24" s="512"/>
      <c r="AG24" s="810">
        <v>11</v>
      </c>
      <c r="AH24" s="917">
        <v>0.79</v>
      </c>
      <c r="AI24" s="918">
        <v>0.79</v>
      </c>
      <c r="AJ24" s="918">
        <v>0.79</v>
      </c>
      <c r="AK24" s="918">
        <v>0.79</v>
      </c>
      <c r="AL24" s="918">
        <v>0.79</v>
      </c>
      <c r="AM24" s="919">
        <v>0.79</v>
      </c>
      <c r="AN24" s="506"/>
      <c r="AO24" s="275"/>
      <c r="AQ24" s="512"/>
      <c r="AR24" s="736">
        <v>17</v>
      </c>
      <c r="AS24" s="1071">
        <v>3.5200000000000002E-2</v>
      </c>
      <c r="AT24" s="1072">
        <v>0.10150000000000001</v>
      </c>
      <c r="AU24" s="506"/>
      <c r="AV24" s="275"/>
      <c r="AW24" s="275"/>
      <c r="AX24" s="46"/>
      <c r="AY24" s="26"/>
      <c r="AZ24" s="26"/>
      <c r="BA24" s="568"/>
      <c r="BB24" s="26"/>
      <c r="BC24" s="26"/>
      <c r="BD24" s="48"/>
      <c r="BF24" s="46"/>
      <c r="BG24" s="26"/>
      <c r="BH24" s="26"/>
      <c r="BI24" s="568"/>
      <c r="BJ24" s="26"/>
      <c r="BK24" s="26"/>
      <c r="BL24" s="48"/>
      <c r="BO24" s="46"/>
      <c r="BP24" s="810"/>
      <c r="BQ24" s="810">
        <v>16</v>
      </c>
      <c r="BR24" s="946">
        <v>1.0942000000000001</v>
      </c>
      <c r="BS24" s="1363">
        <v>366.76100000000002</v>
      </c>
      <c r="BT24" s="550">
        <v>7.0199999999999999E-2</v>
      </c>
      <c r="BU24" s="550">
        <v>2.8999999999999998E-3</v>
      </c>
      <c r="BV24" s="550">
        <v>3.5999999999999999E-3</v>
      </c>
      <c r="BW24" s="1318">
        <v>3.4799999999999998E-2</v>
      </c>
      <c r="BX24" s="945">
        <v>2.5999999999999999E-3</v>
      </c>
      <c r="BY24" s="48"/>
      <c r="CA24" s="46"/>
      <c r="CB24" s="810"/>
      <c r="CC24" s="810">
        <v>16</v>
      </c>
      <c r="CD24" s="946">
        <v>0.50390000000000001</v>
      </c>
      <c r="CE24" s="1363">
        <v>236.95599999999999</v>
      </c>
      <c r="CF24" s="550">
        <v>1.84E-2</v>
      </c>
      <c r="CG24" s="550">
        <v>8.0000000000000004E-4</v>
      </c>
      <c r="CH24" s="550">
        <v>2.3E-3</v>
      </c>
      <c r="CI24" s="1318">
        <v>1.09E-2</v>
      </c>
      <c r="CJ24" s="945">
        <v>8.0000000000000004E-4</v>
      </c>
      <c r="CK24" s="48"/>
      <c r="CN24" s="46"/>
      <c r="CO24" s="522" t="s">
        <v>404</v>
      </c>
      <c r="CP24" s="526"/>
      <c r="CQ24" s="526"/>
      <c r="CR24" s="526"/>
      <c r="CS24" s="526"/>
      <c r="CT24" s="526"/>
      <c r="CU24" s="526"/>
      <c r="CV24" s="526"/>
      <c r="CW24" s="526"/>
      <c r="CX24" s="48"/>
      <c r="DA24" s="46"/>
      <c r="DB24" s="810">
        <v>275</v>
      </c>
      <c r="DC24" s="776">
        <v>750</v>
      </c>
      <c r="DD24" s="777">
        <v>750</v>
      </c>
      <c r="DE24" s="778">
        <v>750</v>
      </c>
      <c r="DF24" s="48"/>
      <c r="DH24" s="46"/>
      <c r="DI24" s="810">
        <v>275</v>
      </c>
      <c r="DJ24" s="1084">
        <v>0.99099999999999999</v>
      </c>
      <c r="DK24" s="1085">
        <v>0.89</v>
      </c>
      <c r="DL24" s="48"/>
      <c r="DO24" s="46"/>
      <c r="DP24" s="1086">
        <v>2.1999999999999999E-2</v>
      </c>
      <c r="DQ24" s="1087">
        <v>0.747</v>
      </c>
      <c r="DR24" s="1088">
        <v>0.86699999999999999</v>
      </c>
      <c r="DS24" s="48"/>
      <c r="DV24" s="50"/>
      <c r="DW24" s="51"/>
      <c r="DX24" s="51"/>
      <c r="DY24" s="51"/>
      <c r="DZ24" s="51"/>
      <c r="EA24" s="51"/>
      <c r="EB24" s="51"/>
      <c r="EC24" s="51"/>
      <c r="ED24" s="51"/>
      <c r="EE24" s="51"/>
      <c r="EF24" s="52"/>
      <c r="EH24" s="1366"/>
      <c r="EI24" s="1370"/>
      <c r="EJ24" s="1089" t="s">
        <v>377</v>
      </c>
      <c r="EK24" s="1610">
        <v>0.8</v>
      </c>
      <c r="EL24" s="1371"/>
      <c r="EM24"/>
      <c r="EO24" s="1366"/>
      <c r="EP24" s="1366"/>
    </row>
    <row r="25" spans="2:149" ht="16" thickTop="1" x14ac:dyDescent="0.35">
      <c r="B25" s="57"/>
      <c r="C25" s="49" t="s">
        <v>410</v>
      </c>
      <c r="D25" s="32"/>
      <c r="E25" s="33"/>
      <c r="F25" s="63"/>
      <c r="G25" s="667"/>
      <c r="H25" s="751"/>
      <c r="I25" s="79"/>
      <c r="J25" s="33"/>
      <c r="K25" s="33"/>
      <c r="L25" s="33"/>
      <c r="M25" s="33"/>
      <c r="N25" s="33"/>
      <c r="O25" s="33"/>
      <c r="P25" s="667"/>
      <c r="Q25" s="751"/>
      <c r="R25" s="1105"/>
      <c r="S25" s="1114"/>
      <c r="T25" s="677" t="s">
        <v>660</v>
      </c>
      <c r="U25" s="1123">
        <v>25</v>
      </c>
      <c r="V25" s="732" t="s">
        <v>58</v>
      </c>
      <c r="W25" s="1111"/>
      <c r="X25" s="751"/>
      <c r="Y25" s="57"/>
      <c r="Z25" s="33"/>
      <c r="AA25" s="1107"/>
      <c r="AB25" s="33"/>
      <c r="AC25" s="33"/>
      <c r="AD25" s="58"/>
      <c r="AF25" s="512"/>
      <c r="AG25" s="810">
        <v>12</v>
      </c>
      <c r="AH25" s="917">
        <v>0.84300000000000008</v>
      </c>
      <c r="AI25" s="918">
        <v>0.84300000000000008</v>
      </c>
      <c r="AJ25" s="918">
        <v>0.84300000000000008</v>
      </c>
      <c r="AK25" s="918">
        <v>0.84300000000000008</v>
      </c>
      <c r="AL25" s="918">
        <v>0.84300000000000008</v>
      </c>
      <c r="AM25" s="919">
        <v>0.84300000000000008</v>
      </c>
      <c r="AN25" s="506"/>
      <c r="AO25" s="275"/>
      <c r="AQ25" s="512"/>
      <c r="AR25" s="736">
        <v>18</v>
      </c>
      <c r="AS25" s="1071">
        <v>3.5400000000000001E-2</v>
      </c>
      <c r="AT25" s="1072">
        <v>0.1</v>
      </c>
      <c r="AU25" s="506"/>
      <c r="AV25" s="275"/>
      <c r="AW25" s="275"/>
      <c r="AX25" s="46"/>
      <c r="AY25" s="563" t="s">
        <v>876</v>
      </c>
      <c r="AZ25" s="564" t="s">
        <v>65</v>
      </c>
      <c r="BA25" s="545" t="s">
        <v>466</v>
      </c>
      <c r="BB25" s="545" t="s">
        <v>64</v>
      </c>
      <c r="BC25" s="546" t="s">
        <v>591</v>
      </c>
      <c r="BD25" s="48"/>
      <c r="BF25" s="46"/>
      <c r="BG25" s="563" t="s">
        <v>378</v>
      </c>
      <c r="BH25" s="564" t="s">
        <v>379</v>
      </c>
      <c r="BI25" s="545" t="s">
        <v>312</v>
      </c>
      <c r="BJ25" s="545" t="s">
        <v>155</v>
      </c>
      <c r="BK25" s="546" t="s">
        <v>755</v>
      </c>
      <c r="BL25" s="48"/>
      <c r="BO25" s="46"/>
      <c r="BP25" s="810"/>
      <c r="BQ25" s="810">
        <v>17</v>
      </c>
      <c r="BR25" s="946">
        <v>1.1103000000000001</v>
      </c>
      <c r="BS25" s="1363">
        <v>365.71359999999999</v>
      </c>
      <c r="BT25" s="550">
        <v>7.0800000000000002E-2</v>
      </c>
      <c r="BU25" s="550">
        <v>2.8E-3</v>
      </c>
      <c r="BV25" s="550">
        <v>3.5999999999999999E-3</v>
      </c>
      <c r="BW25" s="1318">
        <v>3.3500000000000002E-2</v>
      </c>
      <c r="BX25" s="945">
        <v>2.5000000000000001E-3</v>
      </c>
      <c r="BY25" s="48"/>
      <c r="CA25" s="46"/>
      <c r="CB25" s="810"/>
      <c r="CC25" s="810">
        <v>17</v>
      </c>
      <c r="CD25" s="946">
        <v>0.5232</v>
      </c>
      <c r="CE25" s="1363">
        <v>241.20959999999999</v>
      </c>
      <c r="CF25" s="550">
        <v>1.9E-2</v>
      </c>
      <c r="CG25" s="550">
        <v>8.0000000000000004E-4</v>
      </c>
      <c r="CH25" s="550">
        <v>2.3999999999999998E-3</v>
      </c>
      <c r="CI25" s="1318">
        <v>1.0699999999999999E-2</v>
      </c>
      <c r="CJ25" s="945">
        <v>8.0000000000000004E-4</v>
      </c>
      <c r="CK25" s="48"/>
      <c r="CN25" s="46"/>
      <c r="CO25" s="809" t="s">
        <v>406</v>
      </c>
      <c r="CP25" s="526"/>
      <c r="CQ25" s="526"/>
      <c r="CR25" s="526"/>
      <c r="CS25" s="526"/>
      <c r="CT25" s="526"/>
      <c r="CU25" s="526"/>
      <c r="CV25" s="526"/>
      <c r="CW25" s="526"/>
      <c r="CX25" s="48"/>
      <c r="DA25" s="46"/>
      <c r="DB25" s="810">
        <v>300</v>
      </c>
      <c r="DC25" s="776">
        <v>750</v>
      </c>
      <c r="DD25" s="777">
        <v>750</v>
      </c>
      <c r="DE25" s="778">
        <v>750</v>
      </c>
      <c r="DF25" s="48"/>
      <c r="DH25" s="46"/>
      <c r="DI25" s="810">
        <v>300</v>
      </c>
      <c r="DJ25" s="1084">
        <v>0.98099999999999998</v>
      </c>
      <c r="DK25" s="1085">
        <v>0.86199999999999999</v>
      </c>
      <c r="DL25" s="48"/>
      <c r="DO25" s="46"/>
      <c r="DP25" s="1086">
        <v>2.4E-2</v>
      </c>
      <c r="DQ25" s="1087">
        <v>0.70599999999999996</v>
      </c>
      <c r="DR25" s="1088">
        <v>0.85499999999999998</v>
      </c>
      <c r="DS25" s="48"/>
      <c r="EH25" s="1366"/>
      <c r="EI25" s="1370"/>
      <c r="EJ25" s="1119" t="s">
        <v>249</v>
      </c>
      <c r="EK25" s="1611">
        <v>1.1000000000000001</v>
      </c>
      <c r="EL25" s="1371"/>
      <c r="EM25"/>
      <c r="EO25" s="1366"/>
      <c r="EP25" s="1366"/>
    </row>
    <row r="26" spans="2:149" ht="16" thickBot="1" x14ac:dyDescent="0.4">
      <c r="B26" s="57"/>
      <c r="C26" s="49"/>
      <c r="D26" s="27" t="s">
        <v>412</v>
      </c>
      <c r="E26" s="1124">
        <f>ROUND(WageStatewide*0.5/5,2)*5</f>
        <v>16.45</v>
      </c>
      <c r="F26" s="63" t="s">
        <v>632</v>
      </c>
      <c r="G26" s="667"/>
      <c r="H26" s="751">
        <v>5</v>
      </c>
      <c r="I26" s="79"/>
      <c r="J26" s="33"/>
      <c r="K26" s="33"/>
      <c r="L26" s="33"/>
      <c r="M26" s="33"/>
      <c r="N26" s="679" t="s">
        <v>90</v>
      </c>
      <c r="O26" s="679" t="s">
        <v>523</v>
      </c>
      <c r="P26" s="667"/>
      <c r="Q26" s="751"/>
      <c r="R26" s="1105"/>
      <c r="S26" s="49"/>
      <c r="T26" s="677" t="s">
        <v>661</v>
      </c>
      <c r="U26" s="1125">
        <v>1.51</v>
      </c>
      <c r="V26" s="732" t="s">
        <v>662</v>
      </c>
      <c r="W26" s="1111"/>
      <c r="X26" s="751">
        <v>19</v>
      </c>
      <c r="Y26" s="57"/>
      <c r="Z26" s="49" t="s">
        <v>25</v>
      </c>
      <c r="AA26" s="63"/>
      <c r="AB26" s="33"/>
      <c r="AC26" s="33" t="s">
        <v>16</v>
      </c>
      <c r="AD26" s="58"/>
      <c r="AF26" s="512"/>
      <c r="AG26" s="810">
        <v>13</v>
      </c>
      <c r="AH26" s="917">
        <v>0.88600000000000012</v>
      </c>
      <c r="AI26" s="918">
        <v>0.88600000000000012</v>
      </c>
      <c r="AJ26" s="918">
        <v>0.88600000000000012</v>
      </c>
      <c r="AK26" s="918">
        <v>0.88600000000000012</v>
      </c>
      <c r="AL26" s="918">
        <v>0.88600000000000012</v>
      </c>
      <c r="AM26" s="919">
        <v>0.88600000000000012</v>
      </c>
      <c r="AN26" s="506"/>
      <c r="AO26" s="275"/>
      <c r="AQ26" s="512"/>
      <c r="AR26" s="736">
        <v>19</v>
      </c>
      <c r="AS26" s="1071">
        <v>3.56E-2</v>
      </c>
      <c r="AT26" s="1072">
        <v>9.8599999999999993E-2</v>
      </c>
      <c r="AU26" s="506"/>
      <c r="AV26" s="275"/>
      <c r="AW26" s="275"/>
      <c r="AX26" s="46"/>
      <c r="AY26" s="1635" t="s">
        <v>870</v>
      </c>
      <c r="AZ26" s="1126">
        <v>1.0900000000000001</v>
      </c>
      <c r="BA26" s="1126">
        <v>1.08</v>
      </c>
      <c r="BB26" s="1126">
        <v>1.1399999999999999</v>
      </c>
      <c r="BC26" s="1127">
        <v>1.1100000000000001</v>
      </c>
      <c r="BD26" s="48"/>
      <c r="BF26" s="46"/>
      <c r="BG26" s="565" t="s">
        <v>389</v>
      </c>
      <c r="BH26" s="1128">
        <f>FatValue</f>
        <v>11800000</v>
      </c>
      <c r="BI26" s="1129">
        <f>FatValue</f>
        <v>11800000</v>
      </c>
      <c r="BJ26" s="1129">
        <f>FatValue</f>
        <v>11800000</v>
      </c>
      <c r="BK26" s="1130">
        <f>FatValue</f>
        <v>11800000</v>
      </c>
      <c r="BL26" s="48"/>
      <c r="BO26" s="46"/>
      <c r="BP26" s="810"/>
      <c r="BQ26" s="810">
        <v>18</v>
      </c>
      <c r="BR26" s="946">
        <v>1.1267</v>
      </c>
      <c r="BS26" s="1363">
        <v>364.66930000000002</v>
      </c>
      <c r="BT26" s="550">
        <v>7.1400000000000005E-2</v>
      </c>
      <c r="BU26" s="550">
        <v>2.7000000000000001E-3</v>
      </c>
      <c r="BV26" s="550">
        <v>3.5999999999999999E-3</v>
      </c>
      <c r="BW26" s="1318">
        <v>3.2300000000000002E-2</v>
      </c>
      <c r="BX26" s="945">
        <v>2.3999999999999998E-3</v>
      </c>
      <c r="BY26" s="48"/>
      <c r="CA26" s="46"/>
      <c r="CB26" s="810"/>
      <c r="CC26" s="810">
        <v>18</v>
      </c>
      <c r="CD26" s="946">
        <v>0.54330000000000001</v>
      </c>
      <c r="CE26" s="1363">
        <v>245.53960000000001</v>
      </c>
      <c r="CF26" s="550">
        <v>1.9699999999999999E-2</v>
      </c>
      <c r="CG26" s="550">
        <v>8.0000000000000004E-4</v>
      </c>
      <c r="CH26" s="550">
        <v>2.3999999999999998E-3</v>
      </c>
      <c r="CI26" s="1318">
        <v>1.0500000000000001E-2</v>
      </c>
      <c r="CJ26" s="945">
        <v>6.9999999999999999E-4</v>
      </c>
      <c r="CK26" s="48"/>
      <c r="CN26" s="46"/>
      <c r="CO26" s="527"/>
      <c r="CP26" s="199"/>
      <c r="CQ26" s="199"/>
      <c r="CR26" s="199"/>
      <c r="CS26" s="199"/>
      <c r="CT26" s="199"/>
      <c r="CU26" s="199"/>
      <c r="CV26" s="199"/>
      <c r="CW26" s="199"/>
      <c r="CX26" s="48"/>
      <c r="DA26" s="46"/>
      <c r="DB26" s="810">
        <v>325</v>
      </c>
      <c r="DC26" s="776">
        <v>750</v>
      </c>
      <c r="DD26" s="777">
        <v>750</v>
      </c>
      <c r="DE26" s="778">
        <v>750</v>
      </c>
      <c r="DF26" s="48"/>
      <c r="DH26" s="46"/>
      <c r="DI26" s="810">
        <v>325</v>
      </c>
      <c r="DJ26" s="1084">
        <v>0.97099999999999997</v>
      </c>
      <c r="DK26" s="1085">
        <v>0.83399999999999996</v>
      </c>
      <c r="DL26" s="48"/>
      <c r="DO26" s="46"/>
      <c r="DP26" s="1086">
        <v>2.5999999999999999E-2</v>
      </c>
      <c r="DQ26" s="1087">
        <v>0.66400000000000003</v>
      </c>
      <c r="DR26" s="1088">
        <v>0.84199999999999997</v>
      </c>
      <c r="DS26" s="48"/>
      <c r="DV26" s="554" t="s">
        <v>580</v>
      </c>
      <c r="EH26" s="1366"/>
      <c r="EI26" s="1379"/>
      <c r="EJ26" s="1380"/>
      <c r="EK26" s="1380"/>
      <c r="EL26" s="1381"/>
      <c r="EO26" s="1366"/>
      <c r="EP26" s="1366"/>
    </row>
    <row r="27" spans="2:149" ht="15.5" thickTop="1" x14ac:dyDescent="0.4">
      <c r="B27" s="57"/>
      <c r="C27" s="49"/>
      <c r="D27" s="39" t="s">
        <v>249</v>
      </c>
      <c r="E27" s="1124">
        <f>ROUND((WageTruck+FringeTruck)/5,2)*5</f>
        <v>37.549999999999997</v>
      </c>
      <c r="F27" s="63" t="s">
        <v>631</v>
      </c>
      <c r="G27" s="667"/>
      <c r="H27" s="751">
        <v>5</v>
      </c>
      <c r="I27" s="57"/>
      <c r="J27" s="33"/>
      <c r="K27" s="33"/>
      <c r="L27" s="679" t="s">
        <v>84</v>
      </c>
      <c r="M27" s="679" t="s">
        <v>89</v>
      </c>
      <c r="N27" s="679" t="s">
        <v>95</v>
      </c>
      <c r="O27" s="679" t="s">
        <v>95</v>
      </c>
      <c r="P27" s="667"/>
      <c r="Q27" s="751"/>
      <c r="R27" s="1105"/>
      <c r="S27" s="49"/>
      <c r="T27" s="1106"/>
      <c r="U27" s="63"/>
      <c r="V27" s="732"/>
      <c r="W27" s="1111"/>
      <c r="X27" s="751"/>
      <c r="Y27" s="57"/>
      <c r="Z27" s="799" t="s">
        <v>478</v>
      </c>
      <c r="AA27" s="787" t="b">
        <f t="shared" ref="AA27:AA34" si="1">IF(ProjType=Z27,TRUE)</f>
        <v>0</v>
      </c>
      <c r="AB27" s="33" t="s">
        <v>443</v>
      </c>
      <c r="AC27" s="33" t="s">
        <v>22</v>
      </c>
      <c r="AD27" s="58"/>
      <c r="AF27" s="512"/>
      <c r="AG27" s="810">
        <v>14</v>
      </c>
      <c r="AH27" s="917">
        <v>0.91600000000000015</v>
      </c>
      <c r="AI27" s="918">
        <v>0.91600000000000015</v>
      </c>
      <c r="AJ27" s="918">
        <v>0.91600000000000015</v>
      </c>
      <c r="AK27" s="918">
        <v>0.91600000000000015</v>
      </c>
      <c r="AL27" s="918">
        <v>0.91600000000000015</v>
      </c>
      <c r="AM27" s="919">
        <v>0.91600000000000015</v>
      </c>
      <c r="AN27" s="506"/>
      <c r="AO27" s="275"/>
      <c r="AQ27" s="512"/>
      <c r="AR27" s="736">
        <v>20</v>
      </c>
      <c r="AS27" s="1071">
        <v>3.5799999999999998E-2</v>
      </c>
      <c r="AT27" s="1072">
        <v>9.7199999999999995E-2</v>
      </c>
      <c r="AU27" s="506"/>
      <c r="AV27" s="275"/>
      <c r="AW27" s="275"/>
      <c r="AX27" s="46"/>
      <c r="AY27" s="26"/>
      <c r="AZ27" s="26"/>
      <c r="BA27" s="26"/>
      <c r="BB27" s="26"/>
      <c r="BC27" s="26"/>
      <c r="BD27" s="48"/>
      <c r="BF27" s="46"/>
      <c r="BG27" s="566" t="s">
        <v>395</v>
      </c>
      <c r="BH27" s="562">
        <f>ROUND((BC12*InjAValue+BC13*InjBValue)/SUM(BC12:BC13),-2)</f>
        <v>211900</v>
      </c>
      <c r="BI27" s="558">
        <f>ROUND((BC12*InjAValue+BC13*InjBValue)/SUM(BC12:BC13),-2)</f>
        <v>211900</v>
      </c>
      <c r="BJ27" s="558">
        <f>ROUND((BC12*InjAValue+BC13*InjBValue)/SUM(BC12:BC13),-2)</f>
        <v>211900</v>
      </c>
      <c r="BK27" s="561">
        <f>ROUND((BC12*InjAValue+BC13*InjBValue)/SUM(BC12:BC13),-2)</f>
        <v>211900</v>
      </c>
      <c r="BL27" s="48"/>
      <c r="BO27" s="46"/>
      <c r="BP27" s="810"/>
      <c r="BQ27" s="810">
        <v>19</v>
      </c>
      <c r="BR27" s="946">
        <v>1.1433</v>
      </c>
      <c r="BS27" s="1363">
        <v>363.62779999999998</v>
      </c>
      <c r="BT27" s="550">
        <v>7.1999999999999995E-2</v>
      </c>
      <c r="BU27" s="550">
        <v>2.5999999999999999E-3</v>
      </c>
      <c r="BV27" s="550">
        <v>3.5999999999999999E-3</v>
      </c>
      <c r="BW27" s="1318">
        <v>3.1099999999999999E-2</v>
      </c>
      <c r="BX27" s="945">
        <v>2.3999999999999998E-3</v>
      </c>
      <c r="BY27" s="48"/>
      <c r="CA27" s="46"/>
      <c r="CB27" s="810"/>
      <c r="CC27" s="810">
        <v>19</v>
      </c>
      <c r="CD27" s="946">
        <v>0.56410000000000005</v>
      </c>
      <c r="CE27" s="1363">
        <v>249.94730000000001</v>
      </c>
      <c r="CF27" s="550">
        <v>2.0299999999999999E-2</v>
      </c>
      <c r="CG27" s="550">
        <v>8.0000000000000004E-4</v>
      </c>
      <c r="CH27" s="550">
        <v>2.5000000000000001E-3</v>
      </c>
      <c r="CI27" s="1318">
        <v>1.03E-2</v>
      </c>
      <c r="CJ27" s="945">
        <v>6.9999999999999999E-4</v>
      </c>
      <c r="CK27" s="48"/>
      <c r="CN27" s="46"/>
      <c r="CO27" s="525" t="s">
        <v>243</v>
      </c>
      <c r="CP27" s="525" t="s">
        <v>135</v>
      </c>
      <c r="CQ27" s="544" t="s">
        <v>380</v>
      </c>
      <c r="CR27" s="564" t="s">
        <v>10</v>
      </c>
      <c r="CS27" s="545" t="s">
        <v>381</v>
      </c>
      <c r="CT27" s="545" t="s">
        <v>382</v>
      </c>
      <c r="CU27" s="545" t="s">
        <v>383</v>
      </c>
      <c r="CV27" s="545" t="s">
        <v>384</v>
      </c>
      <c r="CW27" s="546" t="s">
        <v>747</v>
      </c>
      <c r="CX27" s="48"/>
      <c r="DA27" s="46"/>
      <c r="DB27" s="810">
        <v>350</v>
      </c>
      <c r="DC27" s="776">
        <v>750</v>
      </c>
      <c r="DD27" s="777">
        <v>750</v>
      </c>
      <c r="DE27" s="778">
        <v>750</v>
      </c>
      <c r="DF27" s="48"/>
      <c r="DH27" s="46"/>
      <c r="DI27" s="810">
        <v>350</v>
      </c>
      <c r="DJ27" s="1084">
        <v>0.96099999999999997</v>
      </c>
      <c r="DK27" s="1085">
        <v>0.80800000000000005</v>
      </c>
      <c r="DL27" s="48"/>
      <c r="DO27" s="46"/>
      <c r="DP27" s="1086">
        <v>2.8000000000000001E-2</v>
      </c>
      <c r="DQ27" s="1087">
        <v>0.623</v>
      </c>
      <c r="DR27" s="1088">
        <v>0.81699999999999995</v>
      </c>
      <c r="DS27" s="48"/>
      <c r="DW27" s="751" t="s">
        <v>853</v>
      </c>
      <c r="EH27" s="1366"/>
      <c r="EI27" s="1366"/>
      <c r="EJ27" s="1366"/>
      <c r="EK27" s="1366"/>
      <c r="EL27" s="1366"/>
      <c r="EM27" s="1366"/>
      <c r="EN27" s="1366"/>
      <c r="EO27" s="1366"/>
      <c r="EP27" s="1366"/>
    </row>
    <row r="28" spans="2:149" ht="14" x14ac:dyDescent="0.3">
      <c r="B28" s="57"/>
      <c r="C28" s="49"/>
      <c r="D28" s="39" t="s">
        <v>644</v>
      </c>
      <c r="E28" s="1124">
        <f>ROUND((1.3*ValTimeAuto*0.91+ValTimeTruck*0.09)/5,2)*5</f>
        <v>22.85</v>
      </c>
      <c r="F28" s="63" t="s">
        <v>631</v>
      </c>
      <c r="G28" s="667"/>
      <c r="H28" s="751">
        <v>6</v>
      </c>
      <c r="I28" s="57"/>
      <c r="J28" s="49" t="s">
        <v>502</v>
      </c>
      <c r="K28" s="49"/>
      <c r="L28" s="898">
        <v>0.2</v>
      </c>
      <c r="M28" s="560">
        <v>10</v>
      </c>
      <c r="N28" s="901">
        <v>2000</v>
      </c>
      <c r="O28" s="901">
        <v>1800</v>
      </c>
      <c r="P28" s="667"/>
      <c r="Q28" s="751" t="s">
        <v>663</v>
      </c>
      <c r="R28" s="1105"/>
      <c r="S28" s="1114" t="s">
        <v>664</v>
      </c>
      <c r="T28" s="63"/>
      <c r="U28" s="63"/>
      <c r="V28" s="732"/>
      <c r="W28" s="1111"/>
      <c r="X28" s="751"/>
      <c r="Y28" s="57"/>
      <c r="Z28" s="782" t="s">
        <v>479</v>
      </c>
      <c r="AA28" s="787" t="b">
        <f t="shared" si="1"/>
        <v>0</v>
      </c>
      <c r="AB28" s="33" t="s">
        <v>444</v>
      </c>
      <c r="AC28" s="33" t="s">
        <v>26</v>
      </c>
      <c r="AD28" s="58"/>
      <c r="AF28" s="512"/>
      <c r="AG28" s="810">
        <v>15</v>
      </c>
      <c r="AH28" s="917">
        <v>0.94300000000000017</v>
      </c>
      <c r="AI28" s="918">
        <v>0.94300000000000017</v>
      </c>
      <c r="AJ28" s="918">
        <v>0.94300000000000017</v>
      </c>
      <c r="AK28" s="918">
        <v>0.94300000000000017</v>
      </c>
      <c r="AL28" s="918">
        <v>0.94300000000000017</v>
      </c>
      <c r="AM28" s="919">
        <v>0.94300000000000017</v>
      </c>
      <c r="AN28" s="506"/>
      <c r="AO28" s="275"/>
      <c r="AQ28" s="512"/>
      <c r="AR28" s="736">
        <v>21</v>
      </c>
      <c r="AS28" s="1071">
        <v>3.5400000000000001E-2</v>
      </c>
      <c r="AT28" s="1072">
        <v>9.4E-2</v>
      </c>
      <c r="AU28" s="506"/>
      <c r="AV28" s="275"/>
      <c r="AW28" s="275"/>
      <c r="AX28" s="46"/>
      <c r="AY28" s="26"/>
      <c r="AZ28" s="26"/>
      <c r="BA28" s="26"/>
      <c r="BB28" s="26"/>
      <c r="BC28" s="26"/>
      <c r="BD28" s="48"/>
      <c r="BF28" s="46"/>
      <c r="BG28" s="567" t="s">
        <v>397</v>
      </c>
      <c r="BH28" s="1619">
        <v>90000</v>
      </c>
      <c r="BI28" s="1620">
        <v>14200</v>
      </c>
      <c r="BJ28" s="1620">
        <v>4300</v>
      </c>
      <c r="BK28" s="1621">
        <v>156700</v>
      </c>
      <c r="BL28" s="48"/>
      <c r="BO28" s="46"/>
      <c r="BP28" s="810"/>
      <c r="BQ28" s="810">
        <v>20</v>
      </c>
      <c r="BR28" s="946">
        <v>1.1600999999999999</v>
      </c>
      <c r="BS28" s="1363">
        <v>362.58940000000001</v>
      </c>
      <c r="BT28" s="550">
        <v>7.2599999999999998E-2</v>
      </c>
      <c r="BU28" s="550">
        <v>2.5000000000000001E-3</v>
      </c>
      <c r="BV28" s="550">
        <v>3.5999999999999999E-3</v>
      </c>
      <c r="BW28" s="1318">
        <v>0.03</v>
      </c>
      <c r="BX28" s="945">
        <v>2.3E-3</v>
      </c>
      <c r="BY28" s="48"/>
      <c r="CA28" s="46"/>
      <c r="CB28" s="810"/>
      <c r="CC28" s="810">
        <v>20</v>
      </c>
      <c r="CD28" s="946">
        <v>0.58579999999999999</v>
      </c>
      <c r="CE28" s="1363">
        <v>254.4341</v>
      </c>
      <c r="CF28" s="550">
        <v>2.1000000000000001E-2</v>
      </c>
      <c r="CG28" s="550">
        <v>8.0000000000000004E-4</v>
      </c>
      <c r="CH28" s="550">
        <v>2.5000000000000001E-3</v>
      </c>
      <c r="CI28" s="1318">
        <v>1.01E-2</v>
      </c>
      <c r="CJ28" s="945">
        <v>6.9999999999999999E-4</v>
      </c>
      <c r="CK28" s="48"/>
      <c r="CN28" s="46"/>
      <c r="CO28" s="813" t="s">
        <v>409</v>
      </c>
      <c r="CP28" s="810">
        <v>2010</v>
      </c>
      <c r="CQ28" s="549">
        <v>8.1109406683496204</v>
      </c>
      <c r="CR28" s="950">
        <v>5150.4473244020091</v>
      </c>
      <c r="CS28" s="547">
        <v>96.114646919942999</v>
      </c>
      <c r="CT28" s="547">
        <v>2.0277351670874051</v>
      </c>
      <c r="CU28" s="547"/>
      <c r="CV28" s="547"/>
      <c r="CW28" s="548">
        <v>2.0277351670874051</v>
      </c>
      <c r="CX28" s="48"/>
      <c r="DA28" s="46"/>
      <c r="DB28" s="810">
        <v>375</v>
      </c>
      <c r="DC28" s="776">
        <v>750</v>
      </c>
      <c r="DD28" s="777">
        <v>750</v>
      </c>
      <c r="DE28" s="778">
        <v>750</v>
      </c>
      <c r="DF28" s="48"/>
      <c r="DH28" s="46"/>
      <c r="DI28" s="810">
        <v>375</v>
      </c>
      <c r="DJ28" s="1084">
        <v>0.95199999999999996</v>
      </c>
      <c r="DK28" s="1085">
        <v>0.78200000000000003</v>
      </c>
      <c r="DL28" s="48"/>
      <c r="DO28" s="46"/>
      <c r="DP28" s="1086">
        <v>0.03</v>
      </c>
      <c r="DQ28" s="1087">
        <v>0.58099999999999996</v>
      </c>
      <c r="DR28" s="1088">
        <v>0.78900000000000003</v>
      </c>
      <c r="DS28" s="48"/>
      <c r="EH28" s="1366"/>
      <c r="EI28" s="554" t="s">
        <v>827</v>
      </c>
      <c r="EJ28" s="1366"/>
      <c r="EK28" s="1366"/>
      <c r="EL28" s="1366"/>
      <c r="EM28" s="1366"/>
      <c r="EN28" s="1366"/>
      <c r="EO28" s="1366"/>
      <c r="EP28" s="1366"/>
    </row>
    <row r="29" spans="2:149" ht="14.5" thickBot="1" x14ac:dyDescent="0.35">
      <c r="B29" s="57"/>
      <c r="C29" s="49"/>
      <c r="D29" s="39" t="s">
        <v>153</v>
      </c>
      <c r="E29" s="1124">
        <f>ROUND(WageStatewide*0.5/5,2)*5</f>
        <v>16.45</v>
      </c>
      <c r="F29" s="63" t="s">
        <v>632</v>
      </c>
      <c r="G29" s="667"/>
      <c r="H29" s="751">
        <v>5</v>
      </c>
      <c r="I29" s="57"/>
      <c r="J29" s="49" t="s">
        <v>93</v>
      </c>
      <c r="K29" s="49"/>
      <c r="L29" s="898">
        <v>0.2</v>
      </c>
      <c r="M29" s="560">
        <v>10</v>
      </c>
      <c r="N29" s="901">
        <v>2000</v>
      </c>
      <c r="O29" s="901">
        <v>1800</v>
      </c>
      <c r="P29" s="667"/>
      <c r="Q29" s="751" t="s">
        <v>663</v>
      </c>
      <c r="R29" s="1105"/>
      <c r="S29" s="49"/>
      <c r="T29" s="677" t="s">
        <v>665</v>
      </c>
      <c r="U29" s="1125">
        <v>8.6999999999999993</v>
      </c>
      <c r="V29" s="732" t="s">
        <v>58</v>
      </c>
      <c r="W29" s="1111"/>
      <c r="X29" s="751">
        <v>20</v>
      </c>
      <c r="Y29" s="57"/>
      <c r="Z29" s="782" t="s">
        <v>480</v>
      </c>
      <c r="AA29" s="787" t="b">
        <f t="shared" si="1"/>
        <v>0</v>
      </c>
      <c r="AB29" s="33" t="s">
        <v>445</v>
      </c>
      <c r="AC29" s="33" t="s">
        <v>26</v>
      </c>
      <c r="AD29" s="58"/>
      <c r="AF29" s="512"/>
      <c r="AG29" s="810">
        <v>16</v>
      </c>
      <c r="AH29" s="917">
        <v>0.96400000000000019</v>
      </c>
      <c r="AI29" s="918">
        <v>0.96400000000000019</v>
      </c>
      <c r="AJ29" s="918">
        <v>0.96400000000000019</v>
      </c>
      <c r="AK29" s="918">
        <v>0.96400000000000019</v>
      </c>
      <c r="AL29" s="918">
        <v>0.96400000000000019</v>
      </c>
      <c r="AM29" s="919">
        <v>0.96400000000000019</v>
      </c>
      <c r="AN29" s="506"/>
      <c r="AO29" s="275"/>
      <c r="AQ29" s="512"/>
      <c r="AR29" s="736">
        <v>22</v>
      </c>
      <c r="AS29" s="1071">
        <v>3.5000000000000003E-2</v>
      </c>
      <c r="AT29" s="1072">
        <v>9.0899999999999995E-2</v>
      </c>
      <c r="AU29" s="506"/>
      <c r="AV29" s="275"/>
      <c r="AW29" s="275"/>
      <c r="AX29" s="46"/>
      <c r="AY29" s="522" t="s">
        <v>472</v>
      </c>
      <c r="AZ29" s="526"/>
      <c r="BA29" s="526"/>
      <c r="BB29" s="526"/>
      <c r="BC29" s="526"/>
      <c r="BD29" s="48"/>
      <c r="BF29" s="50"/>
      <c r="BG29" s="51"/>
      <c r="BH29" s="51"/>
      <c r="BI29" s="51"/>
      <c r="BJ29" s="51"/>
      <c r="BK29" s="51"/>
      <c r="BL29" s="52"/>
      <c r="BO29" s="46"/>
      <c r="BP29" s="810"/>
      <c r="BQ29" s="810">
        <v>21</v>
      </c>
      <c r="BR29" s="946">
        <v>1.1563000000000001</v>
      </c>
      <c r="BS29" s="1363">
        <v>356.25099999999998</v>
      </c>
      <c r="BT29" s="550">
        <v>7.2400000000000006E-2</v>
      </c>
      <c r="BU29" s="550">
        <v>2.3999999999999998E-3</v>
      </c>
      <c r="BV29" s="550">
        <v>3.5000000000000001E-3</v>
      </c>
      <c r="BW29" s="1318">
        <v>2.87E-2</v>
      </c>
      <c r="BX29" s="945">
        <v>2.2000000000000001E-3</v>
      </c>
      <c r="BY29" s="48"/>
      <c r="CA29" s="46"/>
      <c r="CB29" s="810"/>
      <c r="CC29" s="810">
        <v>21</v>
      </c>
      <c r="CD29" s="946">
        <v>0.59099999999999997</v>
      </c>
      <c r="CE29" s="1363">
        <v>253.23840000000001</v>
      </c>
      <c r="CF29" s="550">
        <v>2.1100000000000001E-2</v>
      </c>
      <c r="CG29" s="550">
        <v>8.0000000000000004E-4</v>
      </c>
      <c r="CH29" s="550">
        <v>2.5000000000000001E-3</v>
      </c>
      <c r="CI29" s="1318">
        <v>9.7999999999999997E-3</v>
      </c>
      <c r="CJ29" s="945">
        <v>6.9999999999999999E-4</v>
      </c>
      <c r="CK29" s="48"/>
      <c r="CN29" s="46"/>
      <c r="CO29" s="814"/>
      <c r="CP29" s="812">
        <v>2040</v>
      </c>
      <c r="CQ29" s="551">
        <v>0.40554703341748105</v>
      </c>
      <c r="CR29" s="951">
        <v>359.31467160788816</v>
      </c>
      <c r="CS29" s="552">
        <v>4.8665644010097724</v>
      </c>
      <c r="CT29" s="552">
        <v>0</v>
      </c>
      <c r="CU29" s="552"/>
      <c r="CV29" s="552"/>
      <c r="CW29" s="553">
        <v>0</v>
      </c>
      <c r="CX29" s="48"/>
      <c r="DA29" s="46"/>
      <c r="DB29" s="810">
        <v>400</v>
      </c>
      <c r="DC29" s="776">
        <v>750</v>
      </c>
      <c r="DD29" s="777">
        <v>750</v>
      </c>
      <c r="DE29" s="778">
        <v>750</v>
      </c>
      <c r="DF29" s="48"/>
      <c r="DH29" s="46"/>
      <c r="DI29" s="810">
        <v>400</v>
      </c>
      <c r="DJ29" s="1084">
        <v>0.94199999999999995</v>
      </c>
      <c r="DK29" s="1085">
        <v>0.75800000000000001</v>
      </c>
      <c r="DL29" s="48"/>
      <c r="DO29" s="46"/>
      <c r="DP29" s="1086">
        <v>3.2000000000000001E-2</v>
      </c>
      <c r="DQ29" s="1087">
        <v>0.54</v>
      </c>
      <c r="DR29" s="1088">
        <v>0.76100000000000001</v>
      </c>
      <c r="DS29" s="48"/>
      <c r="EH29" s="1366"/>
      <c r="EI29" s="554"/>
      <c r="EJ29" s="554" t="s">
        <v>826</v>
      </c>
      <c r="EK29" s="1366"/>
      <c r="EL29" s="1366"/>
      <c r="EM29" s="1366"/>
      <c r="EN29" s="1366"/>
    </row>
    <row r="30" spans="2:149" ht="15" thickTop="1" thickBot="1" x14ac:dyDescent="0.35">
      <c r="B30" s="57"/>
      <c r="C30" s="49"/>
      <c r="D30" s="39" t="s">
        <v>515</v>
      </c>
      <c r="E30" s="1117">
        <v>2</v>
      </c>
      <c r="F30" s="63" t="s">
        <v>514</v>
      </c>
      <c r="G30" s="667"/>
      <c r="H30" s="751">
        <v>5</v>
      </c>
      <c r="I30" s="57"/>
      <c r="J30" s="49" t="s">
        <v>83</v>
      </c>
      <c r="K30" s="49"/>
      <c r="L30" s="898">
        <v>0.05</v>
      </c>
      <c r="M30" s="560">
        <v>10</v>
      </c>
      <c r="N30" s="901">
        <v>800</v>
      </c>
      <c r="O30" s="901">
        <v>1400</v>
      </c>
      <c r="P30" s="667"/>
      <c r="Q30" s="751">
        <v>17</v>
      </c>
      <c r="R30" s="1105"/>
      <c r="S30" s="49"/>
      <c r="T30" s="677" t="s">
        <v>666</v>
      </c>
      <c r="U30" s="1125">
        <v>3.3</v>
      </c>
      <c r="V30" s="732" t="s">
        <v>58</v>
      </c>
      <c r="W30" s="1111"/>
      <c r="X30" s="751">
        <v>20</v>
      </c>
      <c r="Y30" s="57"/>
      <c r="Z30" s="782" t="s">
        <v>481</v>
      </c>
      <c r="AA30" s="787" t="b">
        <f t="shared" si="1"/>
        <v>0</v>
      </c>
      <c r="AB30" s="33" t="s">
        <v>446</v>
      </c>
      <c r="AC30" s="33" t="s">
        <v>26</v>
      </c>
      <c r="AD30" s="58"/>
      <c r="AF30" s="512"/>
      <c r="AG30" s="810">
        <v>17</v>
      </c>
      <c r="AH30" s="917">
        <v>0.9760000000000002</v>
      </c>
      <c r="AI30" s="918">
        <v>0.9760000000000002</v>
      </c>
      <c r="AJ30" s="918">
        <v>0.9760000000000002</v>
      </c>
      <c r="AK30" s="918">
        <v>0.9760000000000002</v>
      </c>
      <c r="AL30" s="918">
        <v>0.9760000000000002</v>
      </c>
      <c r="AM30" s="919">
        <v>0.9760000000000002</v>
      </c>
      <c r="AN30" s="506"/>
      <c r="AO30" s="275"/>
      <c r="AQ30" s="512"/>
      <c r="AR30" s="736">
        <v>23</v>
      </c>
      <c r="AS30" s="1071">
        <v>3.4500000000000003E-2</v>
      </c>
      <c r="AT30" s="1072">
        <v>8.7900000000000006E-2</v>
      </c>
      <c r="AU30" s="506"/>
      <c r="AV30" s="275"/>
      <c r="AW30" s="275"/>
      <c r="AX30" s="46"/>
      <c r="AY30" s="809" t="s">
        <v>875</v>
      </c>
      <c r="AZ30" s="526"/>
      <c r="BA30" s="526"/>
      <c r="BB30" s="526"/>
      <c r="BC30" s="526"/>
      <c r="BD30" s="48"/>
      <c r="BO30" s="46"/>
      <c r="BP30" s="810"/>
      <c r="BQ30" s="810">
        <v>22</v>
      </c>
      <c r="BR30" s="946">
        <v>1.1524000000000001</v>
      </c>
      <c r="BS30" s="1363">
        <v>350.02339999999998</v>
      </c>
      <c r="BT30" s="550">
        <v>7.2300000000000003E-2</v>
      </c>
      <c r="BU30" s="550">
        <v>2.2000000000000001E-3</v>
      </c>
      <c r="BV30" s="550">
        <v>3.5000000000000001E-3</v>
      </c>
      <c r="BW30" s="1318">
        <v>2.75E-2</v>
      </c>
      <c r="BX30" s="945">
        <v>2.0999999999999999E-3</v>
      </c>
      <c r="BY30" s="48"/>
      <c r="CA30" s="46"/>
      <c r="CB30" s="810"/>
      <c r="CC30" s="810">
        <v>22</v>
      </c>
      <c r="CD30" s="946">
        <v>0.59640000000000004</v>
      </c>
      <c r="CE30" s="1363">
        <v>252.04820000000001</v>
      </c>
      <c r="CF30" s="550">
        <v>2.1299999999999999E-2</v>
      </c>
      <c r="CG30" s="550">
        <v>6.9999999999999999E-4</v>
      </c>
      <c r="CH30" s="550">
        <v>2.5000000000000001E-3</v>
      </c>
      <c r="CI30" s="1318">
        <v>9.4000000000000004E-3</v>
      </c>
      <c r="CJ30" s="945">
        <v>6.9999999999999999E-4</v>
      </c>
      <c r="CK30" s="48"/>
      <c r="CN30" s="46"/>
      <c r="CO30" s="26"/>
      <c r="CP30" s="26"/>
      <c r="CQ30" s="26"/>
      <c r="CR30" s="26"/>
      <c r="CS30" s="26"/>
      <c r="CT30" s="26"/>
      <c r="CU30" s="26"/>
      <c r="CV30" s="26"/>
      <c r="CW30" s="26"/>
      <c r="CX30" s="48"/>
      <c r="DA30" s="46"/>
      <c r="DB30" s="810">
        <v>425</v>
      </c>
      <c r="DC30" s="776">
        <v>750</v>
      </c>
      <c r="DD30" s="777">
        <v>750</v>
      </c>
      <c r="DE30" s="778">
        <v>750</v>
      </c>
      <c r="DF30" s="48"/>
      <c r="DH30" s="46"/>
      <c r="DI30" s="810">
        <v>425</v>
      </c>
      <c r="DJ30" s="1084">
        <v>0.93200000000000005</v>
      </c>
      <c r="DK30" s="1085">
        <v>0.73399999999999999</v>
      </c>
      <c r="DL30" s="48"/>
      <c r="DO30" s="46"/>
      <c r="DP30" s="1086">
        <v>3.4000000000000002E-2</v>
      </c>
      <c r="DQ30" s="1087">
        <v>0.498</v>
      </c>
      <c r="DR30" s="1088">
        <v>0.73399999999999999</v>
      </c>
      <c r="DS30" s="48"/>
      <c r="EH30" s="1366"/>
    </row>
    <row r="31" spans="2:149" ht="14.5" thickTop="1" x14ac:dyDescent="0.3">
      <c r="B31" s="57"/>
      <c r="C31" s="49"/>
      <c r="D31" s="39" t="s">
        <v>516</v>
      </c>
      <c r="E31" s="1117">
        <v>3</v>
      </c>
      <c r="F31" s="63" t="s">
        <v>514</v>
      </c>
      <c r="G31" s="667"/>
      <c r="H31" s="751">
        <v>7</v>
      </c>
      <c r="I31" s="57"/>
      <c r="J31" s="49" t="s">
        <v>91</v>
      </c>
      <c r="K31" s="49"/>
      <c r="L31" s="898">
        <v>0.55000000000000004</v>
      </c>
      <c r="M31" s="560">
        <v>8</v>
      </c>
      <c r="N31" s="901">
        <v>1600</v>
      </c>
      <c r="O31" s="63"/>
      <c r="P31" s="667"/>
      <c r="Q31" s="751">
        <v>18</v>
      </c>
      <c r="R31" s="1105"/>
      <c r="S31" s="49"/>
      <c r="T31" s="677" t="s">
        <v>763</v>
      </c>
      <c r="U31" s="1350">
        <v>2.23</v>
      </c>
      <c r="V31" s="1351" t="s">
        <v>765</v>
      </c>
      <c r="W31" s="1111"/>
      <c r="X31" s="751">
        <v>19</v>
      </c>
      <c r="Y31" s="57"/>
      <c r="Z31" s="782" t="s">
        <v>482</v>
      </c>
      <c r="AA31" s="787" t="b">
        <f t="shared" si="1"/>
        <v>0</v>
      </c>
      <c r="AB31" s="33" t="s">
        <v>447</v>
      </c>
      <c r="AC31" s="33" t="s">
        <v>26</v>
      </c>
      <c r="AD31" s="58"/>
      <c r="AF31" s="512"/>
      <c r="AG31" s="810">
        <v>18</v>
      </c>
      <c r="AH31" s="917">
        <v>0.98500000000000021</v>
      </c>
      <c r="AI31" s="918">
        <v>0.98500000000000021</v>
      </c>
      <c r="AJ31" s="918">
        <v>0.98500000000000021</v>
      </c>
      <c r="AK31" s="918">
        <v>0.98500000000000021</v>
      </c>
      <c r="AL31" s="918">
        <v>0.98500000000000021</v>
      </c>
      <c r="AM31" s="919">
        <v>0.98500000000000021</v>
      </c>
      <c r="AN31" s="506"/>
      <c r="AO31" s="275"/>
      <c r="AQ31" s="512"/>
      <c r="AR31" s="736">
        <v>24</v>
      </c>
      <c r="AS31" s="1071">
        <v>3.4099999999999998E-2</v>
      </c>
      <c r="AT31" s="1072">
        <v>8.5000000000000006E-2</v>
      </c>
      <c r="AU31" s="506"/>
      <c r="AV31" s="275"/>
      <c r="AW31" s="275"/>
      <c r="AX31" s="46"/>
      <c r="AY31" s="26"/>
      <c r="AZ31" s="26"/>
      <c r="BA31" s="568"/>
      <c r="BB31" s="26"/>
      <c r="BC31" s="26"/>
      <c r="BD31" s="48"/>
      <c r="BF31" s="1352" t="s">
        <v>766</v>
      </c>
      <c r="BG31" s="1353"/>
      <c r="BO31" s="46"/>
      <c r="BP31" s="810"/>
      <c r="BQ31" s="810">
        <v>23</v>
      </c>
      <c r="BR31" s="946">
        <v>1.1486000000000001</v>
      </c>
      <c r="BS31" s="1363">
        <v>343.90460000000002</v>
      </c>
      <c r="BT31" s="550">
        <v>7.2099999999999997E-2</v>
      </c>
      <c r="BU31" s="550">
        <v>2.2000000000000001E-3</v>
      </c>
      <c r="BV31" s="550">
        <v>3.3999999999999998E-3</v>
      </c>
      <c r="BW31" s="1318">
        <v>2.63E-2</v>
      </c>
      <c r="BX31" s="945">
        <v>2E-3</v>
      </c>
      <c r="BY31" s="48"/>
      <c r="CA31" s="46"/>
      <c r="CB31" s="810"/>
      <c r="CC31" s="810">
        <v>23</v>
      </c>
      <c r="CD31" s="946">
        <v>0.6018</v>
      </c>
      <c r="CE31" s="1363">
        <v>250.86359999999999</v>
      </c>
      <c r="CF31" s="550">
        <v>2.1499999999999998E-2</v>
      </c>
      <c r="CG31" s="550">
        <v>6.9999999999999999E-4</v>
      </c>
      <c r="CH31" s="550">
        <v>2.5000000000000001E-3</v>
      </c>
      <c r="CI31" s="1318">
        <v>9.1000000000000004E-3</v>
      </c>
      <c r="CJ31" s="945">
        <v>5.9999999999999995E-4</v>
      </c>
      <c r="CK31" s="48"/>
      <c r="CN31" s="46"/>
      <c r="CO31" s="26"/>
      <c r="CP31" s="26"/>
      <c r="CQ31" s="26"/>
      <c r="CR31" s="26"/>
      <c r="CS31" s="26"/>
      <c r="CT31" s="26"/>
      <c r="CU31" s="26"/>
      <c r="CV31" s="26"/>
      <c r="CW31" s="26"/>
      <c r="CX31" s="48"/>
      <c r="DA31" s="46"/>
      <c r="DB31" s="812">
        <v>450</v>
      </c>
      <c r="DC31" s="779">
        <v>750</v>
      </c>
      <c r="DD31" s="780">
        <v>750</v>
      </c>
      <c r="DE31" s="781">
        <v>750</v>
      </c>
      <c r="DF31" s="48"/>
      <c r="DH31" s="46"/>
      <c r="DI31" s="812">
        <v>450</v>
      </c>
      <c r="DJ31" s="1132">
        <v>0.92300000000000004</v>
      </c>
      <c r="DK31" s="1133">
        <v>0.70899999999999996</v>
      </c>
      <c r="DL31" s="48"/>
      <c r="DO31" s="46"/>
      <c r="DP31" s="1086">
        <v>3.5999999999999997E-2</v>
      </c>
      <c r="DQ31" s="1087">
        <v>0.47599999999999998</v>
      </c>
      <c r="DR31" s="1088">
        <v>0.70599999999999996</v>
      </c>
      <c r="DS31" s="48"/>
      <c r="DV31" s="44"/>
      <c r="DW31" s="230"/>
      <c r="DX31" s="230"/>
      <c r="DY31" s="230"/>
      <c r="DZ31" s="53"/>
      <c r="EA31" s="53"/>
      <c r="EB31" s="53"/>
      <c r="EC31" s="45"/>
      <c r="EH31" s="1366"/>
    </row>
    <row r="32" spans="2:149" ht="14.5" thickBot="1" x14ac:dyDescent="0.35">
      <c r="B32" s="57"/>
      <c r="C32" s="49"/>
      <c r="D32" s="39" t="s">
        <v>588</v>
      </c>
      <c r="E32" s="1134">
        <v>0</v>
      </c>
      <c r="F32" s="63" t="s">
        <v>589</v>
      </c>
      <c r="G32" s="667"/>
      <c r="H32" s="751"/>
      <c r="I32" s="57"/>
      <c r="J32" s="49"/>
      <c r="K32" s="49"/>
      <c r="L32" s="33"/>
      <c r="M32" s="33"/>
      <c r="N32" s="63"/>
      <c r="O32" s="63"/>
      <c r="P32" s="667"/>
      <c r="Q32" s="751"/>
      <c r="R32" s="1105"/>
      <c r="S32" s="49"/>
      <c r="T32" s="677" t="s">
        <v>764</v>
      </c>
      <c r="U32" s="1350">
        <v>2.1</v>
      </c>
      <c r="V32" s="1351" t="s">
        <v>765</v>
      </c>
      <c r="W32" s="1111"/>
      <c r="X32" s="751">
        <v>19</v>
      </c>
      <c r="Y32" s="57"/>
      <c r="Z32" s="782" t="s">
        <v>483</v>
      </c>
      <c r="AA32" s="787" t="b">
        <f t="shared" si="1"/>
        <v>0</v>
      </c>
      <c r="AB32" s="33" t="s">
        <v>448</v>
      </c>
      <c r="AC32" s="33" t="s">
        <v>27</v>
      </c>
      <c r="AD32" s="58"/>
      <c r="AF32" s="512"/>
      <c r="AG32" s="810">
        <v>19</v>
      </c>
      <c r="AH32" s="917">
        <v>0.99100000000000021</v>
      </c>
      <c r="AI32" s="918">
        <v>0.99100000000000021</v>
      </c>
      <c r="AJ32" s="918">
        <v>0.99100000000000021</v>
      </c>
      <c r="AK32" s="918">
        <v>0.99100000000000021</v>
      </c>
      <c r="AL32" s="918">
        <v>0.99100000000000021</v>
      </c>
      <c r="AM32" s="919">
        <v>0.99100000000000021</v>
      </c>
      <c r="AN32" s="506"/>
      <c r="AO32" s="275"/>
      <c r="AQ32" s="512"/>
      <c r="AR32" s="736">
        <v>25</v>
      </c>
      <c r="AS32" s="1071">
        <v>3.3700000000000001E-2</v>
      </c>
      <c r="AT32" s="1072">
        <v>8.2199999999999995E-2</v>
      </c>
      <c r="AU32" s="506"/>
      <c r="AV32" s="275"/>
      <c r="AW32" s="275"/>
      <c r="AX32" s="46"/>
      <c r="AY32" s="563" t="s">
        <v>876</v>
      </c>
      <c r="AZ32" s="564" t="s">
        <v>65</v>
      </c>
      <c r="BA32" s="545" t="s">
        <v>466</v>
      </c>
      <c r="BB32" s="545" t="s">
        <v>64</v>
      </c>
      <c r="BC32" s="546" t="s">
        <v>591</v>
      </c>
      <c r="BD32" s="48"/>
      <c r="BF32" s="1355"/>
      <c r="BG32" s="1354" t="s">
        <v>843</v>
      </c>
      <c r="BO32" s="46"/>
      <c r="BP32" s="810"/>
      <c r="BQ32" s="810">
        <v>24</v>
      </c>
      <c r="BR32" s="946">
        <v>1.1448</v>
      </c>
      <c r="BS32" s="1363">
        <v>337.89280000000002</v>
      </c>
      <c r="BT32" s="550">
        <v>7.1900000000000006E-2</v>
      </c>
      <c r="BU32" s="550">
        <v>2.0999999999999999E-3</v>
      </c>
      <c r="BV32" s="550">
        <v>3.3E-3</v>
      </c>
      <c r="BW32" s="1318">
        <v>2.52E-2</v>
      </c>
      <c r="BX32" s="945">
        <v>1.9E-3</v>
      </c>
      <c r="BY32" s="48"/>
      <c r="CA32" s="46"/>
      <c r="CB32" s="810"/>
      <c r="CC32" s="810">
        <v>24</v>
      </c>
      <c r="CD32" s="946">
        <v>0.60719999999999996</v>
      </c>
      <c r="CE32" s="1363">
        <v>249.68469999999999</v>
      </c>
      <c r="CF32" s="550">
        <v>2.1700000000000001E-2</v>
      </c>
      <c r="CG32" s="550">
        <v>6.9999999999999999E-4</v>
      </c>
      <c r="CH32" s="550">
        <v>2.5000000000000001E-3</v>
      </c>
      <c r="CI32" s="1318">
        <v>8.8000000000000005E-3</v>
      </c>
      <c r="CJ32" s="945">
        <v>5.9999999999999995E-4</v>
      </c>
      <c r="CK32" s="48"/>
      <c r="CN32" s="46"/>
      <c r="CO32" s="522" t="s">
        <v>413</v>
      </c>
      <c r="CP32" s="526"/>
      <c r="CQ32" s="526"/>
      <c r="CR32" s="526"/>
      <c r="CS32" s="526"/>
      <c r="CT32" s="526"/>
      <c r="CU32" s="526"/>
      <c r="CV32" s="526"/>
      <c r="CW32" s="526"/>
      <c r="CX32" s="48"/>
      <c r="DA32" s="50"/>
      <c r="DB32" s="51"/>
      <c r="DC32" s="51"/>
      <c r="DD32" s="51"/>
      <c r="DE32" s="51"/>
      <c r="DF32" s="52"/>
      <c r="DH32" s="50"/>
      <c r="DI32" s="51"/>
      <c r="DJ32" s="51"/>
      <c r="DK32" s="51"/>
      <c r="DL32" s="52"/>
      <c r="DO32" s="46"/>
      <c r="DP32" s="1086">
        <v>3.7999999999999999E-2</v>
      </c>
      <c r="DQ32" s="1087">
        <v>0.47299999999999998</v>
      </c>
      <c r="DR32" s="1088">
        <v>0.67800000000000005</v>
      </c>
      <c r="DS32" s="48"/>
      <c r="DV32" s="46"/>
      <c r="DW32" s="522" t="s">
        <v>612</v>
      </c>
      <c r="DX32" s="522"/>
      <c r="DY32" s="522"/>
      <c r="DZ32" s="198"/>
      <c r="EA32" s="198"/>
      <c r="EB32" s="198"/>
      <c r="EC32" s="48"/>
      <c r="EH32" s="1366"/>
      <c r="EO32" s="1366"/>
      <c r="EP32" s="1366"/>
    </row>
    <row r="33" spans="2:145" ht="15" thickTop="1" thickBot="1" x14ac:dyDescent="0.35">
      <c r="B33" s="57"/>
      <c r="C33" s="49"/>
      <c r="D33" s="32"/>
      <c r="E33" s="33"/>
      <c r="F33" s="63"/>
      <c r="G33" s="667"/>
      <c r="H33" s="1135"/>
      <c r="I33" s="57"/>
      <c r="J33" s="49"/>
      <c r="K33" s="49"/>
      <c r="L33" s="33"/>
      <c r="M33" s="33"/>
      <c r="N33" s="679" t="s">
        <v>90</v>
      </c>
      <c r="O33" s="63"/>
      <c r="P33" s="667"/>
      <c r="Q33" s="751"/>
      <c r="R33" s="1105"/>
      <c r="S33" s="49"/>
      <c r="T33" s="677" t="s">
        <v>667</v>
      </c>
      <c r="U33" s="1131">
        <v>0.5</v>
      </c>
      <c r="V33" s="732" t="s">
        <v>668</v>
      </c>
      <c r="W33" s="1111"/>
      <c r="X33" s="751"/>
      <c r="Y33" s="57"/>
      <c r="Z33" s="782" t="s">
        <v>463</v>
      </c>
      <c r="AA33" s="787" t="b">
        <f t="shared" si="1"/>
        <v>0</v>
      </c>
      <c r="AB33" s="33" t="s">
        <v>464</v>
      </c>
      <c r="AC33" s="33" t="s">
        <v>28</v>
      </c>
      <c r="AD33" s="58"/>
      <c r="AF33" s="512"/>
      <c r="AG33" s="810">
        <v>20</v>
      </c>
      <c r="AH33" s="917">
        <v>0.99400000000000022</v>
      </c>
      <c r="AI33" s="918">
        <v>0.99400000000000022</v>
      </c>
      <c r="AJ33" s="918">
        <v>0.99400000000000022</v>
      </c>
      <c r="AK33" s="918">
        <v>0.99400000000000022</v>
      </c>
      <c r="AL33" s="918">
        <v>0.99400000000000022</v>
      </c>
      <c r="AM33" s="919">
        <v>0.99400000000000022</v>
      </c>
      <c r="AN33" s="506"/>
      <c r="AO33" s="275"/>
      <c r="AQ33" s="512"/>
      <c r="AR33" s="736">
        <v>26</v>
      </c>
      <c r="AS33" s="1071">
        <v>3.3399999999999999E-2</v>
      </c>
      <c r="AT33" s="1072">
        <v>8.1299999999999997E-2</v>
      </c>
      <c r="AU33" s="506"/>
      <c r="AV33" s="275"/>
      <c r="AW33" s="275"/>
      <c r="AX33" s="46"/>
      <c r="AY33" s="1636" t="s">
        <v>870</v>
      </c>
      <c r="AZ33" s="1136">
        <v>0.81</v>
      </c>
      <c r="BA33" s="1136">
        <v>0.82</v>
      </c>
      <c r="BB33" s="1136">
        <v>1.1200000000000001</v>
      </c>
      <c r="BC33" s="1137">
        <v>0.95</v>
      </c>
      <c r="BD33" s="48"/>
      <c r="BO33" s="46"/>
      <c r="BP33" s="810"/>
      <c r="BQ33" s="810">
        <v>25</v>
      </c>
      <c r="BR33" s="946">
        <v>1.141</v>
      </c>
      <c r="BS33" s="1363">
        <v>331.98610000000002</v>
      </c>
      <c r="BT33" s="550">
        <v>7.1800000000000003E-2</v>
      </c>
      <c r="BU33" s="550">
        <v>2E-3</v>
      </c>
      <c r="BV33" s="550">
        <v>3.3E-3</v>
      </c>
      <c r="BW33" s="1318">
        <v>2.4199999999999999E-2</v>
      </c>
      <c r="BX33" s="945">
        <v>1.8E-3</v>
      </c>
      <c r="BY33" s="48"/>
      <c r="CA33" s="46"/>
      <c r="CB33" s="810"/>
      <c r="CC33" s="810">
        <v>25</v>
      </c>
      <c r="CD33" s="946">
        <v>0.61270000000000002</v>
      </c>
      <c r="CE33" s="1363">
        <v>248.5112</v>
      </c>
      <c r="CF33" s="550">
        <v>2.18E-2</v>
      </c>
      <c r="CG33" s="550">
        <v>6.9999999999999999E-4</v>
      </c>
      <c r="CH33" s="550">
        <v>2.5000000000000001E-3</v>
      </c>
      <c r="CI33" s="1318">
        <v>8.5000000000000006E-3</v>
      </c>
      <c r="CJ33" s="945">
        <v>5.9999999999999995E-4</v>
      </c>
      <c r="CK33" s="48"/>
      <c r="CN33" s="46"/>
      <c r="CO33" s="809" t="s">
        <v>414</v>
      </c>
      <c r="CP33" s="526"/>
      <c r="CQ33" s="526"/>
      <c r="CR33" s="526"/>
      <c r="CS33" s="526"/>
      <c r="CT33" s="526"/>
      <c r="CU33" s="526"/>
      <c r="CV33" s="526"/>
      <c r="CW33" s="526"/>
      <c r="CX33" s="48"/>
      <c r="DO33" s="46"/>
      <c r="DP33" s="1086">
        <v>0.04</v>
      </c>
      <c r="DQ33" s="1087">
        <v>0.47099999999999997</v>
      </c>
      <c r="DR33" s="1088">
        <v>0.65</v>
      </c>
      <c r="DS33" s="48"/>
      <c r="DV33" s="46"/>
      <c r="DW33" s="809" t="s">
        <v>611</v>
      </c>
      <c r="DX33" s="809"/>
      <c r="DY33" s="809"/>
      <c r="DZ33" s="198"/>
      <c r="EA33" s="198"/>
      <c r="EB33" s="198"/>
      <c r="EC33" s="48"/>
      <c r="EH33" s="1366"/>
      <c r="EI33" s="1366"/>
      <c r="EJ33" s="1366"/>
      <c r="EK33" s="1366"/>
      <c r="EL33" s="1366"/>
      <c r="EM33" s="1366"/>
      <c r="EN33" s="1366"/>
    </row>
    <row r="34" spans="2:145" ht="16" thickTop="1" x14ac:dyDescent="0.35">
      <c r="B34" s="79" t="s">
        <v>530</v>
      </c>
      <c r="C34" s="49"/>
      <c r="D34" s="32"/>
      <c r="E34" s="33"/>
      <c r="F34" s="63"/>
      <c r="G34" s="667"/>
      <c r="H34" s="1135"/>
      <c r="I34" s="57"/>
      <c r="J34" s="208" t="s">
        <v>94</v>
      </c>
      <c r="K34" s="33"/>
      <c r="L34" s="679" t="s">
        <v>84</v>
      </c>
      <c r="M34" s="679" t="s">
        <v>89</v>
      </c>
      <c r="N34" s="679" t="s">
        <v>95</v>
      </c>
      <c r="O34" s="63"/>
      <c r="P34" s="667"/>
      <c r="Q34" s="751"/>
      <c r="R34" s="1105"/>
      <c r="S34" s="49"/>
      <c r="T34" s="677" t="s">
        <v>669</v>
      </c>
      <c r="U34" s="1131">
        <v>0.5</v>
      </c>
      <c r="V34" s="732" t="s">
        <v>668</v>
      </c>
      <c r="W34" s="1111"/>
      <c r="X34" s="751"/>
      <c r="Y34" s="57"/>
      <c r="Z34" s="782" t="s">
        <v>45</v>
      </c>
      <c r="AA34" s="787" t="b">
        <f t="shared" si="1"/>
        <v>0</v>
      </c>
      <c r="AB34" s="33" t="s">
        <v>46</v>
      </c>
      <c r="AC34" s="33" t="s">
        <v>28</v>
      </c>
      <c r="AD34" s="58"/>
      <c r="AF34" s="512"/>
      <c r="AG34" s="810">
        <v>21</v>
      </c>
      <c r="AH34" s="917">
        <v>0.99700000000000022</v>
      </c>
      <c r="AI34" s="918">
        <v>0.99700000000000022</v>
      </c>
      <c r="AJ34" s="918">
        <v>0.99700000000000022</v>
      </c>
      <c r="AK34" s="918">
        <v>0.99700000000000022</v>
      </c>
      <c r="AL34" s="918">
        <v>0.99700000000000022</v>
      </c>
      <c r="AM34" s="919">
        <v>0.99700000000000022</v>
      </c>
      <c r="AN34" s="506"/>
      <c r="AO34" s="275"/>
      <c r="AQ34" s="512"/>
      <c r="AR34" s="736">
        <v>27</v>
      </c>
      <c r="AS34" s="1071">
        <v>3.3099999999999997E-2</v>
      </c>
      <c r="AT34" s="1072">
        <v>8.0299999999999996E-2</v>
      </c>
      <c r="AU34" s="506"/>
      <c r="AV34" s="275"/>
      <c r="AW34" s="275"/>
      <c r="AX34" s="46"/>
      <c r="AY34" s="1637" t="s">
        <v>871</v>
      </c>
      <c r="AZ34" s="1138">
        <v>1.44</v>
      </c>
      <c r="BA34" s="1138">
        <v>1.43</v>
      </c>
      <c r="BB34" s="1138">
        <v>1.5</v>
      </c>
      <c r="BC34" s="1139">
        <v>1.44</v>
      </c>
      <c r="BD34" s="48"/>
      <c r="BF34" s="44"/>
      <c r="BG34" s="53"/>
      <c r="BH34" s="53"/>
      <c r="BI34" s="53"/>
      <c r="BJ34" s="53"/>
      <c r="BK34" s="53"/>
      <c r="BL34" s="45"/>
      <c r="BO34" s="46"/>
      <c r="BP34" s="810"/>
      <c r="BQ34" s="810">
        <v>26</v>
      </c>
      <c r="BR34" s="946">
        <v>1.1286</v>
      </c>
      <c r="BS34" s="1363">
        <v>327.27409999999998</v>
      </c>
      <c r="BT34" s="550">
        <v>7.1099999999999997E-2</v>
      </c>
      <c r="BU34" s="550">
        <v>1.9E-3</v>
      </c>
      <c r="BV34" s="550">
        <v>3.2000000000000002E-3</v>
      </c>
      <c r="BW34" s="1318">
        <v>2.3199999999999998E-2</v>
      </c>
      <c r="BX34" s="945">
        <v>1.6999999999999999E-3</v>
      </c>
      <c r="BY34" s="48"/>
      <c r="CA34" s="46"/>
      <c r="CB34" s="810"/>
      <c r="CC34" s="810">
        <v>26</v>
      </c>
      <c r="CD34" s="946">
        <v>0.61439999999999995</v>
      </c>
      <c r="CE34" s="1363">
        <v>247.79</v>
      </c>
      <c r="CF34" s="550">
        <v>2.1999999999999999E-2</v>
      </c>
      <c r="CG34" s="550">
        <v>5.9999999999999995E-4</v>
      </c>
      <c r="CH34" s="550">
        <v>2.3999999999999998E-3</v>
      </c>
      <c r="CI34" s="1318">
        <v>8.3000000000000001E-3</v>
      </c>
      <c r="CJ34" s="945">
        <v>5.9999999999999995E-4</v>
      </c>
      <c r="CK34" s="48"/>
      <c r="CN34" s="46"/>
      <c r="CO34" s="527"/>
      <c r="CP34" s="199"/>
      <c r="CQ34" s="199"/>
      <c r="CR34" s="199"/>
      <c r="CS34" s="199"/>
      <c r="CT34" s="199"/>
      <c r="CU34" s="199"/>
      <c r="CV34" s="199"/>
      <c r="CW34" s="199"/>
      <c r="CX34" s="48"/>
      <c r="DA34" s="554" t="s">
        <v>415</v>
      </c>
      <c r="DH34" s="554" t="s">
        <v>416</v>
      </c>
      <c r="DO34" s="46"/>
      <c r="DP34" s="1086">
        <v>4.2000000000000003E-2</v>
      </c>
      <c r="DQ34" s="1087">
        <v>0.46800000000000003</v>
      </c>
      <c r="DR34" s="1088">
        <v>0.623</v>
      </c>
      <c r="DS34" s="48"/>
      <c r="DV34" s="46"/>
      <c r="DW34" s="524"/>
      <c r="DX34" s="524"/>
      <c r="DY34" s="524"/>
      <c r="DZ34" s="26"/>
      <c r="EA34" s="26"/>
      <c r="EB34" s="26"/>
      <c r="EC34" s="48"/>
    </row>
    <row r="35" spans="2:145" ht="16" x14ac:dyDescent="0.4">
      <c r="B35" s="79"/>
      <c r="C35" s="49"/>
      <c r="D35" s="32"/>
      <c r="E35" s="33"/>
      <c r="F35" s="63"/>
      <c r="G35" s="667"/>
      <c r="H35" s="1135"/>
      <c r="I35" s="57"/>
      <c r="J35" s="49"/>
      <c r="K35" s="677" t="s">
        <v>0</v>
      </c>
      <c r="L35" s="899">
        <f>IF(RoadTypeNB="C",L30,IF(RoadTypeNB="E",L29,L28))</f>
        <v>0.2</v>
      </c>
      <c r="M35" s="900">
        <f>IF(RoadTypeNB="C",M30,IF(RoadTypeNB="E",M29,M28))</f>
        <v>10</v>
      </c>
      <c r="N35" s="902">
        <f>IF(RoadTypeNB="C",N30,IF(RoadTypeNB="E",N29,N28))</f>
        <v>2000</v>
      </c>
      <c r="O35" s="63"/>
      <c r="P35" s="667"/>
      <c r="Q35" s="751"/>
      <c r="R35" s="1105"/>
      <c r="S35" s="49"/>
      <c r="T35" s="1106"/>
      <c r="U35" s="63"/>
      <c r="V35" s="732"/>
      <c r="W35" s="1111"/>
      <c r="X35" s="751"/>
      <c r="Y35" s="57"/>
      <c r="Z35" s="33"/>
      <c r="AA35" s="1107"/>
      <c r="AB35" s="33"/>
      <c r="AC35" s="33"/>
      <c r="AD35" s="58"/>
      <c r="AF35" s="512"/>
      <c r="AG35" s="810">
        <v>22</v>
      </c>
      <c r="AH35" s="917">
        <v>0.99800000000000022</v>
      </c>
      <c r="AI35" s="918">
        <v>0.99800000000000022</v>
      </c>
      <c r="AJ35" s="918">
        <v>0.99800000000000022</v>
      </c>
      <c r="AK35" s="918">
        <v>0.99800000000000022</v>
      </c>
      <c r="AL35" s="918">
        <v>0.99800000000000022</v>
      </c>
      <c r="AM35" s="919">
        <v>0.99800000000000022</v>
      </c>
      <c r="AN35" s="506"/>
      <c r="AO35" s="275"/>
      <c r="AQ35" s="512"/>
      <c r="AR35" s="736">
        <v>28</v>
      </c>
      <c r="AS35" s="1071">
        <v>3.2800000000000003E-2</v>
      </c>
      <c r="AT35" s="1072">
        <v>7.9399999999999998E-2</v>
      </c>
      <c r="AU35" s="506"/>
      <c r="AV35" s="275"/>
      <c r="AW35" s="275"/>
      <c r="AX35" s="46"/>
      <c r="AY35" s="26"/>
      <c r="AZ35" s="26"/>
      <c r="BA35" s="26"/>
      <c r="BB35" s="26"/>
      <c r="BC35" s="26"/>
      <c r="BD35" s="48"/>
      <c r="BF35" s="46"/>
      <c r="BG35" s="522" t="s">
        <v>760</v>
      </c>
      <c r="BH35" s="526"/>
      <c r="BI35" s="526"/>
      <c r="BJ35" s="526"/>
      <c r="BK35" s="526"/>
      <c r="BL35" s="48"/>
      <c r="BO35" s="46"/>
      <c r="BP35" s="810"/>
      <c r="BQ35" s="810">
        <v>27</v>
      </c>
      <c r="BR35" s="946">
        <v>1.1164000000000001</v>
      </c>
      <c r="BS35" s="1363">
        <v>322.62889999999999</v>
      </c>
      <c r="BT35" s="550">
        <v>7.0300000000000001E-2</v>
      </c>
      <c r="BU35" s="550">
        <v>1.8E-3</v>
      </c>
      <c r="BV35" s="550">
        <v>3.2000000000000002E-3</v>
      </c>
      <c r="BW35" s="1318">
        <v>2.2200000000000001E-2</v>
      </c>
      <c r="BX35" s="945">
        <v>1.6999999999999999E-3</v>
      </c>
      <c r="BY35" s="48"/>
      <c r="CA35" s="46"/>
      <c r="CB35" s="810"/>
      <c r="CC35" s="810">
        <v>27</v>
      </c>
      <c r="CD35" s="946">
        <v>0.61609999999999998</v>
      </c>
      <c r="CE35" s="1363">
        <v>247.07089999999999</v>
      </c>
      <c r="CF35" s="550">
        <v>2.2100000000000002E-2</v>
      </c>
      <c r="CG35" s="550">
        <v>5.9999999999999995E-4</v>
      </c>
      <c r="CH35" s="550">
        <v>2.3999999999999998E-3</v>
      </c>
      <c r="CI35" s="1318">
        <v>8.0000000000000002E-3</v>
      </c>
      <c r="CJ35" s="945">
        <v>5.9999999999999995E-4</v>
      </c>
      <c r="CK35" s="48"/>
      <c r="CN35" s="46"/>
      <c r="CO35" s="525" t="s">
        <v>243</v>
      </c>
      <c r="CP35" s="525" t="s">
        <v>135</v>
      </c>
      <c r="CQ35" s="544" t="s">
        <v>380</v>
      </c>
      <c r="CR35" s="564" t="s">
        <v>10</v>
      </c>
      <c r="CS35" s="545" t="s">
        <v>381</v>
      </c>
      <c r="CT35" s="545" t="s">
        <v>382</v>
      </c>
      <c r="CU35" s="545" t="s">
        <v>383</v>
      </c>
      <c r="CV35" s="545" t="s">
        <v>384</v>
      </c>
      <c r="CW35" s="546" t="s">
        <v>747</v>
      </c>
      <c r="CX35" s="48"/>
      <c r="DO35" s="46"/>
      <c r="DP35" s="1086">
        <v>4.3999999999999997E-2</v>
      </c>
      <c r="DQ35" s="1087">
        <v>0.46600000000000003</v>
      </c>
      <c r="DR35" s="1088">
        <v>0.59499999999999997</v>
      </c>
      <c r="DS35" s="48"/>
      <c r="DV35" s="46"/>
      <c r="DW35" s="860"/>
      <c r="DX35" s="55"/>
      <c r="DY35" s="56"/>
      <c r="DZ35" s="807" t="s">
        <v>321</v>
      </c>
      <c r="EA35" s="863" t="s">
        <v>603</v>
      </c>
      <c r="EB35" s="885"/>
      <c r="EC35" s="48"/>
    </row>
    <row r="36" spans="2:145" ht="16" thickBot="1" x14ac:dyDescent="0.4">
      <c r="B36" s="79"/>
      <c r="C36" s="49" t="s">
        <v>626</v>
      </c>
      <c r="D36" s="32"/>
      <c r="E36" s="33"/>
      <c r="F36" s="63"/>
      <c r="G36" s="667"/>
      <c r="H36" s="1135"/>
      <c r="I36" s="57"/>
      <c r="J36" s="49"/>
      <c r="K36" s="677" t="s">
        <v>1</v>
      </c>
      <c r="L36" s="899">
        <f>IF(RoadTypeB="C",L30,IF(RoadTypeB="E",L29,L28))</f>
        <v>0.2</v>
      </c>
      <c r="M36" s="900">
        <f>IF(RoadTypeB="C",M30,IF(RoadTypeB="E",M29,M28))</f>
        <v>10</v>
      </c>
      <c r="N36" s="902">
        <f>IF(RoadTypeB="C",N30,IF(RoadTypeB="E",N29,N28))</f>
        <v>2000</v>
      </c>
      <c r="O36" s="63"/>
      <c r="P36" s="667"/>
      <c r="Q36" s="751"/>
      <c r="R36" s="1140"/>
      <c r="S36" s="1114" t="s">
        <v>670</v>
      </c>
      <c r="T36" s="63"/>
      <c r="U36" s="63"/>
      <c r="V36" s="732"/>
      <c r="W36" s="1141"/>
      <c r="X36" s="751"/>
      <c r="Y36" s="57"/>
      <c r="Z36" s="49" t="s">
        <v>459</v>
      </c>
      <c r="AA36" s="63"/>
      <c r="AB36" s="33"/>
      <c r="AC36" s="33" t="s">
        <v>13</v>
      </c>
      <c r="AD36" s="58"/>
      <c r="AF36" s="512"/>
      <c r="AG36" s="810">
        <v>23</v>
      </c>
      <c r="AH36" s="917">
        <v>0.99900000000000022</v>
      </c>
      <c r="AI36" s="918">
        <v>0.99900000000000022</v>
      </c>
      <c r="AJ36" s="918">
        <v>0.99900000000000022</v>
      </c>
      <c r="AK36" s="918">
        <v>0.99900000000000022</v>
      </c>
      <c r="AL36" s="918">
        <v>0.99900000000000022</v>
      </c>
      <c r="AM36" s="919">
        <v>0.99900000000000022</v>
      </c>
      <c r="AN36" s="506"/>
      <c r="AO36" s="275"/>
      <c r="AQ36" s="512"/>
      <c r="AR36" s="736">
        <v>29</v>
      </c>
      <c r="AS36" s="1071">
        <v>3.2500000000000001E-2</v>
      </c>
      <c r="AT36" s="1072">
        <v>7.85E-2</v>
      </c>
      <c r="AU36" s="506"/>
      <c r="AV36" s="275"/>
      <c r="AW36" s="275"/>
      <c r="AX36" s="46"/>
      <c r="AY36" s="26"/>
      <c r="AZ36" s="26"/>
      <c r="BA36" s="26"/>
      <c r="BB36" s="26"/>
      <c r="BC36" s="26"/>
      <c r="BD36" s="48"/>
      <c r="BF36" s="46"/>
      <c r="BG36" s="809" t="s">
        <v>419</v>
      </c>
      <c r="BH36" s="526"/>
      <c r="BI36" s="526"/>
      <c r="BJ36" s="526"/>
      <c r="BK36" s="526"/>
      <c r="BL36" s="48"/>
      <c r="BO36" s="46"/>
      <c r="BP36" s="810"/>
      <c r="BQ36" s="810">
        <v>28</v>
      </c>
      <c r="BR36" s="946">
        <v>1.1042000000000001</v>
      </c>
      <c r="BS36" s="1363">
        <v>318.04969999999997</v>
      </c>
      <c r="BT36" s="550">
        <v>6.9599999999999995E-2</v>
      </c>
      <c r="BU36" s="550">
        <v>1.6999999999999999E-3</v>
      </c>
      <c r="BV36" s="550">
        <v>3.0999999999999999E-3</v>
      </c>
      <c r="BW36" s="1318">
        <v>2.1299999999999999E-2</v>
      </c>
      <c r="BX36" s="945">
        <v>1.6000000000000001E-3</v>
      </c>
      <c r="BY36" s="48"/>
      <c r="CA36" s="46"/>
      <c r="CB36" s="810"/>
      <c r="CC36" s="810">
        <v>28</v>
      </c>
      <c r="CD36" s="946">
        <v>0.61780000000000002</v>
      </c>
      <c r="CE36" s="1363">
        <v>246.35390000000001</v>
      </c>
      <c r="CF36" s="550">
        <v>2.2200000000000001E-2</v>
      </c>
      <c r="CG36" s="550">
        <v>5.9999999999999995E-4</v>
      </c>
      <c r="CH36" s="550">
        <v>2.3999999999999998E-3</v>
      </c>
      <c r="CI36" s="1318">
        <v>7.7999999999999996E-3</v>
      </c>
      <c r="CJ36" s="945">
        <v>5.9999999999999995E-4</v>
      </c>
      <c r="CK36" s="48"/>
      <c r="CN36" s="46"/>
      <c r="CO36" s="813" t="s">
        <v>312</v>
      </c>
      <c r="CP36" s="810">
        <v>2021</v>
      </c>
      <c r="CQ36" s="1340">
        <v>0.30793468022032555</v>
      </c>
      <c r="CR36" s="952">
        <v>1241.7336277075171</v>
      </c>
      <c r="CS36" s="547">
        <v>0.38673042777796213</v>
      </c>
      <c r="CT36" s="547">
        <v>6.6299535089004408E-2</v>
      </c>
      <c r="CU36" s="547">
        <v>8.7287146098541088E-2</v>
      </c>
      <c r="CV36" s="547">
        <v>2.548694683471648E-2</v>
      </c>
      <c r="CW36" s="548">
        <v>6.433220275077213E-2</v>
      </c>
      <c r="CX36" s="48"/>
      <c r="DO36" s="46"/>
      <c r="DP36" s="1086">
        <v>4.5999999999999999E-2</v>
      </c>
      <c r="DQ36" s="1087">
        <v>0.46300000000000002</v>
      </c>
      <c r="DR36" s="1088">
        <v>0.56699999999999995</v>
      </c>
      <c r="DS36" s="48"/>
      <c r="DV36" s="46"/>
      <c r="DW36" s="884" t="s">
        <v>609</v>
      </c>
      <c r="DX36" s="61"/>
      <c r="DY36" s="62"/>
      <c r="DZ36" s="805" t="s">
        <v>328</v>
      </c>
      <c r="EA36" s="862" t="s">
        <v>604</v>
      </c>
      <c r="EB36" s="806" t="s">
        <v>605</v>
      </c>
      <c r="EC36" s="48"/>
    </row>
    <row r="37" spans="2:145" ht="16" thickTop="1" x14ac:dyDescent="0.35">
      <c r="B37" s="79"/>
      <c r="C37" s="49"/>
      <c r="D37" s="27" t="s">
        <v>624</v>
      </c>
      <c r="E37" s="1112">
        <f>AVERAGE(3.227,4.39)*ValueUpdate</f>
        <v>3.8084999999999996</v>
      </c>
      <c r="F37" s="63" t="s">
        <v>417</v>
      </c>
      <c r="G37" s="667"/>
      <c r="H37" s="751">
        <v>8</v>
      </c>
      <c r="I37" s="59"/>
      <c r="J37" s="61"/>
      <c r="K37" s="61"/>
      <c r="L37" s="61"/>
      <c r="M37" s="61"/>
      <c r="N37" s="61"/>
      <c r="O37" s="61"/>
      <c r="P37" s="668"/>
      <c r="Q37" s="751"/>
      <c r="R37" s="1140"/>
      <c r="S37" s="49"/>
      <c r="T37" s="678" t="s">
        <v>671</v>
      </c>
      <c r="U37" s="1142">
        <f>ValTimeAuto</f>
        <v>16.45</v>
      </c>
      <c r="V37" s="732" t="s">
        <v>632</v>
      </c>
      <c r="W37" s="1141"/>
      <c r="X37" s="751"/>
      <c r="Y37" s="57"/>
      <c r="Z37" s="799" t="s">
        <v>484</v>
      </c>
      <c r="AA37" s="787" t="b">
        <f t="shared" ref="AA37:AA44" si="2">IF(ProjType=Z37,TRUE)</f>
        <v>0</v>
      </c>
      <c r="AB37" s="33" t="s">
        <v>455</v>
      </c>
      <c r="AC37" s="33" t="s">
        <v>31</v>
      </c>
      <c r="AD37" s="58"/>
      <c r="AF37" s="512"/>
      <c r="AG37" s="812">
        <v>24</v>
      </c>
      <c r="AH37" s="920">
        <v>1.0000000000000002</v>
      </c>
      <c r="AI37" s="921">
        <v>1.0000000000000002</v>
      </c>
      <c r="AJ37" s="921">
        <v>1.0000000000000002</v>
      </c>
      <c r="AK37" s="921">
        <v>1.0000000000000002</v>
      </c>
      <c r="AL37" s="921">
        <v>1.0000000000000002</v>
      </c>
      <c r="AM37" s="922">
        <v>1.0000000000000002</v>
      </c>
      <c r="AN37" s="506"/>
      <c r="AO37" s="275"/>
      <c r="AQ37" s="512"/>
      <c r="AR37" s="736">
        <v>30</v>
      </c>
      <c r="AS37" s="1071">
        <v>3.2199999999999999E-2</v>
      </c>
      <c r="AT37" s="1072">
        <v>7.7600000000000002E-2</v>
      </c>
      <c r="AU37" s="506"/>
      <c r="AV37" s="275"/>
      <c r="AW37" s="275"/>
      <c r="AX37" s="46"/>
      <c r="AY37" s="522" t="s">
        <v>473</v>
      </c>
      <c r="AZ37" s="526"/>
      <c r="BA37" s="526"/>
      <c r="BB37" s="526"/>
      <c r="BC37" s="526"/>
      <c r="BD37" s="48"/>
      <c r="BF37" s="46"/>
      <c r="BG37" s="26"/>
      <c r="BH37" s="26"/>
      <c r="BI37" s="568"/>
      <c r="BJ37" s="26"/>
      <c r="BK37" s="26"/>
      <c r="BL37" s="48"/>
      <c r="BO37" s="46"/>
      <c r="BP37" s="810"/>
      <c r="BQ37" s="810">
        <v>29</v>
      </c>
      <c r="BR37" s="946">
        <v>1.0922000000000001</v>
      </c>
      <c r="BS37" s="1363">
        <v>313.53550000000001</v>
      </c>
      <c r="BT37" s="550">
        <v>6.8900000000000003E-2</v>
      </c>
      <c r="BU37" s="550">
        <v>1.6999999999999999E-3</v>
      </c>
      <c r="BV37" s="550">
        <v>3.0999999999999999E-3</v>
      </c>
      <c r="BW37" s="1318">
        <v>2.0400000000000001E-2</v>
      </c>
      <c r="BX37" s="945">
        <v>1.5E-3</v>
      </c>
      <c r="BY37" s="48"/>
      <c r="CA37" s="46"/>
      <c r="CB37" s="810"/>
      <c r="CC37" s="810">
        <v>29</v>
      </c>
      <c r="CD37" s="946">
        <v>0.61950000000000005</v>
      </c>
      <c r="CE37" s="1363">
        <v>245.63890000000001</v>
      </c>
      <c r="CF37" s="550">
        <v>2.24E-2</v>
      </c>
      <c r="CG37" s="550">
        <v>5.9999999999999995E-4</v>
      </c>
      <c r="CH37" s="550">
        <v>2.3999999999999998E-3</v>
      </c>
      <c r="CI37" s="1318">
        <v>7.6E-3</v>
      </c>
      <c r="CJ37" s="945">
        <v>5.0000000000000001E-4</v>
      </c>
      <c r="CK37" s="48"/>
      <c r="CN37" s="46"/>
      <c r="CO37" s="814"/>
      <c r="CP37" s="812">
        <v>2022</v>
      </c>
      <c r="CQ37" s="1341">
        <v>0.30793468022032555</v>
      </c>
      <c r="CR37" s="953">
        <v>1241.7336277075171</v>
      </c>
      <c r="CS37" s="552">
        <v>0.38673042777796213</v>
      </c>
      <c r="CT37" s="552">
        <v>6.6299535089004408E-2</v>
      </c>
      <c r="CU37" s="552">
        <v>8.7287146098541088E-2</v>
      </c>
      <c r="CV37" s="552">
        <v>2.548694683471648E-2</v>
      </c>
      <c r="CW37" s="553">
        <v>6.433220275077213E-2</v>
      </c>
      <c r="CX37" s="48"/>
      <c r="DA37" s="44"/>
      <c r="DB37" s="230"/>
      <c r="DC37" s="230"/>
      <c r="DD37" s="230"/>
      <c r="DE37" s="45"/>
      <c r="DF37" s="46"/>
      <c r="DH37" s="44"/>
      <c r="DI37" s="230"/>
      <c r="DJ37" s="230"/>
      <c r="DK37" s="230"/>
      <c r="DL37" s="45"/>
      <c r="DO37" s="46"/>
      <c r="DP37" s="1086">
        <v>4.8000000000000001E-2</v>
      </c>
      <c r="DQ37" s="1087">
        <v>0.46</v>
      </c>
      <c r="DR37" s="1088">
        <v>0.54</v>
      </c>
      <c r="DS37" s="48"/>
      <c r="DV37" s="46"/>
      <c r="DW37" s="1143" t="s">
        <v>606</v>
      </c>
      <c r="DX37" s="26"/>
      <c r="DY37" s="26"/>
      <c r="DZ37" s="1144">
        <v>0.15</v>
      </c>
      <c r="EA37" s="1145">
        <v>0.02</v>
      </c>
      <c r="EB37" s="1146">
        <v>0.08</v>
      </c>
      <c r="EC37" s="48"/>
    </row>
    <row r="38" spans="2:145" ht="16" thickBot="1" x14ac:dyDescent="0.4">
      <c r="B38" s="79"/>
      <c r="C38" s="49"/>
      <c r="D38" s="39" t="s">
        <v>625</v>
      </c>
      <c r="E38" s="1112">
        <f>AVERAGE(4.372,3.366)*ValueUpdate</f>
        <v>3.8689999999999998</v>
      </c>
      <c r="F38" s="63" t="s">
        <v>417</v>
      </c>
      <c r="G38" s="667"/>
      <c r="H38" s="751">
        <v>8</v>
      </c>
      <c r="R38" s="1140"/>
      <c r="S38" s="49"/>
      <c r="T38" s="677" t="s">
        <v>672</v>
      </c>
      <c r="U38" s="1142">
        <f>ValTimeAuto</f>
        <v>16.45</v>
      </c>
      <c r="V38" s="732" t="s">
        <v>632</v>
      </c>
      <c r="W38" s="1141"/>
      <c r="X38" s="554"/>
      <c r="Y38" s="57"/>
      <c r="Z38" s="782" t="s">
        <v>485</v>
      </c>
      <c r="AA38" s="787" t="b">
        <f t="shared" si="2"/>
        <v>0</v>
      </c>
      <c r="AB38" s="33" t="s">
        <v>456</v>
      </c>
      <c r="AC38" s="33" t="s">
        <v>31</v>
      </c>
      <c r="AD38" s="58"/>
      <c r="AF38" s="50"/>
      <c r="AG38" s="51"/>
      <c r="AH38" s="51"/>
      <c r="AI38" s="51"/>
      <c r="AJ38" s="51"/>
      <c r="AK38" s="51"/>
      <c r="AL38" s="51"/>
      <c r="AM38" s="51"/>
      <c r="AN38" s="52"/>
      <c r="AO38" s="26"/>
      <c r="AQ38" s="512"/>
      <c r="AR38" s="736">
        <v>31</v>
      </c>
      <c r="AS38" s="1071">
        <v>3.1699999999999999E-2</v>
      </c>
      <c r="AT38" s="1072">
        <v>7.7799999999999994E-2</v>
      </c>
      <c r="AU38" s="506"/>
      <c r="AV38" s="275"/>
      <c r="AW38" s="275"/>
      <c r="AX38" s="46"/>
      <c r="AY38" s="809" t="s">
        <v>875</v>
      </c>
      <c r="AZ38" s="526"/>
      <c r="BA38" s="526"/>
      <c r="BB38" s="526"/>
      <c r="BC38" s="526"/>
      <c r="BD38" s="48"/>
      <c r="BF38" s="46"/>
      <c r="BG38" s="563" t="s">
        <v>149</v>
      </c>
      <c r="BH38" s="564" t="s">
        <v>379</v>
      </c>
      <c r="BI38" s="545" t="s">
        <v>312</v>
      </c>
      <c r="BJ38" s="545" t="s">
        <v>155</v>
      </c>
      <c r="BK38" s="546" t="s">
        <v>755</v>
      </c>
      <c r="BL38" s="48"/>
      <c r="BO38" s="46"/>
      <c r="BP38" s="810"/>
      <c r="BQ38" s="810">
        <v>30</v>
      </c>
      <c r="BR38" s="946">
        <v>1.0804</v>
      </c>
      <c r="BS38" s="1363">
        <v>309.08539999999999</v>
      </c>
      <c r="BT38" s="550">
        <v>6.8199999999999997E-2</v>
      </c>
      <c r="BU38" s="550">
        <v>1.6000000000000001E-3</v>
      </c>
      <c r="BV38" s="550">
        <v>3.0999999999999999E-3</v>
      </c>
      <c r="BW38" s="1318">
        <v>1.9599999999999999E-2</v>
      </c>
      <c r="BX38" s="945">
        <v>1.5E-3</v>
      </c>
      <c r="BY38" s="48"/>
      <c r="CA38" s="46"/>
      <c r="CB38" s="810"/>
      <c r="CC38" s="810">
        <v>30</v>
      </c>
      <c r="CD38" s="946">
        <v>0.62119999999999997</v>
      </c>
      <c r="CE38" s="1363">
        <v>244.92609999999999</v>
      </c>
      <c r="CF38" s="550">
        <v>2.2499999999999999E-2</v>
      </c>
      <c r="CG38" s="550">
        <v>5.9999999999999995E-4</v>
      </c>
      <c r="CH38" s="550">
        <v>2.3999999999999998E-3</v>
      </c>
      <c r="CI38" s="1318">
        <v>7.4000000000000003E-3</v>
      </c>
      <c r="CJ38" s="945">
        <v>5.0000000000000001E-4</v>
      </c>
      <c r="CK38" s="48"/>
      <c r="CN38" s="64"/>
      <c r="CO38" s="1337"/>
      <c r="CP38" s="1338"/>
      <c r="CQ38" s="1339"/>
      <c r="CR38" s="1339"/>
      <c r="CS38" s="1339"/>
      <c r="CT38" s="1339"/>
      <c r="CU38" s="1339"/>
      <c r="CV38" s="1339"/>
      <c r="CW38" s="1339"/>
      <c r="CX38" s="65"/>
      <c r="DA38" s="46"/>
      <c r="DB38" s="522" t="s">
        <v>420</v>
      </c>
      <c r="DC38" s="526"/>
      <c r="DD38" s="526"/>
      <c r="DE38" s="775"/>
      <c r="DF38" s="46"/>
      <c r="DH38" s="46"/>
      <c r="DI38" s="522" t="s">
        <v>421</v>
      </c>
      <c r="DJ38" s="526"/>
      <c r="DK38" s="526"/>
      <c r="DL38" s="48"/>
      <c r="DO38" s="46"/>
      <c r="DP38" s="1086">
        <v>0.05</v>
      </c>
      <c r="DQ38" s="1087">
        <v>0.45800000000000002</v>
      </c>
      <c r="DR38" s="1088">
        <v>0.51200000000000001</v>
      </c>
      <c r="DS38" s="48"/>
      <c r="DV38" s="46"/>
      <c r="DW38" s="1143" t="s">
        <v>607</v>
      </c>
      <c r="DX38" s="26"/>
      <c r="DY38" s="26"/>
      <c r="DZ38" s="1144">
        <v>0.1</v>
      </c>
      <c r="EA38" s="1147" t="s">
        <v>279</v>
      </c>
      <c r="EB38" s="1148" t="s">
        <v>279</v>
      </c>
      <c r="EC38" s="48"/>
    </row>
    <row r="39" spans="2:145" ht="16" thickTop="1" x14ac:dyDescent="0.35">
      <c r="B39" s="79"/>
      <c r="C39" s="49"/>
      <c r="D39" s="32"/>
      <c r="E39" s="33"/>
      <c r="F39" s="63"/>
      <c r="G39" s="667"/>
      <c r="H39" s="1135"/>
      <c r="I39" s="554" t="s">
        <v>673</v>
      </c>
      <c r="R39" s="1105"/>
      <c r="S39" s="1107"/>
      <c r="T39" s="1115"/>
      <c r="U39" s="1115"/>
      <c r="V39" s="1115"/>
      <c r="W39" s="1149"/>
      <c r="X39" s="554"/>
      <c r="Y39" s="57"/>
      <c r="Z39" s="782" t="s">
        <v>486</v>
      </c>
      <c r="AA39" s="787" t="b">
        <f t="shared" si="2"/>
        <v>0</v>
      </c>
      <c r="AB39" s="33" t="s">
        <v>449</v>
      </c>
      <c r="AC39" s="33" t="s">
        <v>31</v>
      </c>
      <c r="AD39" s="58"/>
      <c r="AQ39" s="512"/>
      <c r="AR39" s="736">
        <v>32</v>
      </c>
      <c r="AS39" s="1071">
        <v>3.1300000000000001E-2</v>
      </c>
      <c r="AT39" s="1072">
        <v>7.8100000000000003E-2</v>
      </c>
      <c r="AU39" s="506"/>
      <c r="AV39" s="275"/>
      <c r="AW39" s="275"/>
      <c r="AX39" s="46"/>
      <c r="AY39" s="26"/>
      <c r="AZ39" s="26"/>
      <c r="BA39" s="568"/>
      <c r="BB39" s="26"/>
      <c r="BC39" s="26"/>
      <c r="BD39" s="48"/>
      <c r="BF39" s="46"/>
      <c r="BG39" s="637" t="s">
        <v>423</v>
      </c>
      <c r="BH39" s="940">
        <f>ROUND(BH12*BH26+BH13*BH27+BH14*BH28,-2)</f>
        <v>1037400</v>
      </c>
      <c r="BI39" s="941">
        <f>ROUND(BI12*BI26+BI13*BI27+BI14*BI28,-2)</f>
        <v>3528600</v>
      </c>
      <c r="BJ39" s="941">
        <f>ROUND(BJ12*BJ26+BJ13*BJ27+BJ14*BJ28,-2)</f>
        <v>1200600</v>
      </c>
      <c r="BK39" s="942">
        <f>ROUND(BK12*BK26+BK13*BK27+BK14*BK28,-2)</f>
        <v>15860000</v>
      </c>
      <c r="BL39" s="48"/>
      <c r="BO39" s="46"/>
      <c r="BP39" s="810"/>
      <c r="BQ39" s="810">
        <v>31</v>
      </c>
      <c r="BR39" s="946">
        <v>1.0681</v>
      </c>
      <c r="BS39" s="1363">
        <v>304.8313</v>
      </c>
      <c r="BT39" s="550">
        <v>6.7900000000000002E-2</v>
      </c>
      <c r="BU39" s="550">
        <v>1.6000000000000001E-3</v>
      </c>
      <c r="BV39" s="550">
        <v>3.0000000000000001E-3</v>
      </c>
      <c r="BW39" s="1318">
        <v>1.9E-2</v>
      </c>
      <c r="BX39" s="945">
        <v>1.4E-3</v>
      </c>
      <c r="BY39" s="48"/>
      <c r="CA39" s="46"/>
      <c r="CB39" s="810"/>
      <c r="CC39" s="810">
        <v>31</v>
      </c>
      <c r="CD39" s="946">
        <v>0.61260000000000003</v>
      </c>
      <c r="CE39" s="1363">
        <v>241.3366</v>
      </c>
      <c r="CF39" s="550">
        <v>2.2200000000000001E-2</v>
      </c>
      <c r="CG39" s="550">
        <v>5.9999999999999995E-4</v>
      </c>
      <c r="CH39" s="550">
        <v>2.3999999999999998E-3</v>
      </c>
      <c r="CI39" s="1318">
        <v>7.1000000000000004E-3</v>
      </c>
      <c r="CJ39" s="945">
        <v>5.0000000000000001E-4</v>
      </c>
      <c r="CK39" s="48"/>
      <c r="CN39" s="64"/>
      <c r="CO39" s="1337"/>
      <c r="CP39" s="1338"/>
      <c r="CQ39" s="1339"/>
      <c r="CR39" s="1339"/>
      <c r="CS39" s="1339"/>
      <c r="CT39" s="1339"/>
      <c r="CU39" s="1339"/>
      <c r="CV39" s="1339"/>
      <c r="CW39" s="1339"/>
      <c r="CX39" s="65"/>
      <c r="DA39" s="46"/>
      <c r="DB39" s="809" t="s">
        <v>374</v>
      </c>
      <c r="DC39" s="526"/>
      <c r="DD39" s="526"/>
      <c r="DE39" s="775"/>
      <c r="DF39" s="46"/>
      <c r="DH39" s="46"/>
      <c r="DI39" s="809" t="s">
        <v>374</v>
      </c>
      <c r="DJ39" s="526"/>
      <c r="DK39" s="526"/>
      <c r="DL39" s="48"/>
      <c r="DO39" s="46"/>
      <c r="DP39" s="1086">
        <v>5.1999999999999998E-2</v>
      </c>
      <c r="DQ39" s="1087">
        <v>0.45500000000000002</v>
      </c>
      <c r="DR39" s="1088">
        <v>0.48399999999999999</v>
      </c>
      <c r="DS39" s="48"/>
      <c r="DV39" s="46"/>
      <c r="DW39" s="1150" t="s">
        <v>608</v>
      </c>
      <c r="DX39" s="886"/>
      <c r="DY39" s="886"/>
      <c r="DZ39" s="1151">
        <v>0.28999999999999998</v>
      </c>
      <c r="EA39" s="1152" t="s">
        <v>279</v>
      </c>
      <c r="EB39" s="1153" t="s">
        <v>279</v>
      </c>
      <c r="EC39" s="48"/>
    </row>
    <row r="40" spans="2:145" ht="16" thickBot="1" x14ac:dyDescent="0.4">
      <c r="B40" s="79"/>
      <c r="C40" s="49" t="s">
        <v>627</v>
      </c>
      <c r="D40" s="32"/>
      <c r="E40" s="33"/>
      <c r="F40" s="63"/>
      <c r="G40" s="667"/>
      <c r="H40" s="1135"/>
      <c r="R40" s="1105"/>
      <c r="S40" s="1114" t="s">
        <v>720</v>
      </c>
      <c r="T40" s="32"/>
      <c r="U40" s="1154"/>
      <c r="V40" s="1110"/>
      <c r="W40" s="1111"/>
      <c r="X40" s="554"/>
      <c r="Y40" s="57"/>
      <c r="Z40" s="782" t="s">
        <v>487</v>
      </c>
      <c r="AA40" s="787" t="b">
        <f t="shared" si="2"/>
        <v>0</v>
      </c>
      <c r="AB40" s="33" t="s">
        <v>450</v>
      </c>
      <c r="AC40" s="33" t="s">
        <v>31</v>
      </c>
      <c r="AD40" s="58"/>
      <c r="AF40" s="1155" t="s">
        <v>674</v>
      </c>
      <c r="AQ40" s="512"/>
      <c r="AR40" s="736">
        <v>33</v>
      </c>
      <c r="AS40" s="1071">
        <v>3.0800000000000001E-2</v>
      </c>
      <c r="AT40" s="1072">
        <v>7.8399999999999997E-2</v>
      </c>
      <c r="AU40" s="506"/>
      <c r="AV40" s="275"/>
      <c r="AW40" s="275"/>
      <c r="AX40" s="46"/>
      <c r="AY40" s="563" t="s">
        <v>876</v>
      </c>
      <c r="AZ40" s="564" t="s">
        <v>65</v>
      </c>
      <c r="BA40" s="545" t="s">
        <v>466</v>
      </c>
      <c r="BB40" s="545" t="s">
        <v>64</v>
      </c>
      <c r="BC40" s="546" t="s">
        <v>591</v>
      </c>
      <c r="BD40" s="48"/>
      <c r="BF40" s="50"/>
      <c r="BG40" s="51"/>
      <c r="BH40" s="51"/>
      <c r="BI40" s="51"/>
      <c r="BJ40" s="51"/>
      <c r="BK40" s="51"/>
      <c r="BL40" s="52"/>
      <c r="BO40" s="46"/>
      <c r="BP40" s="810"/>
      <c r="BQ40" s="810">
        <v>32</v>
      </c>
      <c r="BR40" s="946">
        <v>1.0561</v>
      </c>
      <c r="BS40" s="1363">
        <v>300.63569999999999</v>
      </c>
      <c r="BT40" s="550">
        <v>6.7500000000000004E-2</v>
      </c>
      <c r="BU40" s="550">
        <v>1.5E-3</v>
      </c>
      <c r="BV40" s="550">
        <v>3.0000000000000001E-3</v>
      </c>
      <c r="BW40" s="1318">
        <v>1.84E-2</v>
      </c>
      <c r="BX40" s="945">
        <v>1.4E-3</v>
      </c>
      <c r="BY40" s="48"/>
      <c r="CA40" s="46"/>
      <c r="CB40" s="810"/>
      <c r="CC40" s="810">
        <v>32</v>
      </c>
      <c r="CD40" s="946">
        <v>0.60419999999999996</v>
      </c>
      <c r="CE40" s="1363">
        <v>237.7997</v>
      </c>
      <c r="CF40" s="550">
        <v>2.1999999999999999E-2</v>
      </c>
      <c r="CG40" s="550">
        <v>5.0000000000000001E-4</v>
      </c>
      <c r="CH40" s="550">
        <v>2.3999999999999998E-3</v>
      </c>
      <c r="CI40" s="1318">
        <v>6.7999999999999996E-3</v>
      </c>
      <c r="CJ40" s="945">
        <v>5.0000000000000001E-4</v>
      </c>
      <c r="CK40" s="48"/>
      <c r="CN40" s="64"/>
      <c r="CO40" s="522" t="s">
        <v>753</v>
      </c>
      <c r="CP40" s="526"/>
      <c r="CQ40" s="526"/>
      <c r="CR40" s="526"/>
      <c r="CS40" s="526"/>
      <c r="CT40" s="526"/>
      <c r="CU40" s="526"/>
      <c r="CV40" s="526"/>
      <c r="CW40" s="526"/>
      <c r="CX40" s="65"/>
      <c r="DA40" s="46"/>
      <c r="DB40" s="527"/>
      <c r="DC40" s="199"/>
      <c r="DD40" s="199"/>
      <c r="DE40" s="48"/>
      <c r="DF40" s="46"/>
      <c r="DH40" s="46"/>
      <c r="DI40" s="527"/>
      <c r="DJ40" s="199"/>
      <c r="DK40" s="199"/>
      <c r="DL40" s="48"/>
      <c r="DO40" s="46"/>
      <c r="DP40" s="1086">
        <v>5.3999999999999999E-2</v>
      </c>
      <c r="DQ40" s="1087">
        <v>0.45300000000000001</v>
      </c>
      <c r="DR40" s="1088">
        <v>0.47599999999999998</v>
      </c>
      <c r="DS40" s="48"/>
      <c r="DV40" s="50"/>
      <c r="DW40" s="51"/>
      <c r="DX40" s="51"/>
      <c r="DY40" s="51"/>
      <c r="DZ40" s="51"/>
      <c r="EA40" s="51"/>
      <c r="EB40" s="51"/>
      <c r="EC40" s="52"/>
    </row>
    <row r="41" spans="2:145" ht="16" thickTop="1" x14ac:dyDescent="0.35">
      <c r="B41" s="79"/>
      <c r="C41" s="49"/>
      <c r="D41" s="27" t="s">
        <v>105</v>
      </c>
      <c r="E41" s="1156">
        <v>2.2499999999999999E-2</v>
      </c>
      <c r="F41" s="63" t="s">
        <v>403</v>
      </c>
      <c r="G41" s="667"/>
      <c r="H41" s="1157">
        <v>9</v>
      </c>
      <c r="R41" s="1105"/>
      <c r="S41" s="49"/>
      <c r="T41" s="1118" t="s">
        <v>675</v>
      </c>
      <c r="U41" s="1158">
        <v>0.56999999999999995</v>
      </c>
      <c r="V41" s="732" t="s">
        <v>279</v>
      </c>
      <c r="W41" s="1149"/>
      <c r="X41" s="751">
        <v>21</v>
      </c>
      <c r="Y41" s="57"/>
      <c r="Z41" s="782" t="s">
        <v>488</v>
      </c>
      <c r="AA41" s="787" t="b">
        <f t="shared" si="2"/>
        <v>0</v>
      </c>
      <c r="AB41" s="33" t="s">
        <v>451</v>
      </c>
      <c r="AC41" s="33" t="s">
        <v>21</v>
      </c>
      <c r="AD41" s="58"/>
      <c r="AF41" s="554" t="s">
        <v>676</v>
      </c>
      <c r="AQ41" s="512"/>
      <c r="AR41" s="736">
        <v>34</v>
      </c>
      <c r="AS41" s="1071">
        <v>3.04E-2</v>
      </c>
      <c r="AT41" s="1072">
        <v>7.8700000000000006E-2</v>
      </c>
      <c r="AU41" s="506"/>
      <c r="AV41" s="275"/>
      <c r="AW41" s="275"/>
      <c r="AX41" s="46"/>
      <c r="AY41" s="1636" t="s">
        <v>870</v>
      </c>
      <c r="AZ41" s="1136">
        <v>1.51</v>
      </c>
      <c r="BA41" s="1136">
        <v>1.69</v>
      </c>
      <c r="BB41" s="1136">
        <v>1.58</v>
      </c>
      <c r="BC41" s="1137">
        <v>1.63</v>
      </c>
      <c r="BD41" s="48"/>
      <c r="BO41" s="46"/>
      <c r="BP41" s="810"/>
      <c r="BQ41" s="810">
        <v>33</v>
      </c>
      <c r="BR41" s="946">
        <v>1.0441</v>
      </c>
      <c r="BS41" s="1363">
        <v>296.49790000000002</v>
      </c>
      <c r="BT41" s="550">
        <v>6.7100000000000007E-2</v>
      </c>
      <c r="BU41" s="550">
        <v>1.4E-3</v>
      </c>
      <c r="BV41" s="550">
        <v>2.8999999999999998E-3</v>
      </c>
      <c r="BW41" s="1318">
        <v>1.78E-2</v>
      </c>
      <c r="BX41" s="945">
        <v>1.2999999999999999E-3</v>
      </c>
      <c r="BY41" s="48"/>
      <c r="CA41" s="46"/>
      <c r="CB41" s="810"/>
      <c r="CC41" s="810">
        <v>33</v>
      </c>
      <c r="CD41" s="946">
        <v>0.59589999999999999</v>
      </c>
      <c r="CE41" s="1363">
        <v>234.31469999999999</v>
      </c>
      <c r="CF41" s="550">
        <v>2.1700000000000001E-2</v>
      </c>
      <c r="CG41" s="550">
        <v>5.0000000000000001E-4</v>
      </c>
      <c r="CH41" s="550">
        <v>2.3E-3</v>
      </c>
      <c r="CI41" s="1318">
        <v>6.4999999999999997E-3</v>
      </c>
      <c r="CJ41" s="945">
        <v>5.0000000000000001E-4</v>
      </c>
      <c r="CK41" s="48"/>
      <c r="CN41" s="64"/>
      <c r="CO41" s="809" t="s">
        <v>754</v>
      </c>
      <c r="CP41" s="526"/>
      <c r="CQ41" s="526"/>
      <c r="CR41" s="526"/>
      <c r="CS41" s="526"/>
      <c r="CT41" s="526"/>
      <c r="CU41" s="526"/>
      <c r="CV41" s="526"/>
      <c r="CW41" s="526"/>
      <c r="CX41" s="65"/>
      <c r="DA41" s="46"/>
      <c r="DB41" s="525" t="s">
        <v>394</v>
      </c>
      <c r="DC41" s="544" t="s">
        <v>377</v>
      </c>
      <c r="DD41" s="546" t="s">
        <v>249</v>
      </c>
      <c r="DE41" s="48"/>
      <c r="DF41" s="46"/>
      <c r="DH41" s="46"/>
      <c r="DI41" s="525" t="s">
        <v>394</v>
      </c>
      <c r="DJ41" s="544" t="s">
        <v>377</v>
      </c>
      <c r="DK41" s="546" t="s">
        <v>249</v>
      </c>
      <c r="DL41" s="48"/>
      <c r="DO41" s="46"/>
      <c r="DP41" s="1086">
        <v>5.6000000000000001E-2</v>
      </c>
      <c r="DQ41" s="1087">
        <v>0.45300000000000001</v>
      </c>
      <c r="DR41" s="1088">
        <v>0.47399999999999998</v>
      </c>
      <c r="DS41" s="48"/>
    </row>
    <row r="42" spans="2:145" ht="15.5" x14ac:dyDescent="0.35">
      <c r="B42" s="79"/>
      <c r="C42" s="49"/>
      <c r="D42" s="39" t="s">
        <v>106</v>
      </c>
      <c r="E42" s="1156">
        <v>0.13</v>
      </c>
      <c r="F42" s="63" t="s">
        <v>403</v>
      </c>
      <c r="G42" s="667"/>
      <c r="H42" s="1157">
        <v>10</v>
      </c>
      <c r="R42" s="1105"/>
      <c r="S42" s="49"/>
      <c r="T42" s="1159" t="s">
        <v>677</v>
      </c>
      <c r="U42" s="1158">
        <v>0.49</v>
      </c>
      <c r="V42" s="732" t="s">
        <v>279</v>
      </c>
      <c r="W42" s="1149"/>
      <c r="X42" s="751">
        <v>21</v>
      </c>
      <c r="Y42" s="57"/>
      <c r="Z42" s="782" t="s">
        <v>533</v>
      </c>
      <c r="AA42" s="787" t="b">
        <f t="shared" si="2"/>
        <v>0</v>
      </c>
      <c r="AB42" s="33" t="s">
        <v>452</v>
      </c>
      <c r="AC42" s="33" t="s">
        <v>29</v>
      </c>
      <c r="AD42" s="58"/>
      <c r="AQ42" s="248"/>
      <c r="AR42" s="736">
        <v>35</v>
      </c>
      <c r="AS42" s="1071">
        <v>0.03</v>
      </c>
      <c r="AT42" s="1072">
        <v>7.9000000000000001E-2</v>
      </c>
      <c r="AU42" s="513"/>
      <c r="AV42" s="927"/>
      <c r="AW42" s="275"/>
      <c r="AX42" s="46"/>
      <c r="AY42" s="1638" t="s">
        <v>871</v>
      </c>
      <c r="AZ42" s="1160">
        <v>1.82</v>
      </c>
      <c r="BA42" s="1160">
        <v>2.1</v>
      </c>
      <c r="BB42" s="1160">
        <v>1.59</v>
      </c>
      <c r="BC42" s="1161">
        <v>1.99</v>
      </c>
      <c r="BD42" s="48"/>
      <c r="BF42" s="554" t="s">
        <v>426</v>
      </c>
      <c r="BO42" s="46"/>
      <c r="BP42" s="810"/>
      <c r="BQ42" s="810">
        <v>34</v>
      </c>
      <c r="BR42" s="946">
        <v>1.0323</v>
      </c>
      <c r="BS42" s="1363">
        <v>292.4171</v>
      </c>
      <c r="BT42" s="550">
        <v>6.6699999999999995E-2</v>
      </c>
      <c r="BU42" s="550">
        <v>1.4E-3</v>
      </c>
      <c r="BV42" s="550">
        <v>2.8999999999999998E-3</v>
      </c>
      <c r="BW42" s="1318">
        <v>1.72E-2</v>
      </c>
      <c r="BX42" s="945">
        <v>1.2999999999999999E-3</v>
      </c>
      <c r="BY42" s="48"/>
      <c r="CA42" s="46"/>
      <c r="CB42" s="810"/>
      <c r="CC42" s="810">
        <v>34</v>
      </c>
      <c r="CD42" s="946">
        <v>0.5877</v>
      </c>
      <c r="CE42" s="1363">
        <v>230.88069999999999</v>
      </c>
      <c r="CF42" s="550">
        <v>2.1499999999999998E-2</v>
      </c>
      <c r="CG42" s="550">
        <v>5.0000000000000001E-4</v>
      </c>
      <c r="CH42" s="550">
        <v>2.3E-3</v>
      </c>
      <c r="CI42" s="1318">
        <v>6.3E-3</v>
      </c>
      <c r="CJ42" s="945">
        <v>5.0000000000000001E-4</v>
      </c>
      <c r="CK42" s="48"/>
      <c r="CN42" s="64"/>
      <c r="CO42" s="527"/>
      <c r="CP42" s="199"/>
      <c r="CQ42" s="199"/>
      <c r="CR42" s="199"/>
      <c r="CS42" s="199"/>
      <c r="CT42" s="199"/>
      <c r="CU42" s="199"/>
      <c r="CV42" s="199"/>
      <c r="CW42" s="199"/>
      <c r="CX42" s="65"/>
      <c r="DA42" s="46"/>
      <c r="DB42" s="810">
        <v>0</v>
      </c>
      <c r="DC42" s="1084">
        <v>0.97099999999999997</v>
      </c>
      <c r="DD42" s="1085">
        <v>0.96099999999999997</v>
      </c>
      <c r="DE42" s="48"/>
      <c r="DF42" s="46"/>
      <c r="DH42" s="46"/>
      <c r="DI42" s="810">
        <v>0</v>
      </c>
      <c r="DJ42" s="1084">
        <v>1</v>
      </c>
      <c r="DK42" s="1085">
        <v>1</v>
      </c>
      <c r="DL42" s="48"/>
      <c r="DO42" s="46"/>
      <c r="DP42" s="1086">
        <v>5.8000000000000003E-2</v>
      </c>
      <c r="DQ42" s="1087">
        <v>0.45300000000000001</v>
      </c>
      <c r="DR42" s="1088">
        <v>0.47299999999999998</v>
      </c>
      <c r="DS42" s="48"/>
      <c r="DV42" s="554" t="s">
        <v>610</v>
      </c>
    </row>
    <row r="43" spans="2:145" ht="16" x14ac:dyDescent="0.4">
      <c r="B43" s="79"/>
      <c r="C43" s="49"/>
      <c r="D43" s="39" t="s">
        <v>628</v>
      </c>
      <c r="E43" s="1156">
        <v>5.0000000000000001E-3</v>
      </c>
      <c r="F43" s="63" t="s">
        <v>403</v>
      </c>
      <c r="G43" s="667"/>
      <c r="H43" s="1157">
        <v>9</v>
      </c>
      <c r="N43" s="315"/>
      <c r="Q43" s="751"/>
      <c r="R43" s="1105"/>
      <c r="S43" s="49"/>
      <c r="T43" s="1159" t="s">
        <v>678</v>
      </c>
      <c r="U43" s="1158">
        <v>0.92</v>
      </c>
      <c r="V43" s="732" t="s">
        <v>279</v>
      </c>
      <c r="W43" s="1149"/>
      <c r="X43" s="751">
        <v>21</v>
      </c>
      <c r="Y43" s="57"/>
      <c r="Z43" s="782" t="s">
        <v>489</v>
      </c>
      <c r="AA43" s="787" t="b">
        <f t="shared" si="2"/>
        <v>0</v>
      </c>
      <c r="AB43" s="33" t="s">
        <v>454</v>
      </c>
      <c r="AC43" s="33" t="s">
        <v>30</v>
      </c>
      <c r="AD43" s="58"/>
      <c r="AQ43" s="248"/>
      <c r="AR43" s="736">
        <v>36</v>
      </c>
      <c r="AS43" s="1071">
        <v>2.98E-2</v>
      </c>
      <c r="AT43" s="1072">
        <v>7.9399999999999998E-2</v>
      </c>
      <c r="AU43" s="513"/>
      <c r="AV43" s="927"/>
      <c r="AW43" s="927"/>
      <c r="AX43" s="46"/>
      <c r="AY43" s="1637" t="s">
        <v>872</v>
      </c>
      <c r="AZ43" s="1138">
        <v>1.8</v>
      </c>
      <c r="BA43" s="1138">
        <v>2.0299999999999998</v>
      </c>
      <c r="BB43" s="1138">
        <v>1.59</v>
      </c>
      <c r="BC43" s="1139">
        <v>1.96</v>
      </c>
      <c r="BD43" s="48"/>
      <c r="BO43" s="46"/>
      <c r="BP43" s="810"/>
      <c r="BQ43" s="810">
        <v>35</v>
      </c>
      <c r="BR43" s="946">
        <v>1.0206</v>
      </c>
      <c r="BS43" s="1363">
        <v>288.39240000000001</v>
      </c>
      <c r="BT43" s="550">
        <v>6.6299999999999998E-2</v>
      </c>
      <c r="BU43" s="550">
        <v>1.2999999999999999E-3</v>
      </c>
      <c r="BV43" s="550">
        <v>2.8999999999999998E-3</v>
      </c>
      <c r="BW43" s="1318">
        <v>1.67E-2</v>
      </c>
      <c r="BX43" s="945">
        <v>1.1999999999999999E-3</v>
      </c>
      <c r="BY43" s="48"/>
      <c r="CA43" s="46"/>
      <c r="CB43" s="810"/>
      <c r="CC43" s="810">
        <v>35</v>
      </c>
      <c r="CD43" s="946">
        <v>0.5796</v>
      </c>
      <c r="CE43" s="1363">
        <v>227.49700000000001</v>
      </c>
      <c r="CF43" s="550">
        <v>2.12E-2</v>
      </c>
      <c r="CG43" s="550">
        <v>5.0000000000000001E-4</v>
      </c>
      <c r="CH43" s="550">
        <v>2.2000000000000001E-3</v>
      </c>
      <c r="CI43" s="1318">
        <v>6.0000000000000001E-3</v>
      </c>
      <c r="CJ43" s="945">
        <v>4.0000000000000002E-4</v>
      </c>
      <c r="CK43" s="48"/>
      <c r="CN43" s="64"/>
      <c r="CO43" s="525" t="s">
        <v>243</v>
      </c>
      <c r="CP43" s="525" t="s">
        <v>135</v>
      </c>
      <c r="CQ43" s="544" t="s">
        <v>380</v>
      </c>
      <c r="CR43" s="564" t="s">
        <v>10</v>
      </c>
      <c r="CS43" s="545" t="s">
        <v>381</v>
      </c>
      <c r="CT43" s="545" t="s">
        <v>382</v>
      </c>
      <c r="CU43" s="545" t="s">
        <v>383</v>
      </c>
      <c r="CV43" s="545" t="s">
        <v>384</v>
      </c>
      <c r="CW43" s="546" t="s">
        <v>747</v>
      </c>
      <c r="CX43" s="65"/>
      <c r="DA43" s="46"/>
      <c r="DB43" s="810">
        <v>25</v>
      </c>
      <c r="DC43" s="1084">
        <v>0.97699999999999998</v>
      </c>
      <c r="DD43" s="1085">
        <v>0.96499999999999997</v>
      </c>
      <c r="DE43" s="48"/>
      <c r="DF43" s="46"/>
      <c r="DH43" s="46"/>
      <c r="DI43" s="810">
        <v>25</v>
      </c>
      <c r="DJ43" s="1084">
        <v>1</v>
      </c>
      <c r="DK43" s="1085">
        <v>1</v>
      </c>
      <c r="DL43" s="48"/>
      <c r="DO43" s="46"/>
      <c r="DP43" s="1086">
        <v>0.06</v>
      </c>
      <c r="DQ43" s="1087">
        <v>0.45300000000000001</v>
      </c>
      <c r="DR43" s="1088">
        <v>0.47099999999999997</v>
      </c>
      <c r="DS43" s="48"/>
    </row>
    <row r="44" spans="2:145" ht="16" thickBot="1" x14ac:dyDescent="0.4">
      <c r="B44" s="79"/>
      <c r="C44" s="49"/>
      <c r="D44" s="39" t="s">
        <v>629</v>
      </c>
      <c r="E44" s="1162">
        <v>0.183</v>
      </c>
      <c r="F44" s="63" t="s">
        <v>417</v>
      </c>
      <c r="G44" s="667"/>
      <c r="H44" s="1157">
        <v>9</v>
      </c>
      <c r="R44" s="1105"/>
      <c r="S44" s="49"/>
      <c r="T44" s="1159" t="s">
        <v>679</v>
      </c>
      <c r="U44" s="1158">
        <f>CLASS2MRS</f>
        <v>0.49</v>
      </c>
      <c r="V44" s="732" t="s">
        <v>279</v>
      </c>
      <c r="W44" s="1149"/>
      <c r="X44" s="751">
        <v>21</v>
      </c>
      <c r="Y44" s="57"/>
      <c r="Z44" s="782" t="s">
        <v>490</v>
      </c>
      <c r="AA44" s="787" t="b">
        <f t="shared" si="2"/>
        <v>0</v>
      </c>
      <c r="AB44" s="33" t="s">
        <v>453</v>
      </c>
      <c r="AC44" s="33" t="s">
        <v>33</v>
      </c>
      <c r="AD44" s="58"/>
      <c r="AQ44" s="248"/>
      <c r="AR44" s="736">
        <v>37</v>
      </c>
      <c r="AS44" s="1071">
        <v>2.9700000000000001E-2</v>
      </c>
      <c r="AT44" s="1072">
        <v>7.9899999999999999E-2</v>
      </c>
      <c r="AU44" s="513"/>
      <c r="AV44" s="927"/>
      <c r="AW44" s="927"/>
      <c r="AX44" s="46"/>
      <c r="AY44" s="26"/>
      <c r="AZ44" s="1163"/>
      <c r="BA44" s="1163"/>
      <c r="BB44" s="1163"/>
      <c r="BC44" s="1163"/>
      <c r="BD44" s="48"/>
      <c r="BO44" s="46"/>
      <c r="BP44" s="810"/>
      <c r="BQ44" s="810">
        <v>36</v>
      </c>
      <c r="BR44" s="946">
        <v>1.0098</v>
      </c>
      <c r="BS44" s="1363">
        <v>287.18729999999999</v>
      </c>
      <c r="BT44" s="550">
        <v>6.6100000000000006E-2</v>
      </c>
      <c r="BU44" s="550">
        <v>1.2999999999999999E-3</v>
      </c>
      <c r="BV44" s="550">
        <v>2.8E-3</v>
      </c>
      <c r="BW44" s="1318">
        <v>1.6299999999999999E-2</v>
      </c>
      <c r="BX44" s="945">
        <v>1.1999999999999999E-3</v>
      </c>
      <c r="BY44" s="48"/>
      <c r="CA44" s="46"/>
      <c r="CB44" s="810"/>
      <c r="CC44" s="810">
        <v>36</v>
      </c>
      <c r="CD44" s="946">
        <v>0.57289999999999996</v>
      </c>
      <c r="CE44" s="1363">
        <v>226.57159999999999</v>
      </c>
      <c r="CF44" s="550">
        <v>2.1100000000000001E-2</v>
      </c>
      <c r="CG44" s="550">
        <v>5.0000000000000001E-4</v>
      </c>
      <c r="CH44" s="550">
        <v>2.2000000000000001E-3</v>
      </c>
      <c r="CI44" s="1318">
        <v>5.7999999999999996E-3</v>
      </c>
      <c r="CJ44" s="945">
        <v>4.0000000000000002E-4</v>
      </c>
      <c r="CK44" s="48"/>
      <c r="CN44" s="64"/>
      <c r="CO44" s="813" t="s">
        <v>755</v>
      </c>
      <c r="CP44" s="810">
        <v>2020</v>
      </c>
      <c r="CQ44" s="1340">
        <v>26.62</v>
      </c>
      <c r="CR44" s="1342">
        <v>10217</v>
      </c>
      <c r="CS44" s="547">
        <v>107.38</v>
      </c>
      <c r="CT44" s="547">
        <v>3.2</v>
      </c>
      <c r="CU44" s="547"/>
      <c r="CV44" s="547"/>
      <c r="CW44" s="548">
        <v>3.11</v>
      </c>
      <c r="CX44" s="65"/>
      <c r="DA44" s="46"/>
      <c r="DB44" s="810">
        <v>50</v>
      </c>
      <c r="DC44" s="1084">
        <v>0.98</v>
      </c>
      <c r="DD44" s="1085">
        <v>0.97</v>
      </c>
      <c r="DE44" s="48"/>
      <c r="DF44" s="46"/>
      <c r="DH44" s="46"/>
      <c r="DI44" s="810">
        <v>50</v>
      </c>
      <c r="DJ44" s="1084">
        <v>1</v>
      </c>
      <c r="DK44" s="1085">
        <v>1</v>
      </c>
      <c r="DL44" s="48"/>
      <c r="DO44" s="46"/>
      <c r="DP44" s="1086">
        <v>6.2E-2</v>
      </c>
      <c r="DQ44" s="1087">
        <v>0.45300000000000001</v>
      </c>
      <c r="DR44" s="1088">
        <v>0.46899999999999997</v>
      </c>
      <c r="DS44" s="48"/>
      <c r="EO44" s="1366" t="s">
        <v>821</v>
      </c>
    </row>
    <row r="45" spans="2:145" ht="16" thickTop="1" x14ac:dyDescent="0.35">
      <c r="B45" s="79"/>
      <c r="C45" s="49"/>
      <c r="D45" s="39" t="s">
        <v>630</v>
      </c>
      <c r="E45" s="1162">
        <v>0.24299999999999999</v>
      </c>
      <c r="F45" s="63" t="s">
        <v>417</v>
      </c>
      <c r="G45" s="667"/>
      <c r="H45" s="1157">
        <v>9</v>
      </c>
      <c r="R45" s="1105"/>
      <c r="S45" s="49"/>
      <c r="T45" s="1164" t="s">
        <v>680</v>
      </c>
      <c r="U45" s="63"/>
      <c r="V45" s="732"/>
      <c r="W45" s="1149"/>
      <c r="X45" s="751"/>
      <c r="Y45" s="57"/>
      <c r="Z45" s="865"/>
      <c r="AA45" s="63"/>
      <c r="AB45" s="33"/>
      <c r="AC45" s="33"/>
      <c r="AD45" s="58"/>
      <c r="AF45" s="44"/>
      <c r="AG45" s="53"/>
      <c r="AH45" s="53"/>
      <c r="AI45" s="53"/>
      <c r="AJ45" s="53"/>
      <c r="AK45" s="53"/>
      <c r="AL45" s="53"/>
      <c r="AM45" s="45"/>
      <c r="AQ45" s="248"/>
      <c r="AR45" s="736">
        <v>38</v>
      </c>
      <c r="AS45" s="1071">
        <v>2.9600000000000001E-2</v>
      </c>
      <c r="AT45" s="1072">
        <v>8.0299999999999996E-2</v>
      </c>
      <c r="AU45" s="513"/>
      <c r="AV45" s="927"/>
      <c r="AW45" s="927"/>
      <c r="AX45" s="46"/>
      <c r="AY45" s="26"/>
      <c r="AZ45" s="1163"/>
      <c r="BA45" s="1163"/>
      <c r="BB45" s="1163"/>
      <c r="BC45" s="1163"/>
      <c r="BD45" s="48"/>
      <c r="BF45" s="44"/>
      <c r="BG45" s="53"/>
      <c r="BH45" s="53"/>
      <c r="BI45" s="53"/>
      <c r="BJ45" s="53"/>
      <c r="BK45" s="45"/>
      <c r="BO45" s="46"/>
      <c r="BP45" s="810"/>
      <c r="BQ45" s="810">
        <v>37</v>
      </c>
      <c r="BR45" s="946">
        <v>0.99909999999999999</v>
      </c>
      <c r="BS45" s="1363">
        <v>285.98719999999997</v>
      </c>
      <c r="BT45" s="550">
        <v>6.5799999999999997E-2</v>
      </c>
      <c r="BU45" s="550">
        <v>1.2999999999999999E-3</v>
      </c>
      <c r="BV45" s="550">
        <v>2.8E-3</v>
      </c>
      <c r="BW45" s="1318">
        <v>1.5900000000000001E-2</v>
      </c>
      <c r="BX45" s="945">
        <v>1.1999999999999999E-3</v>
      </c>
      <c r="BY45" s="48"/>
      <c r="CA45" s="46"/>
      <c r="CB45" s="810"/>
      <c r="CC45" s="810">
        <v>37</v>
      </c>
      <c r="CD45" s="946">
        <v>0.56640000000000001</v>
      </c>
      <c r="CE45" s="1363">
        <v>225.6499</v>
      </c>
      <c r="CF45" s="550">
        <v>2.1000000000000001E-2</v>
      </c>
      <c r="CG45" s="550">
        <v>4.0000000000000002E-4</v>
      </c>
      <c r="CH45" s="550">
        <v>2.2000000000000001E-3</v>
      </c>
      <c r="CI45" s="1318">
        <v>5.7000000000000002E-3</v>
      </c>
      <c r="CJ45" s="945">
        <v>4.0000000000000002E-4</v>
      </c>
      <c r="CK45" s="48"/>
      <c r="CN45" s="64"/>
      <c r="CO45" s="814"/>
      <c r="CP45" s="812">
        <v>2030</v>
      </c>
      <c r="CQ45" s="1341">
        <v>26.62</v>
      </c>
      <c r="CR45" s="1343">
        <v>10217</v>
      </c>
      <c r="CS45" s="552">
        <v>70.92</v>
      </c>
      <c r="CT45" s="552">
        <v>1.88</v>
      </c>
      <c r="CU45" s="552"/>
      <c r="CV45" s="552"/>
      <c r="CW45" s="553">
        <v>1.83</v>
      </c>
      <c r="CX45" s="65"/>
      <c r="DA45" s="46"/>
      <c r="DB45" s="810">
        <v>75</v>
      </c>
      <c r="DC45" s="1084">
        <v>0.98199999999999998</v>
      </c>
      <c r="DD45" s="1085">
        <v>0.97499999999999998</v>
      </c>
      <c r="DE45" s="48"/>
      <c r="DF45" s="46"/>
      <c r="DH45" s="46"/>
      <c r="DI45" s="810">
        <v>75</v>
      </c>
      <c r="DJ45" s="1084">
        <v>1</v>
      </c>
      <c r="DK45" s="1085">
        <v>1</v>
      </c>
      <c r="DL45" s="48"/>
      <c r="DO45" s="46"/>
      <c r="DP45" s="1086">
        <v>6.4000000000000001E-2</v>
      </c>
      <c r="DQ45" s="1087">
        <v>0.45300000000000001</v>
      </c>
      <c r="DR45" s="1088">
        <v>0.46700000000000003</v>
      </c>
      <c r="DS45" s="48"/>
    </row>
    <row r="46" spans="2:145" ht="15.5" x14ac:dyDescent="0.35">
      <c r="B46" s="79"/>
      <c r="C46" s="49"/>
      <c r="D46" s="39" t="s">
        <v>107</v>
      </c>
      <c r="E46" s="1162">
        <v>0.51100000000000001</v>
      </c>
      <c r="F46" s="63" t="s">
        <v>417</v>
      </c>
      <c r="G46" s="667"/>
      <c r="H46" s="1157">
        <v>9</v>
      </c>
      <c r="R46" s="1105"/>
      <c r="S46" s="1107"/>
      <c r="T46" s="1107"/>
      <c r="U46" s="1107"/>
      <c r="V46" s="1165"/>
      <c r="W46" s="1149"/>
      <c r="X46" s="751"/>
      <c r="Y46" s="57"/>
      <c r="Z46" s="865" t="s">
        <v>565</v>
      </c>
      <c r="AA46" s="787" t="str">
        <f>IF(RADataAvail="Y","NoAdj",IF(RM,"RM",IF(IM,"IM",IF(TI,"TI",IF(AM,"AM",IF(OnRamp,"OR","NoAdj"))))))&amp;IF(AND(RADataAvail&lt;&gt;"Y",OR(RM,IM,TI,AM,OnRamp)),IF(IF(ADT20NB=0,55,MIN(FFSpeedNB/(1+GenAlphaNB*MIN((PerPeakAvgHr*ADT20NB)/(GenLanesNB*GenLaneCapNB),MaxVC)^GenBetaNB),FFSpeedNB))&gt;35,"oth","sev"),"")</f>
        <v>NoAdj</v>
      </c>
      <c r="AB46" s="969" t="s">
        <v>86</v>
      </c>
      <c r="AC46" s="969"/>
      <c r="AD46" s="58"/>
      <c r="AF46" s="46"/>
      <c r="AG46" s="522" t="s">
        <v>681</v>
      </c>
      <c r="AH46" s="1166"/>
      <c r="AI46" s="1166"/>
      <c r="AJ46" s="1166"/>
      <c r="AK46" s="1166"/>
      <c r="AL46" s="1166"/>
      <c r="AM46" s="1167"/>
      <c r="AQ46" s="248"/>
      <c r="AR46" s="736">
        <v>39</v>
      </c>
      <c r="AS46" s="1071">
        <v>2.9499999999999998E-2</v>
      </c>
      <c r="AT46" s="1072">
        <v>8.0799999999999997E-2</v>
      </c>
      <c r="AU46" s="513"/>
      <c r="AV46" s="927"/>
      <c r="AW46" s="927"/>
      <c r="AX46" s="46"/>
      <c r="AY46" s="522" t="s">
        <v>881</v>
      </c>
      <c r="AZ46" s="526"/>
      <c r="BA46" s="526"/>
      <c r="BB46" s="526"/>
      <c r="BC46" s="526"/>
      <c r="BD46" s="48"/>
      <c r="BF46" s="46"/>
      <c r="BG46" s="522" t="s">
        <v>73</v>
      </c>
      <c r="BH46" s="198"/>
      <c r="BI46" s="198"/>
      <c r="BJ46" s="198"/>
      <c r="BK46" s="1349"/>
      <c r="BO46" s="46"/>
      <c r="BP46" s="810"/>
      <c r="BQ46" s="810">
        <v>38</v>
      </c>
      <c r="BR46" s="946">
        <v>0.98850000000000005</v>
      </c>
      <c r="BS46" s="1363">
        <v>284.79219999999998</v>
      </c>
      <c r="BT46" s="550">
        <v>6.5600000000000006E-2</v>
      </c>
      <c r="BU46" s="550">
        <v>1.1999999999999999E-3</v>
      </c>
      <c r="BV46" s="550">
        <v>2.8E-3</v>
      </c>
      <c r="BW46" s="1318">
        <v>1.55E-2</v>
      </c>
      <c r="BX46" s="945">
        <v>1.1000000000000001E-3</v>
      </c>
      <c r="BY46" s="48"/>
      <c r="CA46" s="46"/>
      <c r="CB46" s="810"/>
      <c r="CC46" s="810">
        <v>38</v>
      </c>
      <c r="CD46" s="946">
        <v>0.55989999999999995</v>
      </c>
      <c r="CE46" s="1363">
        <v>224.7319</v>
      </c>
      <c r="CF46" s="550">
        <v>2.0799999999999999E-2</v>
      </c>
      <c r="CG46" s="550">
        <v>4.0000000000000002E-4</v>
      </c>
      <c r="CH46" s="550">
        <v>2.2000000000000001E-3</v>
      </c>
      <c r="CI46" s="1318">
        <v>5.4999999999999997E-3</v>
      </c>
      <c r="CJ46" s="945">
        <v>4.0000000000000002E-4</v>
      </c>
      <c r="CK46" s="48"/>
      <c r="CN46" s="64"/>
      <c r="CO46" s="1337"/>
      <c r="CP46" s="1338"/>
      <c r="CQ46" s="1339"/>
      <c r="CR46" s="1339"/>
      <c r="CS46" s="1339"/>
      <c r="CT46" s="1339"/>
      <c r="CU46" s="1339"/>
      <c r="CV46" s="1339"/>
      <c r="CW46" s="1339"/>
      <c r="CX46" s="65"/>
      <c r="DA46" s="46"/>
      <c r="DB46" s="810">
        <v>100</v>
      </c>
      <c r="DC46" s="1084">
        <v>0.98499999999999999</v>
      </c>
      <c r="DD46" s="1085">
        <v>0.98</v>
      </c>
      <c r="DE46" s="48"/>
      <c r="DF46" s="46"/>
      <c r="DH46" s="46"/>
      <c r="DI46" s="810">
        <v>100</v>
      </c>
      <c r="DJ46" s="1084">
        <v>1</v>
      </c>
      <c r="DK46" s="1085">
        <v>1</v>
      </c>
      <c r="DL46" s="48"/>
      <c r="DO46" s="46"/>
      <c r="DP46" s="1086">
        <v>6.6000000000000003E-2</v>
      </c>
      <c r="DQ46" s="1087">
        <v>0.45300000000000001</v>
      </c>
      <c r="DR46" s="1088">
        <v>0.46600000000000003</v>
      </c>
      <c r="DS46" s="48"/>
    </row>
    <row r="47" spans="2:145" ht="15.5" x14ac:dyDescent="0.35">
      <c r="B47" s="79"/>
      <c r="C47" s="49"/>
      <c r="D47" s="39" t="s">
        <v>108</v>
      </c>
      <c r="E47" s="1162">
        <v>0.38900000000000001</v>
      </c>
      <c r="F47" s="63" t="s">
        <v>417</v>
      </c>
      <c r="G47" s="667"/>
      <c r="H47" s="1157">
        <v>9</v>
      </c>
      <c r="R47" s="1105"/>
      <c r="S47" s="1114" t="s">
        <v>822</v>
      </c>
      <c r="T47" s="1107"/>
      <c r="U47" s="1107"/>
      <c r="V47" s="1165"/>
      <c r="W47" s="1149"/>
      <c r="X47" s="751"/>
      <c r="Y47" s="57"/>
      <c r="Z47" s="865" t="s">
        <v>437</v>
      </c>
      <c r="AA47" s="787" t="b">
        <f>IF(SUM('2) Model Inputs'!$H$10:$H$12,'2) Model Inputs'!$H$14:$H$16,'2) Model Inputs'!$H$29:$H$31,'2) Model Inputs'!$H$33:$H$35,'2) Model Inputs'!$H$50:$H$52,'2) Model Inputs'!$H$54:$H$56,'2) Model Inputs'!$H$69:$H$71,'2) Model Inputs'!$H$73:$H$75)&lt;&gt;0,TRUE,FALSE)</f>
        <v>0</v>
      </c>
      <c r="AB47" s="969" t="s">
        <v>87</v>
      </c>
      <c r="AC47" s="969"/>
      <c r="AD47" s="58"/>
      <c r="AF47" s="46"/>
      <c r="AG47" s="1171" t="s">
        <v>682</v>
      </c>
      <c r="AH47" s="198"/>
      <c r="AI47" s="1171"/>
      <c r="AJ47" s="1171"/>
      <c r="AK47" s="1171"/>
      <c r="AL47" s="1171"/>
      <c r="AM47" s="65"/>
      <c r="AQ47" s="248"/>
      <c r="AR47" s="736">
        <v>40</v>
      </c>
      <c r="AS47" s="1071">
        <v>2.93E-2</v>
      </c>
      <c r="AT47" s="1072">
        <v>8.1199999999999994E-2</v>
      </c>
      <c r="AU47" s="244"/>
      <c r="AV47" s="271"/>
      <c r="AW47" s="927"/>
      <c r="AX47" s="46"/>
      <c r="AY47" s="809" t="s">
        <v>877</v>
      </c>
      <c r="AZ47" s="526"/>
      <c r="BA47" s="526"/>
      <c r="BB47" s="526"/>
      <c r="BC47" s="526"/>
      <c r="BD47" s="48"/>
      <c r="BF47" s="46"/>
      <c r="BG47" s="809" t="s">
        <v>71</v>
      </c>
      <c r="BH47" s="198"/>
      <c r="BI47" s="198"/>
      <c r="BJ47" s="198"/>
      <c r="BK47" s="1349"/>
      <c r="BO47" s="46"/>
      <c r="BP47" s="810"/>
      <c r="BQ47" s="810">
        <v>39</v>
      </c>
      <c r="BR47" s="946">
        <v>0.97799999999999998</v>
      </c>
      <c r="BS47" s="1363">
        <v>283.60210000000001</v>
      </c>
      <c r="BT47" s="550">
        <v>6.5299999999999997E-2</v>
      </c>
      <c r="BU47" s="550">
        <v>1.1999999999999999E-3</v>
      </c>
      <c r="BV47" s="550">
        <v>2.8E-3</v>
      </c>
      <c r="BW47" s="1318">
        <v>1.52E-2</v>
      </c>
      <c r="BX47" s="945">
        <v>1.1000000000000001E-3</v>
      </c>
      <c r="BY47" s="48"/>
      <c r="CA47" s="46"/>
      <c r="CB47" s="810"/>
      <c r="CC47" s="810">
        <v>39</v>
      </c>
      <c r="CD47" s="946">
        <v>0.55349999999999999</v>
      </c>
      <c r="CE47" s="1363">
        <v>223.8177</v>
      </c>
      <c r="CF47" s="550">
        <v>2.07E-2</v>
      </c>
      <c r="CG47" s="550">
        <v>4.0000000000000002E-4</v>
      </c>
      <c r="CH47" s="550">
        <v>2.2000000000000001E-3</v>
      </c>
      <c r="CI47" s="1318">
        <v>5.3E-3</v>
      </c>
      <c r="CJ47" s="945">
        <v>4.0000000000000002E-4</v>
      </c>
      <c r="CK47" s="48"/>
      <c r="CN47" s="64"/>
      <c r="CO47" s="1337"/>
      <c r="CP47" s="1344"/>
      <c r="CQ47" s="1345"/>
      <c r="CR47" s="1346" t="s">
        <v>756</v>
      </c>
      <c r="CS47" s="1347">
        <v>480</v>
      </c>
      <c r="CT47" s="1348" t="s">
        <v>757</v>
      </c>
      <c r="CU47" s="1344"/>
      <c r="CV47" s="1339"/>
      <c r="CW47" s="1339"/>
      <c r="CX47" s="65"/>
      <c r="DA47" s="46"/>
      <c r="DB47" s="810">
        <v>125</v>
      </c>
      <c r="DC47" s="1084">
        <v>0.99</v>
      </c>
      <c r="DD47" s="1085">
        <v>0.98599999999999999</v>
      </c>
      <c r="DE47" s="48"/>
      <c r="DF47" s="46"/>
      <c r="DH47" s="46"/>
      <c r="DI47" s="810">
        <v>125</v>
      </c>
      <c r="DJ47" s="1084">
        <v>1</v>
      </c>
      <c r="DK47" s="1085">
        <v>1</v>
      </c>
      <c r="DL47" s="48"/>
      <c r="DO47" s="46"/>
      <c r="DP47" s="1086">
        <v>6.8000000000000005E-2</v>
      </c>
      <c r="DQ47" s="1087">
        <v>0.45300000000000001</v>
      </c>
      <c r="DR47" s="1088">
        <v>0.46400000000000002</v>
      </c>
      <c r="DS47" s="48"/>
    </row>
    <row r="48" spans="2:145" ht="15.5" x14ac:dyDescent="0.35">
      <c r="B48" s="79"/>
      <c r="C48" s="49"/>
      <c r="D48" s="32"/>
      <c r="E48" s="33"/>
      <c r="F48" s="63"/>
      <c r="G48" s="667"/>
      <c r="H48" s="1135"/>
      <c r="R48" s="1105"/>
      <c r="S48" s="1107"/>
      <c r="T48" s="1118" t="s">
        <v>683</v>
      </c>
      <c r="U48" s="1172">
        <v>0.11</v>
      </c>
      <c r="V48" s="732" t="s">
        <v>422</v>
      </c>
      <c r="W48" s="1149"/>
      <c r="X48" s="751">
        <v>22</v>
      </c>
      <c r="Y48" s="59"/>
      <c r="Z48" s="1168"/>
      <c r="AA48" s="1169"/>
      <c r="AB48" s="1170"/>
      <c r="AC48" s="1170"/>
      <c r="AD48" s="62"/>
      <c r="AF48" s="46"/>
      <c r="AG48" s="36"/>
      <c r="AH48" s="36"/>
      <c r="AI48" s="36"/>
      <c r="AJ48" s="1173"/>
      <c r="AK48" s="1174"/>
      <c r="AL48" s="36"/>
      <c r="AM48" s="65"/>
      <c r="AQ48" s="248"/>
      <c r="AR48" s="736">
        <v>41</v>
      </c>
      <c r="AS48" s="1071">
        <v>2.9399999999999999E-2</v>
      </c>
      <c r="AT48" s="1072">
        <v>8.1299999999999997E-2</v>
      </c>
      <c r="AU48" s="244"/>
      <c r="AV48" s="271"/>
      <c r="AW48" s="271"/>
      <c r="AX48" s="46"/>
      <c r="AY48" s="26"/>
      <c r="AZ48" s="26"/>
      <c r="BA48" s="568"/>
      <c r="BB48" s="26"/>
      <c r="BC48" s="26"/>
      <c r="BD48" s="48"/>
      <c r="BF48" s="46"/>
      <c r="BG48" s="26"/>
      <c r="BH48" s="26"/>
      <c r="BI48" s="26"/>
      <c r="BJ48" s="26"/>
      <c r="BK48" s="48"/>
      <c r="BO48" s="46"/>
      <c r="BP48" s="810"/>
      <c r="BQ48" s="810">
        <v>40</v>
      </c>
      <c r="BR48" s="946">
        <v>0.9677</v>
      </c>
      <c r="BS48" s="1363">
        <v>282.41699999999997</v>
      </c>
      <c r="BT48" s="550">
        <v>6.5100000000000005E-2</v>
      </c>
      <c r="BU48" s="550">
        <v>1.1999999999999999E-3</v>
      </c>
      <c r="BV48" s="550">
        <v>2.8E-3</v>
      </c>
      <c r="BW48" s="1318">
        <v>1.4800000000000001E-2</v>
      </c>
      <c r="BX48" s="945">
        <v>1.1000000000000001E-3</v>
      </c>
      <c r="BY48" s="48"/>
      <c r="CA48" s="46"/>
      <c r="CB48" s="810"/>
      <c r="CC48" s="810">
        <v>40</v>
      </c>
      <c r="CD48" s="946">
        <v>0.54710000000000003</v>
      </c>
      <c r="CE48" s="1363">
        <v>222.90719999999999</v>
      </c>
      <c r="CF48" s="550">
        <v>2.06E-2</v>
      </c>
      <c r="CG48" s="550">
        <v>4.0000000000000002E-4</v>
      </c>
      <c r="CH48" s="550">
        <v>2.2000000000000001E-3</v>
      </c>
      <c r="CI48" s="1318">
        <v>5.1999999999999998E-3</v>
      </c>
      <c r="CJ48" s="945">
        <v>4.0000000000000002E-4</v>
      </c>
      <c r="CK48" s="48"/>
      <c r="CN48" s="64"/>
      <c r="CO48" s="1337"/>
      <c r="CP48" s="1344"/>
      <c r="CQ48" s="1345"/>
      <c r="CR48" s="1346" t="s">
        <v>761</v>
      </c>
      <c r="CS48" s="1347">
        <f>AVERAGE(3,5)</f>
        <v>4</v>
      </c>
      <c r="CT48" s="1348" t="s">
        <v>762</v>
      </c>
      <c r="CU48" s="1344"/>
      <c r="CV48" s="1339"/>
      <c r="CW48" s="1339"/>
      <c r="CX48" s="65"/>
      <c r="DA48" s="46"/>
      <c r="DB48" s="810">
        <v>150</v>
      </c>
      <c r="DC48" s="1084">
        <v>0.995</v>
      </c>
      <c r="DD48" s="1085">
        <v>0.99299999999999999</v>
      </c>
      <c r="DE48" s="48"/>
      <c r="DF48" s="46"/>
      <c r="DH48" s="46"/>
      <c r="DI48" s="810">
        <v>150</v>
      </c>
      <c r="DJ48" s="1084">
        <v>1.0169999999999999</v>
      </c>
      <c r="DK48" s="1085">
        <v>1.018</v>
      </c>
      <c r="DL48" s="48"/>
      <c r="DO48" s="46"/>
      <c r="DP48" s="1086">
        <v>7.0000000000000007E-2</v>
      </c>
      <c r="DQ48" s="1087">
        <v>0.45300000000000001</v>
      </c>
      <c r="DR48" s="1088">
        <v>0.46200000000000002</v>
      </c>
      <c r="DS48" s="48"/>
    </row>
    <row r="49" spans="2:123" ht="16" thickBot="1" x14ac:dyDescent="0.4">
      <c r="B49" s="79"/>
      <c r="C49" s="49" t="s">
        <v>285</v>
      </c>
      <c r="D49" s="32"/>
      <c r="E49" s="33"/>
      <c r="F49" s="63"/>
      <c r="G49" s="667"/>
      <c r="H49" s="1135"/>
      <c r="R49" s="1105"/>
      <c r="S49" s="1107"/>
      <c r="T49" s="1159" t="s">
        <v>684</v>
      </c>
      <c r="U49" s="1175">
        <v>7.8E-2</v>
      </c>
      <c r="V49" s="732" t="s">
        <v>422</v>
      </c>
      <c r="W49" s="1149"/>
      <c r="X49" s="751">
        <v>22</v>
      </c>
      <c r="AF49" s="46"/>
      <c r="AG49" s="1176"/>
      <c r="AH49" s="1177"/>
      <c r="AI49" s="1178"/>
      <c r="AJ49" s="1179" t="s">
        <v>65</v>
      </c>
      <c r="AK49" s="1180"/>
      <c r="AL49" s="1181"/>
      <c r="AM49" s="65"/>
      <c r="AQ49" s="248"/>
      <c r="AR49" s="736">
        <v>42</v>
      </c>
      <c r="AS49" s="1071">
        <v>2.9399999999999999E-2</v>
      </c>
      <c r="AT49" s="1072">
        <v>8.1299999999999997E-2</v>
      </c>
      <c r="AU49" s="244"/>
      <c r="AV49" s="271"/>
      <c r="AW49" s="271"/>
      <c r="AX49" s="46"/>
      <c r="AY49" s="563" t="s">
        <v>876</v>
      </c>
      <c r="AZ49" s="564" t="s">
        <v>65</v>
      </c>
      <c r="BA49" s="545" t="s">
        <v>466</v>
      </c>
      <c r="BB49" s="545" t="s">
        <v>64</v>
      </c>
      <c r="BC49" s="546" t="s">
        <v>591</v>
      </c>
      <c r="BD49" s="48"/>
      <c r="BF49" s="46"/>
      <c r="BG49" s="563" t="s">
        <v>149</v>
      </c>
      <c r="BH49" s="564" t="s">
        <v>74</v>
      </c>
      <c r="BI49" s="545" t="s">
        <v>389</v>
      </c>
      <c r="BJ49" s="546" t="s">
        <v>395</v>
      </c>
      <c r="BK49" s="48"/>
      <c r="BO49" s="46"/>
      <c r="BP49" s="810"/>
      <c r="BQ49" s="810">
        <v>41</v>
      </c>
      <c r="BR49" s="946">
        <v>0.95420000000000005</v>
      </c>
      <c r="BS49" s="1363">
        <v>282.63159999999999</v>
      </c>
      <c r="BT49" s="550">
        <v>6.4899999999999999E-2</v>
      </c>
      <c r="BU49" s="550">
        <v>1.1999999999999999E-3</v>
      </c>
      <c r="BV49" s="550">
        <v>2.8E-3</v>
      </c>
      <c r="BW49" s="1318">
        <v>1.46E-2</v>
      </c>
      <c r="BX49" s="945">
        <v>1.1000000000000001E-3</v>
      </c>
      <c r="BY49" s="48"/>
      <c r="CA49" s="46"/>
      <c r="CB49" s="810"/>
      <c r="CC49" s="810">
        <v>41</v>
      </c>
      <c r="CD49" s="946">
        <v>0.53979999999999995</v>
      </c>
      <c r="CE49" s="1363">
        <v>223.35849999999999</v>
      </c>
      <c r="CF49" s="550">
        <v>2.0500000000000001E-2</v>
      </c>
      <c r="CG49" s="550">
        <v>4.0000000000000002E-4</v>
      </c>
      <c r="CH49" s="550">
        <v>2.2000000000000001E-3</v>
      </c>
      <c r="CI49" s="1318">
        <v>5.1000000000000004E-3</v>
      </c>
      <c r="CJ49" s="945">
        <v>4.0000000000000002E-4</v>
      </c>
      <c r="CK49" s="48"/>
      <c r="CN49" s="50"/>
      <c r="CO49" s="51"/>
      <c r="CP49" s="51"/>
      <c r="CQ49" s="51"/>
      <c r="CR49" s="51"/>
      <c r="CS49" s="51"/>
      <c r="CT49" s="51"/>
      <c r="CU49" s="51"/>
      <c r="CV49" s="51"/>
      <c r="CW49" s="51"/>
      <c r="CX49" s="52"/>
      <c r="DA49" s="46"/>
      <c r="DB49" s="810">
        <v>175</v>
      </c>
      <c r="DC49" s="1084">
        <v>1</v>
      </c>
      <c r="DD49" s="1085">
        <v>1</v>
      </c>
      <c r="DE49" s="48"/>
      <c r="DF49" s="46"/>
      <c r="DH49" s="46"/>
      <c r="DI49" s="810">
        <v>175</v>
      </c>
      <c r="DJ49" s="1084">
        <v>1.034</v>
      </c>
      <c r="DK49" s="1085">
        <v>1.038</v>
      </c>
      <c r="DL49" s="48"/>
      <c r="DO49" s="46"/>
      <c r="DP49" s="1086">
        <v>7.1999999999999995E-2</v>
      </c>
      <c r="DQ49" s="1087">
        <v>0.45300000000000001</v>
      </c>
      <c r="DR49" s="1088">
        <v>0.46</v>
      </c>
      <c r="DS49" s="48"/>
    </row>
    <row r="50" spans="2:123" ht="14.5" thickTop="1" x14ac:dyDescent="0.3">
      <c r="B50" s="57"/>
      <c r="C50" s="49"/>
      <c r="D50" s="27" t="s">
        <v>412</v>
      </c>
      <c r="E50" s="1124">
        <f>ROUND((FuelPriceAuto/(1+SalesTaxGasState+SalesTaxLocal)-ExciseTaxGasFed-ExciseTaxGasState)/5,2)*5</f>
        <v>3</v>
      </c>
      <c r="F50" s="63" t="s">
        <v>417</v>
      </c>
      <c r="G50" s="667"/>
      <c r="H50" s="751"/>
      <c r="R50" s="1105"/>
      <c r="S50" s="1107"/>
      <c r="T50" s="1159" t="s">
        <v>685</v>
      </c>
      <c r="U50" s="1172">
        <v>5.5E-2</v>
      </c>
      <c r="V50" s="732" t="s">
        <v>422</v>
      </c>
      <c r="W50" s="1149"/>
      <c r="X50" s="751">
        <v>22</v>
      </c>
      <c r="AF50" s="46"/>
      <c r="AG50" s="1182" t="s">
        <v>243</v>
      </c>
      <c r="AH50" s="1183" t="s">
        <v>686</v>
      </c>
      <c r="AI50" s="1184"/>
      <c r="AJ50" s="1185" t="s">
        <v>687</v>
      </c>
      <c r="AK50" s="1186" t="s">
        <v>688</v>
      </c>
      <c r="AL50" s="1187" t="s">
        <v>64</v>
      </c>
      <c r="AM50" s="48"/>
      <c r="AQ50" s="248"/>
      <c r="AR50" s="736">
        <v>43</v>
      </c>
      <c r="AS50" s="1071">
        <v>2.9499999999999998E-2</v>
      </c>
      <c r="AT50" s="1072">
        <v>8.14E-2</v>
      </c>
      <c r="AU50" s="244"/>
      <c r="AV50" s="271"/>
      <c r="AW50" s="271"/>
      <c r="AX50" s="46"/>
      <c r="AY50" s="1636" t="s">
        <v>870</v>
      </c>
      <c r="AZ50" s="1188">
        <f>ROUND(553/123662,4)</f>
        <v>4.4999999999999997E-3</v>
      </c>
      <c r="BA50" s="1189">
        <f>ROUND(250/34195,4)</f>
        <v>7.3000000000000001E-3</v>
      </c>
      <c r="BB50" s="1189">
        <f>ROUND(559/27456,4)</f>
        <v>2.0400000000000001E-2</v>
      </c>
      <c r="BC50" s="1074">
        <f>ROUND(1362/185313,4)</f>
        <v>7.3000000000000001E-3</v>
      </c>
      <c r="BD50" s="48"/>
      <c r="BE50" s="751">
        <v>26</v>
      </c>
      <c r="BF50" s="46"/>
      <c r="BG50" s="637" t="s">
        <v>72</v>
      </c>
      <c r="BH50" s="1019">
        <v>847</v>
      </c>
      <c r="BI50" s="1020">
        <v>80</v>
      </c>
      <c r="BJ50" s="1021">
        <v>462</v>
      </c>
      <c r="BK50" s="48"/>
      <c r="BO50" s="46"/>
      <c r="BP50" s="810"/>
      <c r="BQ50" s="810">
        <v>42</v>
      </c>
      <c r="BR50" s="946">
        <v>0.94079999999999997</v>
      </c>
      <c r="BS50" s="1363">
        <v>282.84640000000002</v>
      </c>
      <c r="BT50" s="550">
        <v>6.4699999999999994E-2</v>
      </c>
      <c r="BU50" s="550">
        <v>1.1000000000000001E-3</v>
      </c>
      <c r="BV50" s="550">
        <v>2.8E-3</v>
      </c>
      <c r="BW50" s="1318">
        <v>1.44E-2</v>
      </c>
      <c r="BX50" s="945">
        <v>1E-3</v>
      </c>
      <c r="BY50" s="48"/>
      <c r="CA50" s="46"/>
      <c r="CB50" s="810"/>
      <c r="CC50" s="810">
        <v>42</v>
      </c>
      <c r="CD50" s="946">
        <v>0.53249999999999997</v>
      </c>
      <c r="CE50" s="1363">
        <v>223.8107</v>
      </c>
      <c r="CF50" s="550">
        <v>2.0500000000000001E-2</v>
      </c>
      <c r="CG50" s="550">
        <v>4.0000000000000002E-4</v>
      </c>
      <c r="CH50" s="550">
        <v>2.2000000000000001E-3</v>
      </c>
      <c r="CI50" s="1318">
        <v>5.0000000000000001E-3</v>
      </c>
      <c r="CJ50" s="945">
        <v>4.0000000000000002E-4</v>
      </c>
      <c r="CK50" s="48"/>
      <c r="DA50" s="46"/>
      <c r="DB50" s="810">
        <v>200</v>
      </c>
      <c r="DC50" s="1084">
        <v>1.0049999999999999</v>
      </c>
      <c r="DD50" s="1085">
        <v>1.0069999999999999</v>
      </c>
      <c r="DE50" s="48"/>
      <c r="DF50" s="46"/>
      <c r="DH50" s="46"/>
      <c r="DI50" s="810">
        <v>200</v>
      </c>
      <c r="DJ50" s="1084">
        <v>1.052</v>
      </c>
      <c r="DK50" s="1085">
        <v>1.0580000000000001</v>
      </c>
      <c r="DL50" s="48"/>
      <c r="DO50" s="46"/>
      <c r="DP50" s="1086">
        <v>7.3999999999999996E-2</v>
      </c>
      <c r="DQ50" s="1087">
        <v>0.45300000000000001</v>
      </c>
      <c r="DR50" s="1088">
        <v>0.45900000000000002</v>
      </c>
      <c r="DS50" s="48"/>
    </row>
    <row r="51" spans="2:123" ht="14" x14ac:dyDescent="0.3">
      <c r="B51" s="57"/>
      <c r="C51" s="49"/>
      <c r="D51" s="39" t="s">
        <v>249</v>
      </c>
      <c r="E51" s="1124">
        <f>ROUND((FuelPriceTruck/(1+SalesTaxDieselState)-ExciseTaxDieselFed-ExciseTaxDieselState)/5,2)*5</f>
        <v>2.8000000000000003</v>
      </c>
      <c r="F51" s="63" t="s">
        <v>417</v>
      </c>
      <c r="G51" s="667"/>
      <c r="H51" s="751"/>
      <c r="R51" s="1105"/>
      <c r="S51" s="1107"/>
      <c r="T51" s="1159" t="s">
        <v>689</v>
      </c>
      <c r="U51" s="1175">
        <v>2.5999999999999999E-2</v>
      </c>
      <c r="V51" s="732" t="s">
        <v>422</v>
      </c>
      <c r="W51" s="1149"/>
      <c r="X51" s="751">
        <v>22</v>
      </c>
      <c r="AF51" s="46"/>
      <c r="AG51" s="1190" t="s">
        <v>690</v>
      </c>
      <c r="AH51" s="1191" t="s">
        <v>691</v>
      </c>
      <c r="AI51" s="1192"/>
      <c r="AJ51" s="1193">
        <v>0.54900000000000004</v>
      </c>
      <c r="AK51" s="1194">
        <v>0.54900000000000004</v>
      </c>
      <c r="AL51" s="1195">
        <v>0.44600000000000001</v>
      </c>
      <c r="AM51" s="48"/>
      <c r="AQ51" s="248"/>
      <c r="AR51" s="736">
        <v>44</v>
      </c>
      <c r="AS51" s="1071">
        <v>2.9499999999999998E-2</v>
      </c>
      <c r="AT51" s="1072">
        <v>8.14E-2</v>
      </c>
      <c r="AU51" s="244"/>
      <c r="AV51" s="271"/>
      <c r="AW51" s="271"/>
      <c r="AX51" s="46"/>
      <c r="AY51" s="1638" t="s">
        <v>871</v>
      </c>
      <c r="AZ51" s="1196">
        <f>ROUND(39513/123662,4)</f>
        <v>0.31950000000000001</v>
      </c>
      <c r="BA51" s="1197">
        <f>ROUND(11328/34195,4)</f>
        <v>0.33129999999999998</v>
      </c>
      <c r="BB51" s="1197">
        <f>ROUND(9886/27456,4)</f>
        <v>0.36009999999999998</v>
      </c>
      <c r="BC51" s="1080">
        <f>ROUND(60727/185313,4)</f>
        <v>0.32769999999999999</v>
      </c>
      <c r="BD51" s="48"/>
      <c r="BE51" s="751">
        <v>26</v>
      </c>
      <c r="BF51" s="46"/>
      <c r="BG51" s="1015" t="s">
        <v>75</v>
      </c>
      <c r="BH51" s="1016"/>
      <c r="BI51" s="1017">
        <f>ROUND(BI50/BH50,4)</f>
        <v>9.4500000000000001E-2</v>
      </c>
      <c r="BJ51" s="1018">
        <f>ROUND(BJ50/BH50,4)</f>
        <v>0.54549999999999998</v>
      </c>
      <c r="BK51" s="48"/>
      <c r="BO51" s="46"/>
      <c r="BP51" s="810"/>
      <c r="BQ51" s="810">
        <v>43</v>
      </c>
      <c r="BR51" s="946">
        <v>0.92769999999999997</v>
      </c>
      <c r="BS51" s="1363">
        <v>283.06130000000002</v>
      </c>
      <c r="BT51" s="550">
        <v>6.4500000000000002E-2</v>
      </c>
      <c r="BU51" s="550">
        <v>1.1000000000000001E-3</v>
      </c>
      <c r="BV51" s="550">
        <v>2.8E-3</v>
      </c>
      <c r="BW51" s="1318">
        <v>1.4200000000000001E-2</v>
      </c>
      <c r="BX51" s="945">
        <v>1E-3</v>
      </c>
      <c r="BY51" s="48"/>
      <c r="CA51" s="46"/>
      <c r="CB51" s="810"/>
      <c r="CC51" s="810">
        <v>43</v>
      </c>
      <c r="CD51" s="946">
        <v>0.52529999999999999</v>
      </c>
      <c r="CE51" s="1363">
        <v>224.2638</v>
      </c>
      <c r="CF51" s="550">
        <v>2.0400000000000001E-2</v>
      </c>
      <c r="CG51" s="550">
        <v>4.0000000000000002E-4</v>
      </c>
      <c r="CH51" s="550">
        <v>2.2000000000000001E-3</v>
      </c>
      <c r="CI51" s="1318">
        <v>5.0000000000000001E-3</v>
      </c>
      <c r="CJ51" s="945">
        <v>4.0000000000000002E-4</v>
      </c>
      <c r="CK51" s="48"/>
      <c r="CN51" s="1352" t="s">
        <v>852</v>
      </c>
      <c r="CO51" s="1353"/>
      <c r="DA51" s="46"/>
      <c r="DB51" s="810">
        <v>225</v>
      </c>
      <c r="DC51" s="1084">
        <v>1.012</v>
      </c>
      <c r="DD51" s="1085">
        <v>1.0169999999999999</v>
      </c>
      <c r="DE51" s="48"/>
      <c r="DF51" s="46"/>
      <c r="DH51" s="46"/>
      <c r="DI51" s="810">
        <v>225</v>
      </c>
      <c r="DJ51" s="1084">
        <v>1.07</v>
      </c>
      <c r="DK51" s="1085">
        <v>1.0780000000000001</v>
      </c>
      <c r="DL51" s="48"/>
      <c r="DO51" s="46"/>
      <c r="DP51" s="1086">
        <v>7.5999999999999998E-2</v>
      </c>
      <c r="DQ51" s="1087">
        <v>0.45300000000000001</v>
      </c>
      <c r="DR51" s="1088">
        <v>0.45700000000000002</v>
      </c>
      <c r="DS51" s="48"/>
    </row>
    <row r="52" spans="2:123" ht="14" x14ac:dyDescent="0.3">
      <c r="B52" s="57"/>
      <c r="C52" s="49"/>
      <c r="D52" s="32"/>
      <c r="E52" s="33"/>
      <c r="F52" s="63"/>
      <c r="G52" s="667"/>
      <c r="H52" s="751"/>
      <c r="R52" s="1105"/>
      <c r="S52" s="1107"/>
      <c r="T52" s="1159" t="s">
        <v>692</v>
      </c>
      <c r="U52" s="1172">
        <v>2.5999999999999999E-2</v>
      </c>
      <c r="V52" s="732" t="s">
        <v>422</v>
      </c>
      <c r="W52" s="1149"/>
      <c r="X52" s="751">
        <v>22</v>
      </c>
      <c r="AF52" s="46"/>
      <c r="AG52" s="1198" t="s">
        <v>693</v>
      </c>
      <c r="AH52" s="1199" t="s">
        <v>694</v>
      </c>
      <c r="AI52" s="1200"/>
      <c r="AJ52" s="1201">
        <v>0.80500000000000005</v>
      </c>
      <c r="AK52" s="1202">
        <v>0.80500000000000005</v>
      </c>
      <c r="AL52" s="1203">
        <v>0.79900000000000004</v>
      </c>
      <c r="AM52" s="48"/>
      <c r="AQ52" s="248"/>
      <c r="AR52" s="736">
        <v>45</v>
      </c>
      <c r="AS52" s="1071">
        <v>2.9499999999999998E-2</v>
      </c>
      <c r="AT52" s="1072">
        <v>8.14E-2</v>
      </c>
      <c r="AU52" s="244"/>
      <c r="AV52" s="271"/>
      <c r="AW52" s="271"/>
      <c r="AX52" s="46"/>
      <c r="AY52" s="1637" t="s">
        <v>872</v>
      </c>
      <c r="AZ52" s="1204">
        <f>ROUND(83596/123662,4)</f>
        <v>0.67600000000000005</v>
      </c>
      <c r="BA52" s="1205">
        <f>ROUND(22617/34195,4)</f>
        <v>0.66139999999999999</v>
      </c>
      <c r="BB52" s="1205">
        <f>ROUND(17011/27456,4)</f>
        <v>0.61960000000000004</v>
      </c>
      <c r="BC52" s="1094">
        <f>ROUND(123224/185313,4)</f>
        <v>0.66500000000000004</v>
      </c>
      <c r="BD52" s="48"/>
      <c r="BE52" s="751">
        <v>26</v>
      </c>
      <c r="BF52" s="46"/>
      <c r="BG52" s="567" t="s">
        <v>39</v>
      </c>
      <c r="BH52" s="1014"/>
      <c r="BI52" s="929">
        <f>BH26</f>
        <v>11800000</v>
      </c>
      <c r="BJ52" s="930">
        <f>BH27</f>
        <v>211900</v>
      </c>
      <c r="BK52" s="48"/>
      <c r="BO52" s="46"/>
      <c r="BP52" s="810"/>
      <c r="BQ52" s="810">
        <v>44</v>
      </c>
      <c r="BR52" s="946">
        <v>0.91469999999999996</v>
      </c>
      <c r="BS52" s="1363">
        <v>283.27640000000002</v>
      </c>
      <c r="BT52" s="550">
        <v>6.4299999999999996E-2</v>
      </c>
      <c r="BU52" s="550">
        <v>1.1000000000000001E-3</v>
      </c>
      <c r="BV52" s="550">
        <v>2.8E-3</v>
      </c>
      <c r="BW52" s="1318">
        <v>1.4E-2</v>
      </c>
      <c r="BX52" s="945">
        <v>1E-3</v>
      </c>
      <c r="BY52" s="48"/>
      <c r="CA52" s="46"/>
      <c r="CB52" s="810"/>
      <c r="CC52" s="810">
        <v>44</v>
      </c>
      <c r="CD52" s="946">
        <v>0.51819999999999999</v>
      </c>
      <c r="CE52" s="1363">
        <v>224.71789999999999</v>
      </c>
      <c r="CF52" s="550">
        <v>2.0299999999999999E-2</v>
      </c>
      <c r="CG52" s="550">
        <v>4.0000000000000002E-4</v>
      </c>
      <c r="CH52" s="550">
        <v>2.2000000000000001E-3</v>
      </c>
      <c r="CI52" s="1318">
        <v>4.8999999999999998E-3</v>
      </c>
      <c r="CJ52" s="945">
        <v>4.0000000000000002E-4</v>
      </c>
      <c r="CK52" s="48"/>
      <c r="CN52" s="1353"/>
      <c r="CO52" s="1356" t="s">
        <v>851</v>
      </c>
      <c r="DA52" s="46"/>
      <c r="DB52" s="810">
        <v>250</v>
      </c>
      <c r="DC52" s="1084">
        <v>1.0189999999999999</v>
      </c>
      <c r="DD52" s="1085">
        <v>1.026</v>
      </c>
      <c r="DE52" s="48"/>
      <c r="DF52" s="46"/>
      <c r="DH52" s="46"/>
      <c r="DI52" s="810">
        <v>250</v>
      </c>
      <c r="DJ52" s="1084">
        <v>1.0880000000000001</v>
      </c>
      <c r="DK52" s="1085">
        <v>1.097</v>
      </c>
      <c r="DL52" s="48"/>
      <c r="DO52" s="46"/>
      <c r="DP52" s="1086">
        <v>7.8E-2</v>
      </c>
      <c r="DQ52" s="1087">
        <v>0.45300000000000001</v>
      </c>
      <c r="DR52" s="1088">
        <v>0.45500000000000002</v>
      </c>
      <c r="DS52" s="48"/>
    </row>
    <row r="53" spans="2:123" ht="14.5" thickBot="1" x14ac:dyDescent="0.35">
      <c r="B53" s="57"/>
      <c r="C53" s="49" t="s">
        <v>418</v>
      </c>
      <c r="D53" s="32"/>
      <c r="E53" s="33"/>
      <c r="F53" s="63"/>
      <c r="G53" s="667"/>
      <c r="H53" s="751"/>
      <c r="R53" s="1105"/>
      <c r="S53" s="1107"/>
      <c r="T53" s="1159" t="s">
        <v>695</v>
      </c>
      <c r="U53" s="1175">
        <v>1.7000000000000001E-2</v>
      </c>
      <c r="V53" s="732" t="s">
        <v>422</v>
      </c>
      <c r="W53" s="1149"/>
      <c r="X53" s="751">
        <v>22</v>
      </c>
      <c r="AF53" s="46"/>
      <c r="AG53" s="36"/>
      <c r="AH53" s="36"/>
      <c r="AI53" s="1206"/>
      <c r="AJ53" s="1207"/>
      <c r="AK53" s="1207"/>
      <c r="AL53" s="1207"/>
      <c r="AM53" s="48"/>
      <c r="AQ53" s="248"/>
      <c r="AR53" s="736">
        <v>46</v>
      </c>
      <c r="AS53" s="1071">
        <v>2.9899999999999999E-2</v>
      </c>
      <c r="AT53" s="1072">
        <v>7.8600000000000003E-2</v>
      </c>
      <c r="AU53" s="244"/>
      <c r="AV53" s="271"/>
      <c r="AW53" s="271"/>
      <c r="AX53" s="50"/>
      <c r="AY53" s="51"/>
      <c r="AZ53" s="51"/>
      <c r="BA53" s="51"/>
      <c r="BB53" s="51"/>
      <c r="BC53" s="51"/>
      <c r="BD53" s="52"/>
      <c r="BF53" s="50"/>
      <c r="BG53" s="51"/>
      <c r="BH53" s="51"/>
      <c r="BI53" s="51"/>
      <c r="BJ53" s="51"/>
      <c r="BK53" s="52"/>
      <c r="BO53" s="46"/>
      <c r="BP53" s="810"/>
      <c r="BQ53" s="810">
        <v>45</v>
      </c>
      <c r="BR53" s="946">
        <v>0.90200000000000002</v>
      </c>
      <c r="BS53" s="1363">
        <v>283.49169999999998</v>
      </c>
      <c r="BT53" s="550">
        <v>6.4100000000000004E-2</v>
      </c>
      <c r="BU53" s="550">
        <v>1.1000000000000001E-3</v>
      </c>
      <c r="BV53" s="550">
        <v>2.8E-3</v>
      </c>
      <c r="BW53" s="1318">
        <v>1.38E-2</v>
      </c>
      <c r="BX53" s="945">
        <v>1E-3</v>
      </c>
      <c r="BY53" s="48"/>
      <c r="CA53" s="46"/>
      <c r="CB53" s="810"/>
      <c r="CC53" s="810">
        <v>45</v>
      </c>
      <c r="CD53" s="946">
        <v>0.51119999999999999</v>
      </c>
      <c r="CE53" s="1363">
        <v>225.1728</v>
      </c>
      <c r="CF53" s="550">
        <v>2.0299999999999999E-2</v>
      </c>
      <c r="CG53" s="550">
        <v>4.0000000000000002E-4</v>
      </c>
      <c r="CH53" s="550">
        <v>2.2000000000000001E-3</v>
      </c>
      <c r="CI53" s="1318">
        <v>4.7999999999999996E-3</v>
      </c>
      <c r="CJ53" s="945">
        <v>4.0000000000000002E-4</v>
      </c>
      <c r="CK53" s="48"/>
      <c r="CN53" s="1357"/>
      <c r="CO53" s="1356" t="s">
        <v>850</v>
      </c>
      <c r="DA53" s="46"/>
      <c r="DB53" s="810">
        <v>275</v>
      </c>
      <c r="DC53" s="1084">
        <v>1.0269999999999999</v>
      </c>
      <c r="DD53" s="1085">
        <v>1.036</v>
      </c>
      <c r="DE53" s="48"/>
      <c r="DF53" s="46"/>
      <c r="DH53" s="46"/>
      <c r="DI53" s="810">
        <v>275</v>
      </c>
      <c r="DJ53" s="1084">
        <v>1.105</v>
      </c>
      <c r="DK53" s="1085">
        <v>1.117</v>
      </c>
      <c r="DL53" s="48"/>
      <c r="DO53" s="46"/>
      <c r="DP53" s="1208">
        <v>0.08</v>
      </c>
      <c r="DQ53" s="1209">
        <v>0.45300000000000001</v>
      </c>
      <c r="DR53" s="1210">
        <v>0.45300000000000001</v>
      </c>
      <c r="DS53" s="48"/>
    </row>
    <row r="54" spans="2:123" ht="15" thickTop="1" thickBot="1" x14ac:dyDescent="0.35">
      <c r="B54" s="57"/>
      <c r="C54" s="49"/>
      <c r="D54" s="27" t="s">
        <v>412</v>
      </c>
      <c r="E54" s="1162">
        <f>ROUND((0.0955+3900/15000)*ValueUpdate,3)</f>
        <v>0.35599999999999998</v>
      </c>
      <c r="F54" s="63" t="s">
        <v>422</v>
      </c>
      <c r="G54" s="667"/>
      <c r="H54" s="751">
        <v>11</v>
      </c>
      <c r="R54" s="1105"/>
      <c r="S54" s="1107"/>
      <c r="T54" s="1159" t="s">
        <v>696</v>
      </c>
      <c r="U54" s="1172">
        <v>1.7000000000000001E-2</v>
      </c>
      <c r="V54" s="732" t="s">
        <v>422</v>
      </c>
      <c r="W54" s="1149"/>
      <c r="X54" s="751">
        <v>22</v>
      </c>
      <c r="AF54" s="46"/>
      <c r="AG54" s="26"/>
      <c r="AH54" s="26"/>
      <c r="AI54" s="26"/>
      <c r="AJ54" s="26"/>
      <c r="AK54" s="26"/>
      <c r="AL54" s="26"/>
      <c r="AM54" s="48"/>
      <c r="AQ54" s="248"/>
      <c r="AR54" s="736">
        <v>47</v>
      </c>
      <c r="AS54" s="1071">
        <v>3.0200000000000001E-2</v>
      </c>
      <c r="AT54" s="1072">
        <v>7.5800000000000006E-2</v>
      </c>
      <c r="AU54" s="244"/>
      <c r="AV54" s="271"/>
      <c r="AW54" s="271"/>
      <c r="AX54" s="275"/>
      <c r="AY54" s="275"/>
      <c r="AZ54" s="275"/>
      <c r="BA54" s="275"/>
      <c r="BB54" s="275"/>
      <c r="BC54" s="275"/>
      <c r="BD54" s="275"/>
      <c r="BO54" s="46"/>
      <c r="BP54" s="810"/>
      <c r="BQ54" s="810">
        <v>46</v>
      </c>
      <c r="BR54" s="946">
        <v>0.89500000000000002</v>
      </c>
      <c r="BS54" s="1363">
        <v>286.14699999999999</v>
      </c>
      <c r="BT54" s="550">
        <v>6.4299999999999996E-2</v>
      </c>
      <c r="BU54" s="550">
        <v>1.1000000000000001E-3</v>
      </c>
      <c r="BV54" s="550">
        <v>2.8E-3</v>
      </c>
      <c r="BW54" s="1318">
        <v>1.38E-2</v>
      </c>
      <c r="BX54" s="945">
        <v>1E-3</v>
      </c>
      <c r="BY54" s="48"/>
      <c r="CA54" s="46"/>
      <c r="CB54" s="810"/>
      <c r="CC54" s="810">
        <v>46</v>
      </c>
      <c r="CD54" s="946">
        <v>0.5081</v>
      </c>
      <c r="CE54" s="1363">
        <v>228.05520000000001</v>
      </c>
      <c r="CF54" s="550">
        <v>2.0299999999999999E-2</v>
      </c>
      <c r="CG54" s="550">
        <v>4.0000000000000002E-4</v>
      </c>
      <c r="CH54" s="550">
        <v>2.3E-3</v>
      </c>
      <c r="CI54" s="1318">
        <v>4.7999999999999996E-3</v>
      </c>
      <c r="CJ54" s="945">
        <v>4.0000000000000002E-4</v>
      </c>
      <c r="CK54" s="48"/>
      <c r="CN54" s="1358"/>
      <c r="CO54" s="1356" t="s">
        <v>849</v>
      </c>
      <c r="DA54" s="46"/>
      <c r="DB54" s="810">
        <v>300</v>
      </c>
      <c r="DC54" s="1084">
        <v>1.034</v>
      </c>
      <c r="DD54" s="1085">
        <v>1.0469999999999999</v>
      </c>
      <c r="DE54" s="48"/>
      <c r="DF54" s="46"/>
      <c r="DH54" s="46"/>
      <c r="DI54" s="810">
        <v>300</v>
      </c>
      <c r="DJ54" s="1084">
        <v>1.123</v>
      </c>
      <c r="DK54" s="1085">
        <v>1.137</v>
      </c>
      <c r="DL54" s="48"/>
      <c r="DO54" s="50"/>
      <c r="DP54" s="51"/>
      <c r="DQ54" s="51"/>
      <c r="DR54" s="51"/>
      <c r="DS54" s="52"/>
    </row>
    <row r="55" spans="2:123" ht="14.5" thickTop="1" x14ac:dyDescent="0.3">
      <c r="B55" s="57"/>
      <c r="C55" s="49"/>
      <c r="D55" s="39" t="s">
        <v>249</v>
      </c>
      <c r="E55" s="1162">
        <f>ROUND((0.28+0.119+0.034)*(1.1578/1.1385)*ValueUpdate,3)</f>
        <v>0.44</v>
      </c>
      <c r="F55" s="63" t="s">
        <v>422</v>
      </c>
      <c r="G55" s="667"/>
      <c r="H55" s="751">
        <v>12</v>
      </c>
      <c r="R55" s="1105"/>
      <c r="S55" s="1107"/>
      <c r="T55" s="1107"/>
      <c r="U55" s="1107"/>
      <c r="V55" s="1165"/>
      <c r="W55" s="1149"/>
      <c r="X55" s="751"/>
      <c r="AF55" s="46"/>
      <c r="AG55" s="522" t="s">
        <v>697</v>
      </c>
      <c r="AH55" s="1166"/>
      <c r="AI55" s="1166"/>
      <c r="AJ55" s="1166"/>
      <c r="AK55" s="1166"/>
      <c r="AL55" s="1166"/>
      <c r="AM55" s="48"/>
      <c r="AQ55" s="248"/>
      <c r="AR55" s="736">
        <v>48</v>
      </c>
      <c r="AS55" s="1071">
        <v>3.0499999999999999E-2</v>
      </c>
      <c r="AT55" s="1072">
        <v>7.3099999999999998E-2</v>
      </c>
      <c r="AU55" s="244"/>
      <c r="AV55" s="271"/>
      <c r="AW55" s="271"/>
      <c r="AX55" s="554" t="s">
        <v>698</v>
      </c>
      <c r="AY55" s="271"/>
      <c r="AZ55" s="271"/>
      <c r="BA55" s="271"/>
      <c r="BB55" s="271"/>
      <c r="BC55" s="271"/>
      <c r="BD55" s="271"/>
      <c r="BF55" s="554" t="s">
        <v>699</v>
      </c>
      <c r="BO55" s="46"/>
      <c r="BP55" s="810"/>
      <c r="BQ55" s="810">
        <v>47</v>
      </c>
      <c r="BR55" s="946">
        <v>0.88819999999999999</v>
      </c>
      <c r="BS55" s="1363">
        <v>288.82729999999998</v>
      </c>
      <c r="BT55" s="550">
        <v>6.4500000000000002E-2</v>
      </c>
      <c r="BU55" s="550">
        <v>1.1000000000000001E-3</v>
      </c>
      <c r="BV55" s="550">
        <v>2.8999999999999998E-3</v>
      </c>
      <c r="BW55" s="1318">
        <v>1.38E-2</v>
      </c>
      <c r="BX55" s="945">
        <v>1E-3</v>
      </c>
      <c r="BY55" s="48"/>
      <c r="CA55" s="46"/>
      <c r="CB55" s="810"/>
      <c r="CC55" s="810">
        <v>47</v>
      </c>
      <c r="CD55" s="946">
        <v>0.50509999999999999</v>
      </c>
      <c r="CE55" s="1363">
        <v>230.97450000000001</v>
      </c>
      <c r="CF55" s="550">
        <v>2.0400000000000001E-2</v>
      </c>
      <c r="CG55" s="550">
        <v>4.0000000000000002E-4</v>
      </c>
      <c r="CH55" s="550">
        <v>2.3E-3</v>
      </c>
      <c r="CI55" s="1318">
        <v>4.7999999999999996E-3</v>
      </c>
      <c r="CJ55" s="945">
        <v>4.0000000000000002E-4</v>
      </c>
      <c r="CK55" s="48"/>
      <c r="CO55" s="1356" t="s">
        <v>767</v>
      </c>
      <c r="DA55" s="46"/>
      <c r="DB55" s="810">
        <v>325</v>
      </c>
      <c r="DC55" s="1084">
        <v>1.0409999999999999</v>
      </c>
      <c r="DD55" s="1085">
        <v>1.0580000000000001</v>
      </c>
      <c r="DE55" s="48"/>
      <c r="DF55" s="46"/>
      <c r="DH55" s="46"/>
      <c r="DI55" s="810">
        <v>325</v>
      </c>
      <c r="DJ55" s="1084">
        <v>1.141</v>
      </c>
      <c r="DK55" s="1085">
        <v>1.1559999999999999</v>
      </c>
      <c r="DL55" s="48"/>
    </row>
    <row r="56" spans="2:123" ht="14" x14ac:dyDescent="0.3">
      <c r="B56" s="57"/>
      <c r="C56" s="49"/>
      <c r="D56" s="32"/>
      <c r="E56" s="33"/>
      <c r="F56" s="63"/>
      <c r="G56" s="667"/>
      <c r="H56" s="751"/>
      <c r="R56" s="1105"/>
      <c r="S56" s="49" t="s">
        <v>700</v>
      </c>
      <c r="T56" s="32"/>
      <c r="U56" s="1154"/>
      <c r="V56" s="732"/>
      <c r="W56" s="1111"/>
      <c r="X56" s="751"/>
      <c r="AF56" s="46"/>
      <c r="AG56" s="1171" t="s">
        <v>701</v>
      </c>
      <c r="AH56" s="198"/>
      <c r="AI56" s="1171"/>
      <c r="AJ56" s="1171"/>
      <c r="AK56" s="1171"/>
      <c r="AL56" s="1171"/>
      <c r="AM56" s="48"/>
      <c r="AQ56" s="248"/>
      <c r="AR56" s="736">
        <v>49</v>
      </c>
      <c r="AS56" s="1071">
        <v>3.09E-2</v>
      </c>
      <c r="AT56" s="1072">
        <v>7.0499999999999993E-2</v>
      </c>
      <c r="AU56" s="244"/>
      <c r="AV56" s="271"/>
      <c r="AW56" s="271"/>
      <c r="AX56" s="554"/>
      <c r="AY56" s="1618" t="s">
        <v>840</v>
      </c>
      <c r="AZ56" s="271"/>
      <c r="BA56" s="271"/>
      <c r="BB56" s="271"/>
      <c r="BC56" s="271"/>
      <c r="BD56" s="271"/>
      <c r="BG56" s="554" t="s">
        <v>844</v>
      </c>
      <c r="BO56" s="46"/>
      <c r="BP56" s="810"/>
      <c r="BQ56" s="810">
        <v>48</v>
      </c>
      <c r="BR56" s="946">
        <v>0.88139999999999996</v>
      </c>
      <c r="BS56" s="1363">
        <v>291.5326</v>
      </c>
      <c r="BT56" s="550">
        <v>6.4699999999999994E-2</v>
      </c>
      <c r="BU56" s="550">
        <v>1.1000000000000001E-3</v>
      </c>
      <c r="BV56" s="550">
        <v>2.8999999999999998E-3</v>
      </c>
      <c r="BW56" s="1318">
        <v>1.37E-2</v>
      </c>
      <c r="BX56" s="945">
        <v>1E-3</v>
      </c>
      <c r="BY56" s="48"/>
      <c r="CA56" s="46"/>
      <c r="CB56" s="810"/>
      <c r="CC56" s="810">
        <v>48</v>
      </c>
      <c r="CD56" s="946">
        <v>0.50209999999999999</v>
      </c>
      <c r="CE56" s="1363">
        <v>233.93119999999999</v>
      </c>
      <c r="CF56" s="550">
        <v>2.0500000000000001E-2</v>
      </c>
      <c r="CG56" s="550">
        <v>4.0000000000000002E-4</v>
      </c>
      <c r="CH56" s="550">
        <v>2.3E-3</v>
      </c>
      <c r="CI56" s="1318">
        <v>4.7999999999999996E-3</v>
      </c>
      <c r="CJ56" s="945">
        <v>4.0000000000000002E-4</v>
      </c>
      <c r="CK56" s="48"/>
      <c r="CO56" s="1356" t="s">
        <v>768</v>
      </c>
      <c r="DA56" s="46"/>
      <c r="DB56" s="810">
        <v>350</v>
      </c>
      <c r="DC56" s="1084">
        <v>1.05</v>
      </c>
      <c r="DD56" s="1085">
        <v>1.07</v>
      </c>
      <c r="DE56" s="48"/>
      <c r="DF56" s="46"/>
      <c r="DH56" s="46"/>
      <c r="DI56" s="810">
        <v>350</v>
      </c>
      <c r="DJ56" s="1084">
        <v>1.159</v>
      </c>
      <c r="DK56" s="1085">
        <v>1.1759999999999999</v>
      </c>
      <c r="DL56" s="48"/>
      <c r="DO56" s="554" t="s">
        <v>504</v>
      </c>
    </row>
    <row r="57" spans="2:123" ht="14" x14ac:dyDescent="0.3">
      <c r="B57" s="57"/>
      <c r="C57" s="49" t="s">
        <v>59</v>
      </c>
      <c r="D57" s="32"/>
      <c r="E57" s="1117">
        <v>5</v>
      </c>
      <c r="F57" s="63" t="s">
        <v>58</v>
      </c>
      <c r="G57" s="667"/>
      <c r="H57" s="751"/>
      <c r="R57" s="1105"/>
      <c r="S57" s="49"/>
      <c r="T57" s="677" t="s">
        <v>702</v>
      </c>
      <c r="U57" s="1211">
        <v>3.5</v>
      </c>
      <c r="V57" s="732" t="s">
        <v>35</v>
      </c>
      <c r="W57" s="1111"/>
      <c r="X57" s="751">
        <v>23</v>
      </c>
      <c r="AF57" s="46"/>
      <c r="AG57" s="26"/>
      <c r="AH57" s="26"/>
      <c r="AI57" s="26"/>
      <c r="AJ57" s="26"/>
      <c r="AK57" s="26"/>
      <c r="AL57" s="26"/>
      <c r="AM57" s="48"/>
      <c r="AQ57" s="248"/>
      <c r="AR57" s="736">
        <v>50</v>
      </c>
      <c r="AS57" s="1071">
        <v>3.1199999999999999E-2</v>
      </c>
      <c r="AT57" s="1072">
        <v>6.8000000000000005E-2</v>
      </c>
      <c r="AU57" s="244"/>
      <c r="AV57" s="271"/>
      <c r="AW57" s="271"/>
      <c r="AX57" s="271"/>
      <c r="AY57" s="271"/>
      <c r="AZ57" s="271"/>
      <c r="BA57" s="271"/>
      <c r="BB57" s="271"/>
      <c r="BC57" s="271"/>
      <c r="BD57" s="271"/>
      <c r="BO57" s="46"/>
      <c r="BP57" s="810"/>
      <c r="BQ57" s="810">
        <v>49</v>
      </c>
      <c r="BR57" s="946">
        <v>0.87460000000000004</v>
      </c>
      <c r="BS57" s="1363">
        <v>294.26330000000002</v>
      </c>
      <c r="BT57" s="550">
        <v>6.4899999999999999E-2</v>
      </c>
      <c r="BU57" s="550">
        <v>1.1000000000000001E-3</v>
      </c>
      <c r="BV57" s="550">
        <v>2.8999999999999998E-3</v>
      </c>
      <c r="BW57" s="1318">
        <v>1.37E-2</v>
      </c>
      <c r="BX57" s="945">
        <v>1E-3</v>
      </c>
      <c r="BY57" s="48"/>
      <c r="CA57" s="46"/>
      <c r="CB57" s="810"/>
      <c r="CC57" s="810">
        <v>49</v>
      </c>
      <c r="CD57" s="946">
        <v>0.49909999999999999</v>
      </c>
      <c r="CE57" s="1363">
        <v>236.92570000000001</v>
      </c>
      <c r="CF57" s="550">
        <v>2.06E-2</v>
      </c>
      <c r="CG57" s="550">
        <v>4.0000000000000002E-4</v>
      </c>
      <c r="CH57" s="550">
        <v>2.3E-3</v>
      </c>
      <c r="CI57" s="1318">
        <v>4.7999999999999996E-3</v>
      </c>
      <c r="CJ57" s="945">
        <v>4.0000000000000002E-4</v>
      </c>
      <c r="CK57" s="48"/>
      <c r="DA57" s="46"/>
      <c r="DB57" s="810">
        <v>375</v>
      </c>
      <c r="DC57" s="1084">
        <v>1.0609999999999999</v>
      </c>
      <c r="DD57" s="1085">
        <v>1.085</v>
      </c>
      <c r="DE57" s="48"/>
      <c r="DF57" s="46"/>
      <c r="DH57" s="46"/>
      <c r="DI57" s="810">
        <v>375</v>
      </c>
      <c r="DJ57" s="1084">
        <v>1.1759999999999999</v>
      </c>
      <c r="DK57" s="1085">
        <v>1.196</v>
      </c>
      <c r="DL57" s="48"/>
    </row>
    <row r="58" spans="2:123" ht="14.5" thickBot="1" x14ac:dyDescent="0.35">
      <c r="B58" s="57"/>
      <c r="C58" s="49"/>
      <c r="D58" s="32"/>
      <c r="E58" s="33"/>
      <c r="F58" s="63"/>
      <c r="G58" s="667"/>
      <c r="H58" s="751"/>
      <c r="R58" s="1212"/>
      <c r="S58" s="49"/>
      <c r="T58" s="1159" t="s">
        <v>703</v>
      </c>
      <c r="U58" s="1213">
        <v>0.66</v>
      </c>
      <c r="V58" s="732" t="s">
        <v>403</v>
      </c>
      <c r="W58" s="1214"/>
      <c r="X58" s="751">
        <v>23</v>
      </c>
      <c r="AF58" s="46"/>
      <c r="AG58" s="1176"/>
      <c r="AH58" s="1177"/>
      <c r="AI58" s="1178"/>
      <c r="AJ58" s="1179" t="s">
        <v>65</v>
      </c>
      <c r="AK58" s="1180"/>
      <c r="AL58" s="1181"/>
      <c r="AM58" s="48"/>
      <c r="AQ58" s="248"/>
      <c r="AR58" s="736">
        <v>51</v>
      </c>
      <c r="AS58" s="1071">
        <v>3.1600000000000003E-2</v>
      </c>
      <c r="AT58" s="1072">
        <v>7.0699999999999999E-2</v>
      </c>
      <c r="AU58" s="244"/>
      <c r="AV58" s="271"/>
      <c r="AW58" s="271"/>
      <c r="AX58" s="271"/>
      <c r="AY58" s="271"/>
      <c r="AZ58" s="271"/>
      <c r="BA58" s="271"/>
      <c r="BB58" s="271"/>
      <c r="BC58" s="271"/>
      <c r="BD58" s="271"/>
      <c r="BO58" s="46"/>
      <c r="BP58" s="810"/>
      <c r="BQ58" s="810">
        <v>50</v>
      </c>
      <c r="BR58" s="946">
        <v>0.8679</v>
      </c>
      <c r="BS58" s="1363">
        <v>297.01949999999999</v>
      </c>
      <c r="BT58" s="550">
        <v>6.5199999999999994E-2</v>
      </c>
      <c r="BU58" s="550">
        <v>1.1000000000000001E-3</v>
      </c>
      <c r="BV58" s="550">
        <v>2.8999999999999998E-3</v>
      </c>
      <c r="BW58" s="1318">
        <v>1.37E-2</v>
      </c>
      <c r="BX58" s="945">
        <v>1E-3</v>
      </c>
      <c r="BY58" s="48"/>
      <c r="CA58" s="46"/>
      <c r="CB58" s="810"/>
      <c r="CC58" s="810">
        <v>50</v>
      </c>
      <c r="CD58" s="946">
        <v>0.49609999999999999</v>
      </c>
      <c r="CE58" s="1363">
        <v>239.95859999999999</v>
      </c>
      <c r="CF58" s="550">
        <v>2.07E-2</v>
      </c>
      <c r="CG58" s="550">
        <v>4.0000000000000002E-4</v>
      </c>
      <c r="CH58" s="550">
        <v>2.3999999999999998E-3</v>
      </c>
      <c r="CI58" s="1318">
        <v>4.7999999999999996E-3</v>
      </c>
      <c r="CJ58" s="945">
        <v>4.0000000000000002E-4</v>
      </c>
      <c r="CK58" s="48"/>
      <c r="DA58" s="46"/>
      <c r="DB58" s="810">
        <v>400</v>
      </c>
      <c r="DC58" s="1084">
        <v>1.0720000000000001</v>
      </c>
      <c r="DD58" s="1085">
        <v>1.1000000000000001</v>
      </c>
      <c r="DE58" s="48"/>
      <c r="DF58" s="46"/>
      <c r="DH58" s="46"/>
      <c r="DI58" s="810">
        <v>400</v>
      </c>
      <c r="DJ58" s="1084">
        <v>1.194</v>
      </c>
      <c r="DK58" s="1085">
        <v>1.216</v>
      </c>
      <c r="DL58" s="48"/>
    </row>
    <row r="59" spans="2:123" ht="16" thickTop="1" x14ac:dyDescent="0.35">
      <c r="B59" s="79" t="s">
        <v>529</v>
      </c>
      <c r="C59" s="49"/>
      <c r="D59" s="32"/>
      <c r="E59" s="63"/>
      <c r="F59" s="63"/>
      <c r="G59" s="667"/>
      <c r="H59" s="751"/>
      <c r="R59" s="1212"/>
      <c r="S59" s="49"/>
      <c r="T59" s="1118" t="s">
        <v>704</v>
      </c>
      <c r="U59" s="1213">
        <v>0.06</v>
      </c>
      <c r="V59" s="732" t="s">
        <v>403</v>
      </c>
      <c r="W59" s="1214"/>
      <c r="X59" s="751">
        <v>24</v>
      </c>
      <c r="AF59" s="46"/>
      <c r="AG59" s="1182" t="s">
        <v>243</v>
      </c>
      <c r="AH59" s="1183" t="s">
        <v>686</v>
      </c>
      <c r="AI59" s="1184"/>
      <c r="AJ59" s="1185" t="s">
        <v>687</v>
      </c>
      <c r="AK59" s="1186" t="s">
        <v>688</v>
      </c>
      <c r="AL59" s="1187" t="s">
        <v>64</v>
      </c>
      <c r="AM59" s="48"/>
      <c r="AN59" s="676"/>
      <c r="AO59" s="676"/>
      <c r="AP59" s="676"/>
      <c r="AQ59" s="248"/>
      <c r="AR59" s="736">
        <v>52</v>
      </c>
      <c r="AS59" s="1071">
        <v>3.2099999999999997E-2</v>
      </c>
      <c r="AT59" s="1072">
        <v>7.3499999999999996E-2</v>
      </c>
      <c r="AU59" s="244"/>
      <c r="AV59" s="271"/>
      <c r="AW59" s="271"/>
      <c r="AX59" s="44"/>
      <c r="AY59" s="53"/>
      <c r="AZ59" s="53"/>
      <c r="BA59" s="53"/>
      <c r="BB59" s="53"/>
      <c r="BC59" s="53"/>
      <c r="BD59" s="45"/>
      <c r="BF59" s="44"/>
      <c r="BG59" s="53"/>
      <c r="BH59" s="53"/>
      <c r="BI59" s="53"/>
      <c r="BJ59" s="53"/>
      <c r="BK59" s="45"/>
      <c r="BO59" s="46"/>
      <c r="BP59" s="810"/>
      <c r="BQ59" s="810">
        <v>51</v>
      </c>
      <c r="BR59" s="946">
        <v>0.86080000000000001</v>
      </c>
      <c r="BS59" s="1363">
        <v>300.5677</v>
      </c>
      <c r="BT59" s="550">
        <v>6.5500000000000003E-2</v>
      </c>
      <c r="BU59" s="550">
        <v>1.1000000000000001E-3</v>
      </c>
      <c r="BV59" s="550">
        <v>3.0000000000000001E-3</v>
      </c>
      <c r="BW59" s="1318">
        <v>1.38E-2</v>
      </c>
      <c r="BX59" s="945">
        <v>1E-3</v>
      </c>
      <c r="BY59" s="48"/>
      <c r="CA59" s="46"/>
      <c r="CB59" s="810"/>
      <c r="CC59" s="810">
        <v>51</v>
      </c>
      <c r="CD59" s="946">
        <v>0.49370000000000003</v>
      </c>
      <c r="CE59" s="1363">
        <v>243.83770000000001</v>
      </c>
      <c r="CF59" s="550">
        <v>2.0899999999999998E-2</v>
      </c>
      <c r="CG59" s="550">
        <v>4.0000000000000002E-4</v>
      </c>
      <c r="CH59" s="550">
        <v>2.3999999999999998E-3</v>
      </c>
      <c r="CI59" s="1318">
        <v>4.8999999999999998E-3</v>
      </c>
      <c r="CJ59" s="945">
        <v>4.0000000000000002E-4</v>
      </c>
      <c r="CK59" s="48"/>
      <c r="DA59" s="46"/>
      <c r="DB59" s="810">
        <v>425</v>
      </c>
      <c r="DC59" s="1084">
        <v>1.0820000000000001</v>
      </c>
      <c r="DD59" s="1085">
        <v>1.1140000000000001</v>
      </c>
      <c r="DE59" s="48"/>
      <c r="DF59" s="46"/>
      <c r="DH59" s="46"/>
      <c r="DI59" s="810">
        <v>425</v>
      </c>
      <c r="DJ59" s="1084">
        <v>1.212</v>
      </c>
      <c r="DK59" s="1085">
        <v>1.2350000000000001</v>
      </c>
      <c r="DL59" s="48"/>
    </row>
    <row r="60" spans="2:123" ht="15.5" x14ac:dyDescent="0.35">
      <c r="B60" s="79"/>
      <c r="C60" s="49"/>
      <c r="D60" s="32"/>
      <c r="E60" s="63"/>
      <c r="F60" s="63"/>
      <c r="G60" s="667"/>
      <c r="H60" s="751"/>
      <c r="R60" s="1140"/>
      <c r="S60" s="1215"/>
      <c r="T60" s="1164"/>
      <c r="U60" s="1216"/>
      <c r="V60" s="1217"/>
      <c r="W60" s="1141"/>
      <c r="X60" s="1135"/>
      <c r="AF60" s="46"/>
      <c r="AG60" s="1218" t="s">
        <v>690</v>
      </c>
      <c r="AH60" s="1191" t="s">
        <v>671</v>
      </c>
      <c r="AI60" s="1219"/>
      <c r="AJ60" s="1220">
        <v>2.29</v>
      </c>
      <c r="AK60" s="1221">
        <v>2.29</v>
      </c>
      <c r="AL60" s="1222">
        <v>7.89</v>
      </c>
      <c r="AM60" s="48"/>
      <c r="AN60" s="676"/>
      <c r="AO60" s="676"/>
      <c r="AP60" s="676"/>
      <c r="AQ60" s="248"/>
      <c r="AR60" s="736">
        <v>53</v>
      </c>
      <c r="AS60" s="1071">
        <v>3.2500000000000001E-2</v>
      </c>
      <c r="AT60" s="1072">
        <v>7.6399999999999996E-2</v>
      </c>
      <c r="AU60" s="244"/>
      <c r="AV60" s="271"/>
      <c r="AW60" s="271"/>
      <c r="AX60" s="46"/>
      <c r="AY60" s="522" t="s">
        <v>878</v>
      </c>
      <c r="AZ60" s="526"/>
      <c r="BA60" s="526"/>
      <c r="BB60" s="526"/>
      <c r="BC60" s="526"/>
      <c r="BD60" s="48"/>
      <c r="BF60" s="46"/>
      <c r="BG60" s="522" t="s">
        <v>880</v>
      </c>
      <c r="BH60" s="526"/>
      <c r="BI60" s="526"/>
      <c r="BJ60" s="526"/>
      <c r="BK60" s="1349"/>
      <c r="BO60" s="46"/>
      <c r="BP60" s="810"/>
      <c r="BQ60" s="810">
        <v>52</v>
      </c>
      <c r="BR60" s="946">
        <v>0.85370000000000001</v>
      </c>
      <c r="BS60" s="1363">
        <v>304.1583</v>
      </c>
      <c r="BT60" s="550">
        <v>6.59E-2</v>
      </c>
      <c r="BU60" s="550">
        <v>1.1000000000000001E-3</v>
      </c>
      <c r="BV60" s="550">
        <v>3.0000000000000001E-3</v>
      </c>
      <c r="BW60" s="1318">
        <v>1.3899999999999999E-2</v>
      </c>
      <c r="BX60" s="945">
        <v>1E-3</v>
      </c>
      <c r="BY60" s="48"/>
      <c r="CA60" s="46"/>
      <c r="CB60" s="810"/>
      <c r="CC60" s="810">
        <v>52</v>
      </c>
      <c r="CD60" s="946">
        <v>0.49130000000000001</v>
      </c>
      <c r="CE60" s="1363">
        <v>247.77940000000001</v>
      </c>
      <c r="CF60" s="550">
        <v>2.1100000000000001E-2</v>
      </c>
      <c r="CG60" s="550">
        <v>4.0000000000000002E-4</v>
      </c>
      <c r="CH60" s="550">
        <v>2.3999999999999998E-3</v>
      </c>
      <c r="CI60" s="1318">
        <v>4.8999999999999998E-3</v>
      </c>
      <c r="CJ60" s="945">
        <v>4.0000000000000002E-4</v>
      </c>
      <c r="CK60" s="48"/>
      <c r="DA60" s="46"/>
      <c r="DB60" s="812">
        <v>450</v>
      </c>
      <c r="DC60" s="1132">
        <v>1.093</v>
      </c>
      <c r="DD60" s="1133">
        <v>1.129</v>
      </c>
      <c r="DE60" s="48"/>
      <c r="DF60" s="46"/>
      <c r="DH60" s="46"/>
      <c r="DI60" s="812">
        <v>450</v>
      </c>
      <c r="DJ60" s="1132">
        <v>1.23</v>
      </c>
      <c r="DK60" s="1133">
        <v>1.2549999999999999</v>
      </c>
      <c r="DL60" s="48"/>
    </row>
    <row r="61" spans="2:123" ht="16" thickBot="1" x14ac:dyDescent="0.4">
      <c r="B61" s="79"/>
      <c r="C61" s="49" t="s">
        <v>424</v>
      </c>
      <c r="D61" s="32"/>
      <c r="E61" s="1223">
        <f>ROUND(11600000*(1.1578/1.1385)*ValueUpdate,-5)</f>
        <v>11800000</v>
      </c>
      <c r="F61" s="63" t="s">
        <v>425</v>
      </c>
      <c r="G61" s="667"/>
      <c r="H61" s="751">
        <v>13</v>
      </c>
      <c r="R61" s="1140"/>
      <c r="S61" s="49" t="s">
        <v>705</v>
      </c>
      <c r="T61" s="32"/>
      <c r="U61" s="1154"/>
      <c r="V61" s="732"/>
      <c r="W61" s="1141"/>
      <c r="X61" s="1135"/>
      <c r="AF61" s="46"/>
      <c r="AG61" s="1224"/>
      <c r="AH61" s="1199" t="s">
        <v>706</v>
      </c>
      <c r="AI61" s="1225"/>
      <c r="AJ61" s="1226">
        <v>0.99</v>
      </c>
      <c r="AK61" s="1227">
        <v>0.99</v>
      </c>
      <c r="AL61" s="1228">
        <v>0.78</v>
      </c>
      <c r="AM61" s="48"/>
      <c r="AN61" s="676"/>
      <c r="AO61" s="676"/>
      <c r="AP61" s="676"/>
      <c r="AQ61" s="248"/>
      <c r="AR61" s="736">
        <v>54</v>
      </c>
      <c r="AS61" s="1071">
        <v>3.3000000000000002E-2</v>
      </c>
      <c r="AT61" s="1072">
        <v>7.9399999999999998E-2</v>
      </c>
      <c r="AU61" s="244"/>
      <c r="AV61" s="271"/>
      <c r="AW61" s="271"/>
      <c r="AX61" s="46"/>
      <c r="AY61" s="809" t="s">
        <v>879</v>
      </c>
      <c r="AZ61" s="526"/>
      <c r="BA61" s="526"/>
      <c r="BB61" s="526"/>
      <c r="BC61" s="526"/>
      <c r="BD61" s="48"/>
      <c r="BF61" s="46"/>
      <c r="BG61" s="809" t="s">
        <v>431</v>
      </c>
      <c r="BH61" s="526"/>
      <c r="BI61" s="526"/>
      <c r="BJ61" s="526"/>
      <c r="BK61" s="1349"/>
      <c r="BO61" s="46"/>
      <c r="BP61" s="810"/>
      <c r="BQ61" s="810">
        <v>53</v>
      </c>
      <c r="BR61" s="946">
        <v>0.84670000000000001</v>
      </c>
      <c r="BS61" s="1363">
        <v>307.79180000000002</v>
      </c>
      <c r="BT61" s="550">
        <v>6.6299999999999998E-2</v>
      </c>
      <c r="BU61" s="550">
        <v>1.1000000000000001E-3</v>
      </c>
      <c r="BV61" s="550">
        <v>3.0000000000000001E-3</v>
      </c>
      <c r="BW61" s="1318">
        <v>1.4E-2</v>
      </c>
      <c r="BX61" s="945">
        <v>1E-3</v>
      </c>
      <c r="BY61" s="48"/>
      <c r="CA61" s="46"/>
      <c r="CB61" s="810"/>
      <c r="CC61" s="810">
        <v>53</v>
      </c>
      <c r="CD61" s="946">
        <v>0.4889</v>
      </c>
      <c r="CE61" s="1363">
        <v>251.78489999999999</v>
      </c>
      <c r="CF61" s="550">
        <v>2.1299999999999999E-2</v>
      </c>
      <c r="CG61" s="550">
        <v>4.0000000000000002E-4</v>
      </c>
      <c r="CH61" s="550">
        <v>2.5000000000000001E-3</v>
      </c>
      <c r="CI61" s="1318">
        <v>5.0000000000000001E-3</v>
      </c>
      <c r="CJ61" s="945">
        <v>4.0000000000000002E-4</v>
      </c>
      <c r="CK61" s="48"/>
      <c r="DA61" s="50"/>
      <c r="DB61" s="51"/>
      <c r="DC61" s="51"/>
      <c r="DD61" s="51"/>
      <c r="DE61" s="52"/>
      <c r="DF61" s="46"/>
      <c r="DH61" s="50"/>
      <c r="DI61" s="51"/>
      <c r="DJ61" s="51"/>
      <c r="DK61" s="51"/>
      <c r="DL61" s="52"/>
    </row>
    <row r="62" spans="2:123" ht="14.5" thickTop="1" x14ac:dyDescent="0.3">
      <c r="B62" s="57"/>
      <c r="C62" s="49"/>
      <c r="D62" s="32"/>
      <c r="E62" s="63"/>
      <c r="F62" s="63"/>
      <c r="G62" s="667"/>
      <c r="H62" s="751"/>
      <c r="R62" s="1140"/>
      <c r="S62" s="49"/>
      <c r="T62" s="677" t="s">
        <v>707</v>
      </c>
      <c r="U62" s="1229">
        <f>IF(ProjLoc=1,AJ51,IF(ProjLoc=2,AK51,AL51))</f>
        <v>0.44600000000000001</v>
      </c>
      <c r="V62" s="732" t="s">
        <v>403</v>
      </c>
      <c r="W62" s="1141"/>
      <c r="X62" s="1157"/>
      <c r="AF62" s="46"/>
      <c r="AG62" s="1230" t="s">
        <v>693</v>
      </c>
      <c r="AH62" s="1191" t="s">
        <v>671</v>
      </c>
      <c r="AI62" s="1219"/>
      <c r="AJ62" s="1220">
        <v>0.68</v>
      </c>
      <c r="AK62" s="1221">
        <v>0.68</v>
      </c>
      <c r="AL62" s="1222">
        <v>0.6</v>
      </c>
      <c r="AM62" s="48"/>
      <c r="AN62" s="676"/>
      <c r="AO62" s="676"/>
      <c r="AP62" s="676"/>
      <c r="AQ62" s="248"/>
      <c r="AR62" s="736">
        <v>55</v>
      </c>
      <c r="AS62" s="1071">
        <v>3.3399999999999999E-2</v>
      </c>
      <c r="AT62" s="1072">
        <v>8.2600000000000007E-2</v>
      </c>
      <c r="AU62" s="244"/>
      <c r="AV62" s="271"/>
      <c r="AW62" s="271"/>
      <c r="AX62" s="46"/>
      <c r="AY62" s="26"/>
      <c r="AZ62" s="26"/>
      <c r="BA62" s="568"/>
      <c r="BB62" s="26"/>
      <c r="BC62" s="26"/>
      <c r="BD62" s="48"/>
      <c r="BF62" s="46"/>
      <c r="BG62" s="26"/>
      <c r="BH62" s="26"/>
      <c r="BI62" s="568"/>
      <c r="BJ62" s="26"/>
      <c r="BK62" s="48"/>
      <c r="BO62" s="46"/>
      <c r="BP62" s="810"/>
      <c r="BQ62" s="810">
        <v>54</v>
      </c>
      <c r="BR62" s="946">
        <v>0.83979999999999999</v>
      </c>
      <c r="BS62" s="1363">
        <v>311.46870000000001</v>
      </c>
      <c r="BT62" s="550">
        <v>6.6699999999999995E-2</v>
      </c>
      <c r="BU62" s="550">
        <v>1.1000000000000001E-3</v>
      </c>
      <c r="BV62" s="550">
        <v>3.0999999999999999E-3</v>
      </c>
      <c r="BW62" s="1318">
        <v>1.41E-2</v>
      </c>
      <c r="BX62" s="945">
        <v>1E-3</v>
      </c>
      <c r="BY62" s="48"/>
      <c r="CA62" s="46"/>
      <c r="CB62" s="810"/>
      <c r="CC62" s="810">
        <v>54</v>
      </c>
      <c r="CD62" s="946">
        <v>0.48659999999999998</v>
      </c>
      <c r="CE62" s="1363">
        <v>255.8552</v>
      </c>
      <c r="CF62" s="550">
        <v>2.1499999999999998E-2</v>
      </c>
      <c r="CG62" s="550">
        <v>4.0000000000000002E-4</v>
      </c>
      <c r="CH62" s="550">
        <v>2.5000000000000001E-3</v>
      </c>
      <c r="CI62" s="1318">
        <v>5.1000000000000004E-3</v>
      </c>
      <c r="CJ62" s="945">
        <v>4.0000000000000002E-4</v>
      </c>
      <c r="CK62" s="48"/>
    </row>
    <row r="63" spans="2:123" ht="14" x14ac:dyDescent="0.3">
      <c r="B63" s="57"/>
      <c r="C63" s="49" t="s">
        <v>427</v>
      </c>
      <c r="D63" s="32"/>
      <c r="E63" s="63"/>
      <c r="F63" s="63"/>
      <c r="G63" s="667"/>
      <c r="H63" s="751"/>
      <c r="R63" s="1140"/>
      <c r="S63" s="49"/>
      <c r="T63" s="677" t="s">
        <v>708</v>
      </c>
      <c r="U63" s="1229">
        <f>IF(ProjLoc=1,AJ52,IF(ProjLoc=2,AK52,AL52))</f>
        <v>0.79900000000000004</v>
      </c>
      <c r="V63" s="732" t="s">
        <v>403</v>
      </c>
      <c r="W63" s="1141"/>
      <c r="X63" s="1157"/>
      <c r="AF63" s="46"/>
      <c r="AG63" s="1231"/>
      <c r="AH63" s="1199" t="s">
        <v>706</v>
      </c>
      <c r="AI63" s="1225"/>
      <c r="AJ63" s="1226">
        <v>0.63</v>
      </c>
      <c r="AK63" s="1227">
        <v>0.63</v>
      </c>
      <c r="AL63" s="1228">
        <v>1.08</v>
      </c>
      <c r="AM63" s="48"/>
      <c r="AN63" s="676"/>
      <c r="AO63" s="676"/>
      <c r="AP63" s="676"/>
      <c r="AQ63" s="248"/>
      <c r="AR63" s="736">
        <v>56</v>
      </c>
      <c r="AS63" s="1071">
        <v>3.3700000000000001E-2</v>
      </c>
      <c r="AT63" s="1072">
        <v>8.6499999999999994E-2</v>
      </c>
      <c r="AU63" s="244"/>
      <c r="AV63" s="271"/>
      <c r="AW63" s="271"/>
      <c r="AX63" s="46"/>
      <c r="AY63" s="563" t="s">
        <v>876</v>
      </c>
      <c r="AZ63" s="564" t="s">
        <v>65</v>
      </c>
      <c r="BA63" s="545" t="s">
        <v>466</v>
      </c>
      <c r="BB63" s="545" t="s">
        <v>64</v>
      </c>
      <c r="BC63" s="546" t="s">
        <v>591</v>
      </c>
      <c r="BD63" s="48"/>
      <c r="BF63" s="46"/>
      <c r="BG63" s="684" t="s">
        <v>432</v>
      </c>
      <c r="BH63" s="544" t="s">
        <v>389</v>
      </c>
      <c r="BI63" s="545" t="s">
        <v>395</v>
      </c>
      <c r="BJ63" s="546" t="s">
        <v>433</v>
      </c>
      <c r="BK63" s="48"/>
      <c r="BO63" s="46"/>
      <c r="BP63" s="810"/>
      <c r="BQ63" s="810">
        <v>55</v>
      </c>
      <c r="BR63" s="946">
        <v>0.83289999999999997</v>
      </c>
      <c r="BS63" s="1363">
        <v>315.18950000000001</v>
      </c>
      <c r="BT63" s="550">
        <v>6.7100000000000007E-2</v>
      </c>
      <c r="BU63" s="550">
        <v>1.1000000000000001E-3</v>
      </c>
      <c r="BV63" s="550">
        <v>3.0999999999999999E-3</v>
      </c>
      <c r="BW63" s="1318">
        <v>1.4200000000000001E-2</v>
      </c>
      <c r="BX63" s="945">
        <v>1E-3</v>
      </c>
      <c r="BY63" s="48"/>
      <c r="CA63" s="46"/>
      <c r="CB63" s="810"/>
      <c r="CC63" s="810">
        <v>55</v>
      </c>
      <c r="CD63" s="946">
        <v>0.48420000000000002</v>
      </c>
      <c r="CE63" s="1363">
        <v>259.99119999999999</v>
      </c>
      <c r="CF63" s="550">
        <v>2.1700000000000001E-2</v>
      </c>
      <c r="CG63" s="550">
        <v>4.0000000000000002E-4</v>
      </c>
      <c r="CH63" s="550">
        <v>2.5999999999999999E-3</v>
      </c>
      <c r="CI63" s="1318">
        <v>5.1000000000000004E-3</v>
      </c>
      <c r="CJ63" s="945">
        <v>4.0000000000000002E-4</v>
      </c>
      <c r="CK63" s="48"/>
      <c r="DA63" s="554" t="s">
        <v>435</v>
      </c>
      <c r="DH63" s="554" t="s">
        <v>436</v>
      </c>
    </row>
    <row r="64" spans="2:123" ht="14" x14ac:dyDescent="0.3">
      <c r="B64" s="57"/>
      <c r="C64" s="49"/>
      <c r="D64" s="27" t="s">
        <v>428</v>
      </c>
      <c r="E64" s="1232">
        <f>ROUND(521300*(1.1578/1.1244)*ValueUpdate,-2)</f>
        <v>536800</v>
      </c>
      <c r="F64" s="63" t="s">
        <v>425</v>
      </c>
      <c r="G64" s="667"/>
      <c r="H64" s="751">
        <v>13</v>
      </c>
      <c r="R64" s="1140"/>
      <c r="S64" s="1215"/>
      <c r="T64" s="32"/>
      <c r="U64" s="1107"/>
      <c r="V64" s="732"/>
      <c r="W64" s="1141"/>
      <c r="X64" s="751"/>
      <c r="AF64" s="46"/>
      <c r="AG64" s="36"/>
      <c r="AH64" s="36"/>
      <c r="AI64" s="1206"/>
      <c r="AJ64" s="1207"/>
      <c r="AK64" s="1207"/>
      <c r="AL64" s="1207"/>
      <c r="AM64" s="48"/>
      <c r="AN64" s="676"/>
      <c r="AO64" s="676"/>
      <c r="AP64" s="676"/>
      <c r="AQ64" s="248"/>
      <c r="AR64" s="736">
        <v>57</v>
      </c>
      <c r="AS64" s="1071">
        <v>3.4000000000000002E-2</v>
      </c>
      <c r="AT64" s="1072">
        <v>9.0700000000000003E-2</v>
      </c>
      <c r="AU64" s="244"/>
      <c r="AV64" s="271"/>
      <c r="AW64" s="271"/>
      <c r="AX64" s="46"/>
      <c r="AY64" s="1636" t="s">
        <v>870</v>
      </c>
      <c r="AZ64" s="1233">
        <f>ROUND(FatValue*AZ26+(InjAValue*AZ$12+InjBValue*AZ$13+InjCValue*AZ$14)*AZ33+NoInjValue*AZ41,-5)</f>
        <v>13000000</v>
      </c>
      <c r="BA64" s="1129">
        <f>ROUND(FatValue*BA26+(InjAValue*BA$12+InjBValue*BA$13+InjCValue*BA$14)*BA33+NoInjValue*BA41,-5)</f>
        <v>12800000</v>
      </c>
      <c r="BB64" s="1129">
        <f>ROUND(FatValue*BB26+(InjAValue*BB$12+InjBValue*BB$13+InjCValue*BB$14)*BB33+NoInjValue*BB41,-5)</f>
        <v>13600000</v>
      </c>
      <c r="BC64" s="1130">
        <f>ROUND(FatValue*BC26+(InjAValue*BC$12+InjBValue*BC$13+InjCValue*BC$14)*BC33+NoInjValue*BC41,-5)</f>
        <v>13200000</v>
      </c>
      <c r="BD64" s="48"/>
      <c r="BF64" s="46"/>
      <c r="BG64" s="685">
        <v>0</v>
      </c>
      <c r="BH64" s="1234">
        <v>0.25</v>
      </c>
      <c r="BI64" s="1234">
        <v>0.69399999999999995</v>
      </c>
      <c r="BJ64" s="1235">
        <v>0.92600000000000005</v>
      </c>
      <c r="BK64" s="48"/>
      <c r="BO64" s="46"/>
      <c r="BP64" s="810"/>
      <c r="BQ64" s="810">
        <v>56</v>
      </c>
      <c r="BR64" s="946">
        <v>0.81669999999999998</v>
      </c>
      <c r="BS64" s="1363">
        <v>317.38749999999999</v>
      </c>
      <c r="BT64" s="550">
        <v>6.6799999999999998E-2</v>
      </c>
      <c r="BU64" s="550">
        <v>1.1000000000000001E-3</v>
      </c>
      <c r="BV64" s="550">
        <v>3.0999999999999999E-3</v>
      </c>
      <c r="BW64" s="1318">
        <v>1.43E-2</v>
      </c>
      <c r="BX64" s="945">
        <v>1E-3</v>
      </c>
      <c r="BY64" s="48"/>
      <c r="CA64" s="46"/>
      <c r="CB64" s="810"/>
      <c r="CC64" s="810">
        <v>56</v>
      </c>
      <c r="CD64" s="946">
        <v>0.47720000000000001</v>
      </c>
      <c r="CE64" s="1363">
        <v>262.64600000000002</v>
      </c>
      <c r="CF64" s="550">
        <v>2.18E-2</v>
      </c>
      <c r="CG64" s="550">
        <v>4.0000000000000002E-4</v>
      </c>
      <c r="CH64" s="550">
        <v>2.5999999999999999E-3</v>
      </c>
      <c r="CI64" s="1318">
        <v>5.1999999999999998E-3</v>
      </c>
      <c r="CJ64" s="945">
        <v>4.0000000000000002E-4</v>
      </c>
      <c r="CK64" s="48"/>
    </row>
    <row r="65" spans="2:89" ht="14" x14ac:dyDescent="0.3">
      <c r="B65" s="57"/>
      <c r="C65" s="49"/>
      <c r="D65" s="39" t="s">
        <v>429</v>
      </c>
      <c r="E65" s="1232">
        <f>ROUND(142000*(1.1578/1.1244)*ValueUpdate,-2)</f>
        <v>146200</v>
      </c>
      <c r="F65" s="63" t="s">
        <v>425</v>
      </c>
      <c r="G65" s="667"/>
      <c r="H65" s="751">
        <v>13</v>
      </c>
      <c r="R65" s="1140"/>
      <c r="S65" s="1215"/>
      <c r="T65" s="677" t="s">
        <v>709</v>
      </c>
      <c r="U65" s="1134">
        <v>4.4999999999999998E-2</v>
      </c>
      <c r="V65" s="732" t="s">
        <v>403</v>
      </c>
      <c r="W65" s="1141"/>
      <c r="X65" s="751">
        <v>20</v>
      </c>
      <c r="AF65" s="46"/>
      <c r="AG65" s="26"/>
      <c r="AH65" s="26"/>
      <c r="AI65" s="26"/>
      <c r="AJ65" s="26"/>
      <c r="AK65" s="26"/>
      <c r="AL65" s="26"/>
      <c r="AM65" s="48"/>
      <c r="AN65" s="676"/>
      <c r="AO65" s="676"/>
      <c r="AP65" s="676"/>
      <c r="AQ65" s="248"/>
      <c r="AR65" s="736">
        <v>58</v>
      </c>
      <c r="AS65" s="1071">
        <v>3.4299999999999997E-2</v>
      </c>
      <c r="AT65" s="1072">
        <v>9.5000000000000001E-2</v>
      </c>
      <c r="AU65" s="244"/>
      <c r="AV65" s="271"/>
      <c r="AW65" s="271"/>
      <c r="AX65" s="46"/>
      <c r="AY65" s="1638" t="s">
        <v>871</v>
      </c>
      <c r="AZ65" s="1236">
        <f>ROUND((InjAValue*AZ$12+InjBValue*AZ$13+InjCValue*AZ$14)*AZ34+NoInjValue*AZ42,-2)</f>
        <v>173000</v>
      </c>
      <c r="BA65" s="1237">
        <f>ROUND((InjAValue*BA$12+InjBValue*BA$13+InjCValue*BA$14)*BA34+NoInjValue*BA42,-2)</f>
        <v>172600</v>
      </c>
      <c r="BB65" s="1237">
        <f>ROUND((InjAValue*BB$12+InjBValue*BB$13+InjCValue*BB$14)*BB34+NoInjValue*BB42,-2)</f>
        <v>179300</v>
      </c>
      <c r="BC65" s="1238">
        <f>ROUND((InjAValue*BC$12+InjBValue*BC$13+InjCValue*BC$14)*BC34+NoInjValue*BC42,-2)</f>
        <v>173400</v>
      </c>
      <c r="BD65" s="48"/>
      <c r="BF65" s="46"/>
      <c r="BG65" s="686">
        <v>5000</v>
      </c>
      <c r="BH65" s="1239">
        <v>0.192</v>
      </c>
      <c r="BI65" s="1239">
        <v>0.80300000000000005</v>
      </c>
      <c r="BJ65" s="1240">
        <v>0.96499999999999997</v>
      </c>
      <c r="BK65" s="48"/>
      <c r="BO65" s="46"/>
      <c r="BP65" s="810"/>
      <c r="BQ65" s="810">
        <v>57</v>
      </c>
      <c r="BR65" s="946">
        <v>0.80079999999999996</v>
      </c>
      <c r="BS65" s="1363">
        <v>319.60090000000002</v>
      </c>
      <c r="BT65" s="550">
        <v>6.6600000000000006E-2</v>
      </c>
      <c r="BU65" s="550">
        <v>1.1000000000000001E-3</v>
      </c>
      <c r="BV65" s="550">
        <v>3.2000000000000002E-3</v>
      </c>
      <c r="BW65" s="1318">
        <v>1.44E-2</v>
      </c>
      <c r="BX65" s="945">
        <v>1E-3</v>
      </c>
      <c r="BY65" s="48"/>
      <c r="CA65" s="46"/>
      <c r="CB65" s="810"/>
      <c r="CC65" s="810">
        <v>57</v>
      </c>
      <c r="CD65" s="946">
        <v>0.4703</v>
      </c>
      <c r="CE65" s="1363">
        <v>265.3279</v>
      </c>
      <c r="CF65" s="550">
        <v>2.1999999999999999E-2</v>
      </c>
      <c r="CG65" s="550">
        <v>4.0000000000000002E-4</v>
      </c>
      <c r="CH65" s="550">
        <v>2.5999999999999999E-3</v>
      </c>
      <c r="CI65" s="1318">
        <v>5.3E-3</v>
      </c>
      <c r="CJ65" s="945">
        <v>4.0000000000000002E-4</v>
      </c>
      <c r="CK65" s="48"/>
    </row>
    <row r="66" spans="2:89" ht="14" x14ac:dyDescent="0.3">
      <c r="B66" s="57"/>
      <c r="C66" s="49"/>
      <c r="D66" s="39" t="s">
        <v>430</v>
      </c>
      <c r="E66" s="1232">
        <f>ROUND(72500*(1.1578/1.1244)*ValueUpdate,-2)</f>
        <v>74700</v>
      </c>
      <c r="F66" s="63" t="s">
        <v>425</v>
      </c>
      <c r="G66" s="667"/>
      <c r="H66" s="751">
        <v>13</v>
      </c>
      <c r="R66" s="1140"/>
      <c r="S66" s="1215"/>
      <c r="T66" s="677" t="s">
        <v>710</v>
      </c>
      <c r="U66" s="1134">
        <v>0.09</v>
      </c>
      <c r="V66" s="732" t="s">
        <v>403</v>
      </c>
      <c r="W66" s="1141"/>
      <c r="X66" s="1157">
        <v>20</v>
      </c>
      <c r="AF66" s="46"/>
      <c r="AG66" s="522" t="s">
        <v>711</v>
      </c>
      <c r="AH66" s="1166"/>
      <c r="AI66" s="1166"/>
      <c r="AJ66" s="1166"/>
      <c r="AK66" s="1166"/>
      <c r="AL66" s="1166"/>
      <c r="AM66" s="48"/>
      <c r="AN66" s="676"/>
      <c r="AO66" s="676"/>
      <c r="AP66" s="676"/>
      <c r="AQ66" s="248"/>
      <c r="AR66" s="736">
        <v>59</v>
      </c>
      <c r="AS66" s="1071">
        <v>3.4500000000000003E-2</v>
      </c>
      <c r="AT66" s="1072">
        <v>9.9500000000000005E-2</v>
      </c>
      <c r="AU66" s="244"/>
      <c r="AV66" s="271"/>
      <c r="AW66" s="271"/>
      <c r="AX66" s="46"/>
      <c r="AY66" s="1637" t="s">
        <v>872</v>
      </c>
      <c r="AZ66" s="1241">
        <f>ROUND(NoInjValue*AZ43*2,-2)</f>
        <v>10400</v>
      </c>
      <c r="BA66" s="1242">
        <f>ROUND(NoInjValue*BA43*2,-2)</f>
        <v>11800</v>
      </c>
      <c r="BB66" s="1242">
        <f>ROUND(NoInjValue*BB43*2,-2)</f>
        <v>9200</v>
      </c>
      <c r="BC66" s="1243">
        <f>ROUND(NoInjValue*BC43*2,-2)</f>
        <v>11400</v>
      </c>
      <c r="BD66" s="48"/>
      <c r="BF66" s="46"/>
      <c r="BG66" s="687">
        <v>10000</v>
      </c>
      <c r="BH66" s="1244">
        <v>0.84</v>
      </c>
      <c r="BI66" s="1244">
        <v>0.57699999999999996</v>
      </c>
      <c r="BJ66" s="1245">
        <v>0.97799999999999998</v>
      </c>
      <c r="BK66" s="48"/>
      <c r="BO66" s="46"/>
      <c r="BP66" s="810"/>
      <c r="BQ66" s="810">
        <v>58</v>
      </c>
      <c r="BR66" s="946">
        <v>0.78520000000000001</v>
      </c>
      <c r="BS66" s="1363">
        <v>321.8297</v>
      </c>
      <c r="BT66" s="550">
        <v>6.6400000000000001E-2</v>
      </c>
      <c r="BU66" s="550">
        <v>1.1000000000000001E-3</v>
      </c>
      <c r="BV66" s="550">
        <v>3.2000000000000002E-3</v>
      </c>
      <c r="BW66" s="1318">
        <v>1.44E-2</v>
      </c>
      <c r="BX66" s="945">
        <v>1.1000000000000001E-3</v>
      </c>
      <c r="BY66" s="48"/>
      <c r="CA66" s="46"/>
      <c r="CB66" s="810"/>
      <c r="CC66" s="810">
        <v>58</v>
      </c>
      <c r="CD66" s="946">
        <v>0.46350000000000002</v>
      </c>
      <c r="CE66" s="1363">
        <v>268.03719999999998</v>
      </c>
      <c r="CF66" s="550">
        <v>2.2200000000000001E-2</v>
      </c>
      <c r="CG66" s="550">
        <v>4.0000000000000002E-4</v>
      </c>
      <c r="CH66" s="550">
        <v>2.5999999999999999E-3</v>
      </c>
      <c r="CI66" s="1318">
        <v>5.4000000000000003E-3</v>
      </c>
      <c r="CJ66" s="945">
        <v>4.0000000000000002E-4</v>
      </c>
      <c r="CK66" s="48"/>
    </row>
    <row r="67" spans="2:89" ht="14.5" thickBot="1" x14ac:dyDescent="0.35">
      <c r="B67" s="57"/>
      <c r="C67" s="49"/>
      <c r="D67" s="32"/>
      <c r="E67" s="63"/>
      <c r="F67" s="63"/>
      <c r="G67" s="667"/>
      <c r="H67" s="751"/>
      <c r="R67" s="1140"/>
      <c r="S67" s="1215"/>
      <c r="T67" s="32"/>
      <c r="U67" s="63"/>
      <c r="V67" s="732"/>
      <c r="W67" s="1141"/>
      <c r="X67" s="1135"/>
      <c r="AE67"/>
      <c r="AF67" s="46"/>
      <c r="AG67" s="1171" t="s">
        <v>712</v>
      </c>
      <c r="AH67" s="198"/>
      <c r="AI67" s="1171"/>
      <c r="AJ67" s="1171"/>
      <c r="AK67" s="1171"/>
      <c r="AL67" s="1171"/>
      <c r="AM67" s="48"/>
      <c r="AN67" s="676"/>
      <c r="AO67" s="676"/>
      <c r="AP67" s="676"/>
      <c r="AQ67" s="512"/>
      <c r="AR67" s="736">
        <v>60</v>
      </c>
      <c r="AS67" s="1071">
        <v>3.4799999999999998E-2</v>
      </c>
      <c r="AT67" s="1072">
        <v>0.1043</v>
      </c>
      <c r="AU67" s="244"/>
      <c r="AV67" s="271"/>
      <c r="AW67" s="271"/>
      <c r="AX67" s="46"/>
      <c r="AY67" s="928" t="s">
        <v>299</v>
      </c>
      <c r="AZ67" s="1246">
        <f>ROUND(AZ50*AZ64+AZ51*AZ65+AZ52*AZ66,-2)</f>
        <v>120800</v>
      </c>
      <c r="BA67" s="1247">
        <f>ROUND(BA50*BA64+BA51*BA65+BA52*BA66,-2)</f>
        <v>158400</v>
      </c>
      <c r="BB67" s="1247">
        <f>ROUND(BB50*BB64+BB51*BB65+BB52*BB66,-2)</f>
        <v>347700</v>
      </c>
      <c r="BC67" s="1248">
        <f>ROUND(BC50*BC64+BC51*BC65+BC52*BC66,-2)</f>
        <v>160800</v>
      </c>
      <c r="BD67" s="48"/>
      <c r="BE67" s="751"/>
      <c r="BF67" s="50"/>
      <c r="BG67" s="51"/>
      <c r="BH67" s="51"/>
      <c r="BI67" s="51"/>
      <c r="BJ67" s="51"/>
      <c r="BK67" s="52"/>
      <c r="BO67" s="46"/>
      <c r="BP67" s="810"/>
      <c r="BQ67" s="810">
        <v>59</v>
      </c>
      <c r="BR67" s="946">
        <v>0.76990000000000003</v>
      </c>
      <c r="BS67" s="1363">
        <v>324.07400000000001</v>
      </c>
      <c r="BT67" s="550">
        <v>6.6199999999999995E-2</v>
      </c>
      <c r="BU67" s="550">
        <v>1.1999999999999999E-3</v>
      </c>
      <c r="BV67" s="550">
        <v>3.2000000000000002E-3</v>
      </c>
      <c r="BW67" s="1318">
        <v>1.4500000000000001E-2</v>
      </c>
      <c r="BX67" s="945">
        <v>1.1000000000000001E-3</v>
      </c>
      <c r="BY67" s="48"/>
      <c r="CA67" s="46"/>
      <c r="CB67" s="810"/>
      <c r="CC67" s="810">
        <v>59</v>
      </c>
      <c r="CD67" s="946">
        <v>0.45679999999999998</v>
      </c>
      <c r="CE67" s="1363">
        <v>270.77409999999998</v>
      </c>
      <c r="CF67" s="550">
        <v>2.23E-2</v>
      </c>
      <c r="CG67" s="550">
        <v>4.0000000000000002E-4</v>
      </c>
      <c r="CH67" s="550">
        <v>2.7000000000000001E-3</v>
      </c>
      <c r="CI67" s="1318">
        <v>5.4999999999999997E-3</v>
      </c>
      <c r="CJ67" s="945">
        <v>4.0000000000000002E-4</v>
      </c>
      <c r="CK67" s="48"/>
    </row>
    <row r="68" spans="2:89" ht="15" thickTop="1" thickBot="1" x14ac:dyDescent="0.35">
      <c r="B68" s="57"/>
      <c r="C68" s="49" t="s">
        <v>555</v>
      </c>
      <c r="D68" s="32"/>
      <c r="E68" s="1232">
        <f>ROUND(2440*(1.1578/0.9622)*ValueUpdate,-2)</f>
        <v>2900</v>
      </c>
      <c r="F68" s="63" t="s">
        <v>425</v>
      </c>
      <c r="G68" s="667"/>
      <c r="H68" s="751">
        <v>14</v>
      </c>
      <c r="R68" s="1140"/>
      <c r="S68" s="1215"/>
      <c r="T68" s="1118" t="s">
        <v>713</v>
      </c>
      <c r="U68" s="1249">
        <v>252</v>
      </c>
      <c r="V68" s="732" t="s">
        <v>714</v>
      </c>
      <c r="W68" s="1141"/>
      <c r="X68" s="1157">
        <v>25</v>
      </c>
      <c r="AE68"/>
      <c r="AF68" s="46"/>
      <c r="AG68" s="26"/>
      <c r="AH68" s="26"/>
      <c r="AI68" s="26"/>
      <c r="AJ68" s="26"/>
      <c r="AK68" s="26"/>
      <c r="AL68" s="26"/>
      <c r="AM68" s="48"/>
      <c r="AN68" s="676"/>
      <c r="AO68" s="676"/>
      <c r="AP68" s="676"/>
      <c r="AQ68" s="512"/>
      <c r="AR68" s="736">
        <v>61</v>
      </c>
      <c r="AS68" s="1071">
        <v>3.5099999999999999E-2</v>
      </c>
      <c r="AT68" s="1072">
        <v>0.1062</v>
      </c>
      <c r="AU68" s="244"/>
      <c r="AV68" s="271"/>
      <c r="AW68" s="271"/>
      <c r="AX68" s="50"/>
      <c r="AY68" s="51"/>
      <c r="AZ68" s="51"/>
      <c r="BA68" s="51"/>
      <c r="BB68" s="51"/>
      <c r="BC68" s="51"/>
      <c r="BD68" s="52"/>
      <c r="BO68" s="46"/>
      <c r="BP68" s="810"/>
      <c r="BQ68" s="810">
        <v>60</v>
      </c>
      <c r="BR68" s="946">
        <v>0.75490000000000002</v>
      </c>
      <c r="BS68" s="1363">
        <v>326.334</v>
      </c>
      <c r="BT68" s="550">
        <v>6.6000000000000003E-2</v>
      </c>
      <c r="BU68" s="550">
        <v>1.1999999999999999E-3</v>
      </c>
      <c r="BV68" s="550">
        <v>3.2000000000000002E-3</v>
      </c>
      <c r="BW68" s="1318">
        <v>1.46E-2</v>
      </c>
      <c r="BX68" s="945">
        <v>1.1000000000000001E-3</v>
      </c>
      <c r="BY68" s="48"/>
      <c r="CA68" s="46"/>
      <c r="CB68" s="810"/>
      <c r="CC68" s="810">
        <v>60</v>
      </c>
      <c r="CD68" s="946">
        <v>0.45019999999999999</v>
      </c>
      <c r="CE68" s="1363">
        <v>273.53899999999999</v>
      </c>
      <c r="CF68" s="550">
        <v>2.2499999999999999E-2</v>
      </c>
      <c r="CG68" s="550">
        <v>4.0000000000000002E-4</v>
      </c>
      <c r="CH68" s="550">
        <v>2.7000000000000001E-3</v>
      </c>
      <c r="CI68" s="1318">
        <v>5.7000000000000002E-3</v>
      </c>
      <c r="CJ68" s="945">
        <v>4.0000000000000002E-4</v>
      </c>
      <c r="CK68" s="48"/>
    </row>
    <row r="69" spans="2:89" ht="14.5" thickTop="1" x14ac:dyDescent="0.3">
      <c r="B69" s="57"/>
      <c r="C69" s="49"/>
      <c r="D69" s="32"/>
      <c r="E69" s="33"/>
      <c r="F69" s="63"/>
      <c r="G69" s="667"/>
      <c r="H69" s="751"/>
      <c r="R69" s="1140"/>
      <c r="S69" s="1215"/>
      <c r="T69" s="1118" t="s">
        <v>715</v>
      </c>
      <c r="U69" s="1249">
        <v>392</v>
      </c>
      <c r="V69" s="732" t="s">
        <v>714</v>
      </c>
      <c r="W69" s="1141"/>
      <c r="X69" s="1157">
        <v>25</v>
      </c>
      <c r="AE69"/>
      <c r="AF69" s="46"/>
      <c r="AG69" s="1176"/>
      <c r="AH69" s="1177"/>
      <c r="AI69" s="1178"/>
      <c r="AJ69" s="1179" t="s">
        <v>65</v>
      </c>
      <c r="AK69" s="1180"/>
      <c r="AL69" s="1181"/>
      <c r="AM69" s="48"/>
      <c r="AN69" s="676"/>
      <c r="AO69" s="676"/>
      <c r="AP69" s="506"/>
      <c r="AQ69" s="512"/>
      <c r="AR69" s="736">
        <v>62</v>
      </c>
      <c r="AS69" s="1071">
        <v>3.5299999999999998E-2</v>
      </c>
      <c r="AT69" s="1072">
        <v>0.10829999999999999</v>
      </c>
      <c r="AU69" s="244"/>
      <c r="AW69" s="271"/>
      <c r="AX69" s="271"/>
      <c r="AY69" s="271"/>
      <c r="AZ69" s="271"/>
      <c r="BA69" s="271"/>
      <c r="BB69" s="271"/>
      <c r="BC69" s="271"/>
      <c r="BN69" s="48"/>
      <c r="BO69" s="46"/>
      <c r="BP69" s="810"/>
      <c r="BQ69" s="810">
        <v>61</v>
      </c>
      <c r="BR69" s="946">
        <v>0.75190000000000001</v>
      </c>
      <c r="BS69" s="1363">
        <v>328.7321</v>
      </c>
      <c r="BT69" s="550">
        <v>6.7199999999999996E-2</v>
      </c>
      <c r="BU69" s="550">
        <v>1.1999999999999999E-3</v>
      </c>
      <c r="BV69" s="550">
        <v>3.2000000000000002E-3</v>
      </c>
      <c r="BW69" s="1318">
        <v>1.5100000000000001E-2</v>
      </c>
      <c r="BX69" s="945">
        <v>1.1000000000000001E-3</v>
      </c>
      <c r="BY69" s="48"/>
      <c r="CA69" s="46"/>
      <c r="CB69" s="810"/>
      <c r="CC69" s="810">
        <v>61</v>
      </c>
      <c r="CD69" s="946">
        <v>0.44550000000000001</v>
      </c>
      <c r="CE69" s="1363">
        <v>275.30180000000001</v>
      </c>
      <c r="CF69" s="550">
        <v>2.2700000000000001E-2</v>
      </c>
      <c r="CG69" s="550">
        <v>5.0000000000000001E-4</v>
      </c>
      <c r="CH69" s="550">
        <v>2.7000000000000001E-3</v>
      </c>
      <c r="CI69" s="1318">
        <v>5.7999999999999996E-3</v>
      </c>
      <c r="CJ69" s="945">
        <v>4.0000000000000002E-4</v>
      </c>
      <c r="CK69" s="48"/>
    </row>
    <row r="70" spans="2:89" ht="14" x14ac:dyDescent="0.3">
      <c r="B70" s="57"/>
      <c r="C70" s="49" t="s">
        <v>869</v>
      </c>
      <c r="D70" s="32"/>
      <c r="E70" s="33"/>
      <c r="F70" s="63"/>
      <c r="G70" s="667"/>
      <c r="H70" s="751"/>
      <c r="R70" s="1250"/>
      <c r="S70" s="1251"/>
      <c r="T70" s="1251"/>
      <c r="U70" s="1251"/>
      <c r="V70" s="1252"/>
      <c r="W70" s="1253"/>
      <c r="X70" s="1157"/>
      <c r="AE70"/>
      <c r="AF70" s="46"/>
      <c r="AG70" s="1182" t="s">
        <v>243</v>
      </c>
      <c r="AH70" s="1183" t="s">
        <v>716</v>
      </c>
      <c r="AI70" s="1184"/>
      <c r="AJ70" s="1185" t="s">
        <v>687</v>
      </c>
      <c r="AK70" s="1186" t="s">
        <v>688</v>
      </c>
      <c r="AL70" s="1187" t="s">
        <v>64</v>
      </c>
      <c r="AM70" s="48"/>
      <c r="AN70" s="676"/>
      <c r="AO70" s="676"/>
      <c r="AP70" s="506"/>
      <c r="AQ70" s="512"/>
      <c r="AR70" s="736">
        <v>63</v>
      </c>
      <c r="AS70" s="1071">
        <v>3.56E-2</v>
      </c>
      <c r="AT70" s="1072">
        <v>0.1104</v>
      </c>
      <c r="AU70" s="244"/>
      <c r="AX70" s="554" t="s">
        <v>61</v>
      </c>
      <c r="BF70" s="554" t="s">
        <v>434</v>
      </c>
      <c r="BN70" s="48"/>
      <c r="BO70" s="46"/>
      <c r="BP70" s="810"/>
      <c r="BQ70" s="810">
        <v>62</v>
      </c>
      <c r="BR70" s="946">
        <v>0.749</v>
      </c>
      <c r="BS70" s="1363">
        <v>331.14769999999999</v>
      </c>
      <c r="BT70" s="550">
        <v>6.8400000000000002E-2</v>
      </c>
      <c r="BU70" s="550">
        <v>1.1999999999999999E-3</v>
      </c>
      <c r="BV70" s="550">
        <v>3.3E-3</v>
      </c>
      <c r="BW70" s="1318">
        <v>1.5599999999999999E-2</v>
      </c>
      <c r="BX70" s="945">
        <v>1.1000000000000001E-3</v>
      </c>
      <c r="BY70" s="48"/>
      <c r="CA70" s="46"/>
      <c r="CB70" s="810"/>
      <c r="CC70" s="810">
        <v>62</v>
      </c>
      <c r="CD70" s="946">
        <v>0.44080000000000003</v>
      </c>
      <c r="CE70" s="1363">
        <v>277.07600000000002</v>
      </c>
      <c r="CF70" s="550">
        <v>2.29E-2</v>
      </c>
      <c r="CG70" s="550">
        <v>5.0000000000000001E-4</v>
      </c>
      <c r="CH70" s="550">
        <v>2.7000000000000001E-3</v>
      </c>
      <c r="CI70" s="1318">
        <v>5.8999999999999999E-3</v>
      </c>
      <c r="CJ70" s="945">
        <v>4.0000000000000002E-4</v>
      </c>
      <c r="CK70" s="48"/>
    </row>
    <row r="71" spans="2:89" ht="14" x14ac:dyDescent="0.3">
      <c r="B71" s="57"/>
      <c r="C71" s="49"/>
      <c r="D71" s="27" t="s">
        <v>870</v>
      </c>
      <c r="E71" s="1254">
        <f>IF(ProjLoc=3,HwyFatCostR,HwyFatCostU)</f>
        <v>13000000</v>
      </c>
      <c r="F71" s="1634" t="s">
        <v>874</v>
      </c>
      <c r="G71" s="667"/>
      <c r="H71" s="751"/>
      <c r="V71" s="1068"/>
      <c r="X71" s="1157"/>
      <c r="AE71"/>
      <c r="AF71" s="46"/>
      <c r="AG71" s="1218" t="s">
        <v>690</v>
      </c>
      <c r="AH71" s="1191" t="s">
        <v>717</v>
      </c>
      <c r="AI71" s="1192"/>
      <c r="AJ71" s="1193">
        <v>0.186</v>
      </c>
      <c r="AK71" s="1194">
        <v>0.186</v>
      </c>
      <c r="AL71" s="1195">
        <v>9.9000000000000005E-2</v>
      </c>
      <c r="AM71" s="48"/>
      <c r="AN71" s="676"/>
      <c r="AO71" s="676"/>
      <c r="AP71" s="506"/>
      <c r="AQ71" s="512"/>
      <c r="AR71" s="736">
        <v>64</v>
      </c>
      <c r="AS71" s="1071">
        <v>3.5799999999999998E-2</v>
      </c>
      <c r="AT71" s="1072">
        <v>0.1125</v>
      </c>
      <c r="AU71" s="244"/>
      <c r="BN71" s="48"/>
      <c r="BO71" s="46"/>
      <c r="BP71" s="810"/>
      <c r="BQ71" s="810">
        <v>63</v>
      </c>
      <c r="BR71" s="946">
        <v>0.746</v>
      </c>
      <c r="BS71" s="1363">
        <v>333.58120000000002</v>
      </c>
      <c r="BT71" s="550">
        <v>6.9699999999999998E-2</v>
      </c>
      <c r="BU71" s="550">
        <v>1.2999999999999999E-3</v>
      </c>
      <c r="BV71" s="550">
        <v>3.3E-3</v>
      </c>
      <c r="BW71" s="1318">
        <v>1.6E-2</v>
      </c>
      <c r="BX71" s="945">
        <v>1.1999999999999999E-3</v>
      </c>
      <c r="BY71" s="48"/>
      <c r="CA71" s="46"/>
      <c r="CB71" s="810"/>
      <c r="CC71" s="810">
        <v>63</v>
      </c>
      <c r="CD71" s="946">
        <v>0.43619999999999998</v>
      </c>
      <c r="CE71" s="1363">
        <v>278.86160000000001</v>
      </c>
      <c r="CF71" s="550">
        <v>2.3099999999999999E-2</v>
      </c>
      <c r="CG71" s="550">
        <v>5.0000000000000001E-4</v>
      </c>
      <c r="CH71" s="550">
        <v>2.8E-3</v>
      </c>
      <c r="CI71" s="1318">
        <v>6.1000000000000004E-3</v>
      </c>
      <c r="CJ71" s="945">
        <v>4.0000000000000002E-4</v>
      </c>
      <c r="CK71" s="48"/>
    </row>
    <row r="72" spans="2:89" ht="14" x14ac:dyDescent="0.3">
      <c r="B72" s="57"/>
      <c r="C72" s="49"/>
      <c r="D72" s="27" t="s">
        <v>871</v>
      </c>
      <c r="E72" s="1254">
        <f>IF(ProjLoc=3,HwyInjCostR,HwyInjCostU)</f>
        <v>173000</v>
      </c>
      <c r="F72" s="1634" t="s">
        <v>874</v>
      </c>
      <c r="G72" s="667"/>
      <c r="H72" s="751"/>
      <c r="R72" s="554" t="s">
        <v>836</v>
      </c>
      <c r="V72" s="1068"/>
      <c r="X72" s="1157"/>
      <c r="AE72"/>
      <c r="AF72" s="46"/>
      <c r="AG72" s="1255"/>
      <c r="AH72" s="1256" t="s">
        <v>718</v>
      </c>
      <c r="AI72" s="1257"/>
      <c r="AJ72" s="1612">
        <v>0.46100000000000002</v>
      </c>
      <c r="AK72" s="1613">
        <v>0.46100000000000002</v>
      </c>
      <c r="AL72" s="1614">
        <v>0.622</v>
      </c>
      <c r="AM72" s="48"/>
      <c r="AN72" s="676"/>
      <c r="AO72" s="676"/>
      <c r="AP72" s="676"/>
      <c r="AQ72" s="512"/>
      <c r="AR72" s="736">
        <v>65</v>
      </c>
      <c r="AS72" s="1071">
        <v>3.61E-2</v>
      </c>
      <c r="AT72" s="1072">
        <v>0.11459999999999999</v>
      </c>
      <c r="AU72" s="244"/>
      <c r="AV72" s="271"/>
      <c r="BO72" s="46"/>
      <c r="BP72" s="810"/>
      <c r="BQ72" s="810">
        <v>64</v>
      </c>
      <c r="BR72" s="946">
        <v>0.74299999999999999</v>
      </c>
      <c r="BS72" s="1363">
        <v>336.03250000000003</v>
      </c>
      <c r="BT72" s="550">
        <v>7.0999999999999994E-2</v>
      </c>
      <c r="BU72" s="550">
        <v>1.2999999999999999E-3</v>
      </c>
      <c r="BV72" s="550">
        <v>3.3E-3</v>
      </c>
      <c r="BW72" s="1318">
        <v>1.6500000000000001E-2</v>
      </c>
      <c r="BX72" s="945">
        <v>1.1999999999999999E-3</v>
      </c>
      <c r="BY72" s="48"/>
      <c r="CA72" s="46"/>
      <c r="CB72" s="810"/>
      <c r="CC72" s="810">
        <v>64</v>
      </c>
      <c r="CD72" s="946">
        <v>0.43159999999999998</v>
      </c>
      <c r="CE72" s="1363">
        <v>280.65870000000001</v>
      </c>
      <c r="CF72" s="550">
        <v>2.3300000000000001E-2</v>
      </c>
      <c r="CG72" s="550">
        <v>5.0000000000000001E-4</v>
      </c>
      <c r="CH72" s="550">
        <v>2.8E-3</v>
      </c>
      <c r="CI72" s="1318">
        <v>6.1999999999999998E-3</v>
      </c>
      <c r="CJ72" s="945">
        <v>5.0000000000000001E-4</v>
      </c>
      <c r="CK72" s="48"/>
    </row>
    <row r="73" spans="2:89" ht="14" x14ac:dyDescent="0.3">
      <c r="B73" s="57"/>
      <c r="C73" s="49"/>
      <c r="D73" s="39" t="s">
        <v>872</v>
      </c>
      <c r="E73" s="1254">
        <f>IF(ProjLoc=3,HwyPDOCostR,HwyPDOCostU)</f>
        <v>10400</v>
      </c>
      <c r="F73" s="1634" t="s">
        <v>874</v>
      </c>
      <c r="G73" s="667"/>
      <c r="H73" s="751"/>
      <c r="R73" s="554" t="s">
        <v>837</v>
      </c>
      <c r="X73" s="1157"/>
      <c r="AE73"/>
      <c r="AF73" s="46"/>
      <c r="AG73" s="1224"/>
      <c r="AH73" s="1199" t="s">
        <v>719</v>
      </c>
      <c r="AI73" s="1200"/>
      <c r="AJ73" s="1615">
        <v>0.35299999999999998</v>
      </c>
      <c r="AK73" s="1616">
        <v>0.35299999999999998</v>
      </c>
      <c r="AL73" s="1617">
        <v>0.27900000000000003</v>
      </c>
      <c r="AM73" s="48"/>
      <c r="AN73" s="676"/>
      <c r="AO73" s="676"/>
      <c r="AP73" s="676"/>
      <c r="AQ73" s="512"/>
      <c r="AR73" s="736">
        <v>66</v>
      </c>
      <c r="AS73" s="1258">
        <v>3.61E-2</v>
      </c>
      <c r="AT73" s="1259">
        <v>0.1138</v>
      </c>
      <c r="AU73" s="244"/>
      <c r="AV73" s="271"/>
      <c r="BO73" s="46"/>
      <c r="BP73" s="810"/>
      <c r="BQ73" s="810">
        <v>65</v>
      </c>
      <c r="BR73" s="946">
        <v>0.74009999999999998</v>
      </c>
      <c r="BS73" s="1363">
        <v>338.5018</v>
      </c>
      <c r="BT73" s="550">
        <v>7.2300000000000003E-2</v>
      </c>
      <c r="BU73" s="550">
        <v>1.2999999999999999E-3</v>
      </c>
      <c r="BV73" s="550">
        <v>3.3E-3</v>
      </c>
      <c r="BW73" s="1318">
        <v>1.7100000000000001E-2</v>
      </c>
      <c r="BX73" s="945">
        <v>1.1999999999999999E-3</v>
      </c>
      <c r="BY73" s="48"/>
      <c r="CA73" s="46"/>
      <c r="CB73" s="810"/>
      <c r="CC73" s="810">
        <v>65</v>
      </c>
      <c r="CD73" s="946">
        <v>0.42709999999999998</v>
      </c>
      <c r="CE73" s="1363">
        <v>282.46730000000002</v>
      </c>
      <c r="CF73" s="550">
        <v>2.35E-2</v>
      </c>
      <c r="CG73" s="550">
        <v>5.0000000000000001E-4</v>
      </c>
      <c r="CH73" s="550">
        <v>2.8E-3</v>
      </c>
      <c r="CI73" s="1318">
        <v>6.4000000000000003E-3</v>
      </c>
      <c r="CJ73" s="945">
        <v>5.0000000000000001E-4</v>
      </c>
      <c r="CK73" s="48"/>
    </row>
    <row r="74" spans="2:89" ht="14" x14ac:dyDescent="0.3">
      <c r="B74" s="57"/>
      <c r="C74" s="49"/>
      <c r="D74" s="39" t="s">
        <v>557</v>
      </c>
      <c r="E74" s="1254">
        <f>IF(ProjLoc=3,AvgAccCostR,AvgAccCostU)</f>
        <v>120800</v>
      </c>
      <c r="F74" s="1634" t="s">
        <v>874</v>
      </c>
      <c r="G74" s="667"/>
      <c r="H74" s="751"/>
      <c r="R74" s="554"/>
      <c r="X74" s="1157"/>
      <c r="AF74" s="46"/>
      <c r="AG74" s="1230" t="s">
        <v>693</v>
      </c>
      <c r="AH74" s="1260" t="s">
        <v>717</v>
      </c>
      <c r="AI74" s="1261"/>
      <c r="AJ74" s="1193">
        <v>5.1999999999999998E-2</v>
      </c>
      <c r="AK74" s="1194">
        <v>5.1999999999999998E-2</v>
      </c>
      <c r="AL74" s="1195">
        <v>6.2E-2</v>
      </c>
      <c r="AM74" s="48"/>
      <c r="AN74" s="676"/>
      <c r="AO74" s="676"/>
      <c r="AP74" s="676"/>
      <c r="AQ74" s="512"/>
      <c r="AR74" s="736">
        <v>67</v>
      </c>
      <c r="AS74" s="1258">
        <v>3.6200000000000003E-2</v>
      </c>
      <c r="AT74" s="1259">
        <v>0.113</v>
      </c>
      <c r="AU74" s="244"/>
      <c r="AV74" s="271"/>
      <c r="BO74" s="46"/>
      <c r="BP74" s="810"/>
      <c r="BQ74" s="810">
        <v>66</v>
      </c>
      <c r="BR74" s="946">
        <v>0.73799999999999999</v>
      </c>
      <c r="BS74" s="1363">
        <v>339.07780000000002</v>
      </c>
      <c r="BT74" s="550">
        <v>7.2800000000000004E-2</v>
      </c>
      <c r="BU74" s="550">
        <v>1.4E-3</v>
      </c>
      <c r="BV74" s="550">
        <v>3.3999999999999998E-3</v>
      </c>
      <c r="BW74" s="1318">
        <v>1.72E-2</v>
      </c>
      <c r="BX74" s="945">
        <v>1.1999999999999999E-3</v>
      </c>
      <c r="BY74" s="48"/>
      <c r="CA74" s="46"/>
      <c r="CB74" s="810"/>
      <c r="CC74" s="810">
        <v>66</v>
      </c>
      <c r="CD74" s="946">
        <v>0.42499999999999999</v>
      </c>
      <c r="CE74" s="1363">
        <v>283.24509999999998</v>
      </c>
      <c r="CF74" s="550">
        <v>2.3599999999999999E-2</v>
      </c>
      <c r="CG74" s="550">
        <v>5.0000000000000001E-4</v>
      </c>
      <c r="CH74" s="550">
        <v>2.8E-3</v>
      </c>
      <c r="CI74" s="1318">
        <v>6.4999999999999997E-3</v>
      </c>
      <c r="CJ74" s="945">
        <v>5.0000000000000001E-4</v>
      </c>
      <c r="CK74" s="48"/>
    </row>
    <row r="75" spans="2:89" ht="14" x14ac:dyDescent="0.3">
      <c r="B75" s="57"/>
      <c r="C75" s="49"/>
      <c r="D75" s="32"/>
      <c r="E75" s="33"/>
      <c r="F75" s="63"/>
      <c r="G75" s="667"/>
      <c r="H75" s="751"/>
      <c r="X75" s="1135"/>
      <c r="AF75" s="46"/>
      <c r="AG75" s="1262"/>
      <c r="AH75" s="1256" t="s">
        <v>718</v>
      </c>
      <c r="AI75" s="1257"/>
      <c r="AJ75" s="1612">
        <v>0.55000000000000004</v>
      </c>
      <c r="AK75" s="1613">
        <v>0.55000000000000004</v>
      </c>
      <c r="AL75" s="1614">
        <v>0.63500000000000001</v>
      </c>
      <c r="AM75" s="48"/>
      <c r="AN75" s="676"/>
      <c r="AO75" s="676"/>
      <c r="AP75" s="676"/>
      <c r="AQ75" s="512"/>
      <c r="AR75" s="736">
        <v>68</v>
      </c>
      <c r="AS75" s="1258">
        <v>3.6299999999999999E-2</v>
      </c>
      <c r="AT75" s="1259">
        <v>0.1123</v>
      </c>
      <c r="AU75" s="244"/>
      <c r="AV75" s="271"/>
      <c r="BO75" s="46"/>
      <c r="BP75" s="810"/>
      <c r="BQ75" s="810">
        <v>67</v>
      </c>
      <c r="BR75" s="946">
        <v>0.7359</v>
      </c>
      <c r="BS75" s="1363">
        <v>339.65469999999999</v>
      </c>
      <c r="BT75" s="550">
        <v>7.3200000000000001E-2</v>
      </c>
      <c r="BU75" s="550">
        <v>1.4E-3</v>
      </c>
      <c r="BV75" s="550">
        <v>3.3999999999999998E-3</v>
      </c>
      <c r="BW75" s="1318">
        <v>1.7299999999999999E-2</v>
      </c>
      <c r="BX75" s="945">
        <v>1.2999999999999999E-3</v>
      </c>
      <c r="BY75" s="48"/>
      <c r="CA75" s="46"/>
      <c r="CB75" s="810"/>
      <c r="CC75" s="810">
        <v>67</v>
      </c>
      <c r="CD75" s="946">
        <v>0.4229</v>
      </c>
      <c r="CE75" s="1363">
        <v>284.02499999999998</v>
      </c>
      <c r="CF75" s="550">
        <v>2.3699999999999999E-2</v>
      </c>
      <c r="CG75" s="550">
        <v>5.0000000000000001E-4</v>
      </c>
      <c r="CH75" s="550">
        <v>2.8E-3</v>
      </c>
      <c r="CI75" s="1318">
        <v>6.6E-3</v>
      </c>
      <c r="CJ75" s="945">
        <v>5.0000000000000001E-4</v>
      </c>
      <c r="CK75" s="48"/>
    </row>
    <row r="76" spans="2:89" ht="14" x14ac:dyDescent="0.3">
      <c r="B76" s="57"/>
      <c r="C76" s="49" t="s">
        <v>873</v>
      </c>
      <c r="D76" s="32"/>
      <c r="E76" s="33"/>
      <c r="F76" s="63"/>
      <c r="G76" s="667"/>
      <c r="H76" s="1"/>
      <c r="X76" s="1135"/>
      <c r="AF76" s="46"/>
      <c r="AG76" s="1231"/>
      <c r="AH76" s="1199" t="s">
        <v>719</v>
      </c>
      <c r="AI76" s="1200"/>
      <c r="AJ76" s="1201">
        <v>0.39800000000000002</v>
      </c>
      <c r="AK76" s="1202">
        <v>0.39800000000000002</v>
      </c>
      <c r="AL76" s="1203">
        <v>0.30299999999999999</v>
      </c>
      <c r="AM76" s="48"/>
      <c r="AN76" s="676"/>
      <c r="AO76" s="676"/>
      <c r="AP76" s="676"/>
      <c r="AQ76" s="512"/>
      <c r="AR76" s="736">
        <v>69</v>
      </c>
      <c r="AS76" s="1258">
        <v>3.6400000000000002E-2</v>
      </c>
      <c r="AT76" s="1259">
        <v>0.1115</v>
      </c>
      <c r="AU76" s="244"/>
      <c r="AV76" s="271"/>
      <c r="BO76" s="46"/>
      <c r="BP76" s="810"/>
      <c r="BQ76" s="810">
        <v>68</v>
      </c>
      <c r="BR76" s="946">
        <v>0.73380000000000001</v>
      </c>
      <c r="BS76" s="1363">
        <v>340.23259999999999</v>
      </c>
      <c r="BT76" s="550">
        <v>7.3700000000000002E-2</v>
      </c>
      <c r="BU76" s="550">
        <v>1.4E-3</v>
      </c>
      <c r="BV76" s="550">
        <v>3.3999999999999998E-3</v>
      </c>
      <c r="BW76" s="1318">
        <v>1.7500000000000002E-2</v>
      </c>
      <c r="BX76" s="945">
        <v>1.2999999999999999E-3</v>
      </c>
      <c r="BY76" s="48"/>
      <c r="CA76" s="46"/>
      <c r="CB76" s="810"/>
      <c r="CC76" s="810">
        <v>68</v>
      </c>
      <c r="CD76" s="946">
        <v>0.42080000000000001</v>
      </c>
      <c r="CE76" s="1363">
        <v>284.80700000000002</v>
      </c>
      <c r="CF76" s="550">
        <v>2.3800000000000002E-2</v>
      </c>
      <c r="CG76" s="550">
        <v>5.0000000000000001E-4</v>
      </c>
      <c r="CH76" s="550">
        <v>2.8E-3</v>
      </c>
      <c r="CI76" s="1318">
        <v>6.7000000000000002E-3</v>
      </c>
      <c r="CJ76" s="945">
        <v>5.0000000000000001E-4</v>
      </c>
      <c r="CK76" s="48"/>
    </row>
    <row r="77" spans="2:89" ht="14.5" thickBot="1" x14ac:dyDescent="0.35">
      <c r="B77" s="57"/>
      <c r="C77" s="49"/>
      <c r="D77" s="27" t="s">
        <v>870</v>
      </c>
      <c r="E77" s="1263">
        <f>ROUND(3628/773922,3)</f>
        <v>5.0000000000000001E-3</v>
      </c>
      <c r="F77" s="732" t="s">
        <v>636</v>
      </c>
      <c r="G77" s="1108"/>
      <c r="H77" s="751">
        <v>15</v>
      </c>
      <c r="X77" s="751"/>
      <c r="AF77" s="50"/>
      <c r="AG77" s="67"/>
      <c r="AH77" s="67"/>
      <c r="AI77" s="51"/>
      <c r="AJ77" s="1264"/>
      <c r="AK77" s="1264"/>
      <c r="AL77" s="1264"/>
      <c r="AM77" s="1265"/>
      <c r="AN77" s="676"/>
      <c r="AO77" s="676"/>
      <c r="AP77" s="676"/>
      <c r="AQ77" s="512"/>
      <c r="AR77" s="737">
        <v>70</v>
      </c>
      <c r="AS77" s="1266">
        <v>3.6499999999999998E-2</v>
      </c>
      <c r="AT77" s="1267">
        <v>0.11070000000000001</v>
      </c>
      <c r="AU77" s="244"/>
      <c r="AV77" s="271"/>
      <c r="BO77" s="46"/>
      <c r="BP77" s="810"/>
      <c r="BQ77" s="810">
        <v>69</v>
      </c>
      <c r="BR77" s="946">
        <v>0.73180000000000001</v>
      </c>
      <c r="BS77" s="1363">
        <v>340.81150000000002</v>
      </c>
      <c r="BT77" s="550">
        <v>7.4200000000000002E-2</v>
      </c>
      <c r="BU77" s="550">
        <v>1.4E-3</v>
      </c>
      <c r="BV77" s="550">
        <v>3.3999999999999998E-3</v>
      </c>
      <c r="BW77" s="1318">
        <v>1.7600000000000001E-2</v>
      </c>
      <c r="BX77" s="945">
        <v>1.2999999999999999E-3</v>
      </c>
      <c r="BY77" s="48"/>
      <c r="CA77" s="46"/>
      <c r="CB77" s="810"/>
      <c r="CC77" s="810">
        <v>69</v>
      </c>
      <c r="CD77" s="946">
        <v>0.41870000000000002</v>
      </c>
      <c r="CE77" s="1363">
        <v>285.59120000000001</v>
      </c>
      <c r="CF77" s="550">
        <v>2.3900000000000001E-2</v>
      </c>
      <c r="CG77" s="550">
        <v>5.0000000000000001E-4</v>
      </c>
      <c r="CH77" s="550">
        <v>2.8E-3</v>
      </c>
      <c r="CI77" s="1318">
        <v>6.7999999999999996E-3</v>
      </c>
      <c r="CJ77" s="945">
        <v>5.0000000000000001E-4</v>
      </c>
      <c r="CK77" s="48"/>
    </row>
    <row r="78" spans="2:89" ht="15" thickTop="1" thickBot="1" x14ac:dyDescent="0.35">
      <c r="B78" s="57"/>
      <c r="C78" s="49"/>
      <c r="D78" s="27" t="s">
        <v>871</v>
      </c>
      <c r="E78" s="1268">
        <f>ROUND(218217/773922,2)</f>
        <v>0.28000000000000003</v>
      </c>
      <c r="F78" s="732" t="s">
        <v>636</v>
      </c>
      <c r="G78" s="1108"/>
      <c r="H78" s="751">
        <v>15</v>
      </c>
      <c r="X78" s="751"/>
      <c r="AH78" s="676"/>
      <c r="AI78" s="676"/>
      <c r="AJ78" s="676"/>
      <c r="AK78" s="676"/>
      <c r="AL78" s="676"/>
      <c r="AM78" s="676"/>
      <c r="AN78" s="676"/>
      <c r="AO78" s="676"/>
      <c r="AP78" s="676"/>
      <c r="AQ78" s="251"/>
      <c r="AR78" s="252"/>
      <c r="AS78" s="252"/>
      <c r="AT78" s="252"/>
      <c r="AU78" s="253"/>
      <c r="AV78" s="271"/>
      <c r="BO78" s="46"/>
      <c r="BP78" s="810"/>
      <c r="BQ78" s="810">
        <v>70</v>
      </c>
      <c r="BR78" s="946">
        <v>0.72970000000000002</v>
      </c>
      <c r="BS78" s="1363">
        <v>341.39139999999998</v>
      </c>
      <c r="BT78" s="550">
        <v>7.46E-2</v>
      </c>
      <c r="BU78" s="550">
        <v>1.4E-3</v>
      </c>
      <c r="BV78" s="550">
        <v>3.3999999999999998E-3</v>
      </c>
      <c r="BW78" s="1318">
        <v>1.78E-2</v>
      </c>
      <c r="BX78" s="945">
        <v>1.2999999999999999E-3</v>
      </c>
      <c r="BY78" s="48"/>
      <c r="CA78" s="46"/>
      <c r="CB78" s="810"/>
      <c r="CC78" s="810">
        <v>70</v>
      </c>
      <c r="CD78" s="946">
        <v>0.41660000000000003</v>
      </c>
      <c r="CE78" s="1363">
        <v>286.3775</v>
      </c>
      <c r="CF78" s="550">
        <v>2.41E-2</v>
      </c>
      <c r="CG78" s="550">
        <v>5.0000000000000001E-4</v>
      </c>
      <c r="CH78" s="550">
        <v>2.8E-3</v>
      </c>
      <c r="CI78" s="1318">
        <v>6.8999999999999999E-3</v>
      </c>
      <c r="CJ78" s="945">
        <v>5.0000000000000001E-4</v>
      </c>
      <c r="CK78" s="48"/>
    </row>
    <row r="79" spans="2:89" ht="14.5" thickTop="1" x14ac:dyDescent="0.3">
      <c r="B79" s="57"/>
      <c r="C79" s="49"/>
      <c r="D79" s="39" t="s">
        <v>872</v>
      </c>
      <c r="E79" s="1268">
        <f>ROUND(474304/773922,2)</f>
        <v>0.61</v>
      </c>
      <c r="F79" s="732" t="s">
        <v>636</v>
      </c>
      <c r="G79" s="1108"/>
      <c r="H79" s="751">
        <v>15</v>
      </c>
      <c r="X79" s="751"/>
      <c r="AF79" s="1155" t="s">
        <v>838</v>
      </c>
      <c r="AM79" s="676"/>
      <c r="AN79" s="676"/>
      <c r="AO79" s="676"/>
      <c r="AP79" s="676"/>
      <c r="AQ79" s="554" t="s">
        <v>854</v>
      </c>
      <c r="AR79" s="514"/>
      <c r="BO79" s="46"/>
      <c r="BP79" s="810"/>
      <c r="BQ79" s="811"/>
      <c r="BR79" s="946"/>
      <c r="BS79" s="1363"/>
      <c r="BT79" s="550"/>
      <c r="BU79" s="550"/>
      <c r="BV79" s="550"/>
      <c r="BW79" s="1318"/>
      <c r="BX79" s="945"/>
      <c r="BY79" s="48"/>
      <c r="CA79" s="46"/>
      <c r="CB79" s="810"/>
      <c r="CC79" s="811"/>
      <c r="CD79" s="946"/>
      <c r="CE79" s="1363"/>
      <c r="CF79" s="550"/>
      <c r="CG79" s="550"/>
      <c r="CH79" s="550"/>
      <c r="CI79" s="1318"/>
      <c r="CJ79" s="945"/>
      <c r="CK79" s="48"/>
    </row>
    <row r="80" spans="2:89" ht="14.25" customHeight="1" x14ac:dyDescent="0.3">
      <c r="B80" s="57"/>
      <c r="C80" s="49"/>
      <c r="D80" s="39" t="s">
        <v>618</v>
      </c>
      <c r="E80" s="1269">
        <v>1.04</v>
      </c>
      <c r="F80" s="732" t="s">
        <v>636</v>
      </c>
      <c r="G80" s="1108"/>
      <c r="H80" s="751">
        <v>15</v>
      </c>
      <c r="X80" s="751"/>
      <c r="AF80" s="554"/>
      <c r="AH80" s="676"/>
      <c r="AI80" s="676"/>
      <c r="AJ80" s="676"/>
      <c r="AK80" s="676"/>
      <c r="AL80" s="676"/>
      <c r="AM80" s="676"/>
      <c r="AN80" s="676"/>
      <c r="AO80" s="676"/>
      <c r="AP80" s="676"/>
      <c r="AQ80" s="554" t="s">
        <v>60</v>
      </c>
      <c r="BO80" s="46"/>
      <c r="BP80" s="810" t="s">
        <v>249</v>
      </c>
      <c r="BQ80" s="810">
        <v>0</v>
      </c>
      <c r="BR80" s="946">
        <v>1.3149999999999999</v>
      </c>
      <c r="BS80" s="1363">
        <v>11.029400000000001</v>
      </c>
      <c r="BT80" s="550">
        <v>1.0065</v>
      </c>
      <c r="BU80" s="550">
        <v>1E-4</v>
      </c>
      <c r="BV80" s="550">
        <v>1E-4</v>
      </c>
      <c r="BW80" s="1318">
        <v>7.0300000000000001E-2</v>
      </c>
      <c r="BX80" s="945">
        <v>1E-4</v>
      </c>
      <c r="BY80" s="48"/>
      <c r="CA80" s="46"/>
      <c r="CB80" s="810" t="s">
        <v>249</v>
      </c>
      <c r="CC80" s="810">
        <v>0</v>
      </c>
      <c r="CD80" s="946">
        <v>0.66590000000000005</v>
      </c>
      <c r="CE80" s="1363">
        <v>5.1022999999999996</v>
      </c>
      <c r="CF80" s="550">
        <v>0.76559999999999995</v>
      </c>
      <c r="CG80" s="550">
        <v>0</v>
      </c>
      <c r="CH80" s="550">
        <v>1E-4</v>
      </c>
      <c r="CI80" s="1318">
        <v>2.0299999999999999E-2</v>
      </c>
      <c r="CJ80" s="945">
        <v>0</v>
      </c>
      <c r="CK80" s="48"/>
    </row>
    <row r="81" spans="2:89" ht="14.25" customHeight="1" x14ac:dyDescent="0.3">
      <c r="B81" s="59"/>
      <c r="C81" s="61"/>
      <c r="D81" s="61"/>
      <c r="E81" s="61"/>
      <c r="F81" s="675"/>
      <c r="G81" s="668"/>
      <c r="H81" s="1"/>
      <c r="X81" s="751"/>
      <c r="AH81" s="676"/>
      <c r="AI81" s="676"/>
      <c r="AJ81" s="676"/>
      <c r="AK81" s="676"/>
      <c r="AL81" s="676"/>
      <c r="AM81" s="676"/>
      <c r="AN81" s="676"/>
      <c r="AO81" s="676"/>
      <c r="AP81" s="676"/>
      <c r="AQ81" s="554"/>
      <c r="BO81" s="46"/>
      <c r="BP81" s="810"/>
      <c r="BQ81" s="810">
        <v>5</v>
      </c>
      <c r="BR81" s="946">
        <v>2.3136000000000001</v>
      </c>
      <c r="BS81" s="1363">
        <v>1696.8925999999999</v>
      </c>
      <c r="BT81" s="550">
        <v>2.1959</v>
      </c>
      <c r="BU81" s="550">
        <v>4.82E-2</v>
      </c>
      <c r="BV81" s="550">
        <v>1.6400000000000001E-2</v>
      </c>
      <c r="BW81" s="1318">
        <v>0.30649999999999999</v>
      </c>
      <c r="BX81" s="945">
        <v>4.5999999999999999E-2</v>
      </c>
      <c r="BY81" s="48"/>
      <c r="CA81" s="46"/>
      <c r="CB81" s="810"/>
      <c r="CC81" s="810">
        <v>5</v>
      </c>
      <c r="CD81" s="946">
        <v>0.65159999999999996</v>
      </c>
      <c r="CE81" s="1363">
        <v>865.16229999999996</v>
      </c>
      <c r="CF81" s="550">
        <v>0.42770000000000002</v>
      </c>
      <c r="CG81" s="550">
        <v>0.01</v>
      </c>
      <c r="CH81" s="550">
        <v>8.3000000000000001E-3</v>
      </c>
      <c r="CI81" s="1318">
        <v>4.7800000000000002E-2</v>
      </c>
      <c r="CJ81" s="945">
        <v>9.4999999999999998E-3</v>
      </c>
      <c r="CK81" s="48"/>
    </row>
    <row r="82" spans="2:89" ht="14.25" customHeight="1" x14ac:dyDescent="0.3">
      <c r="E82" s="557"/>
      <c r="F82" s="315"/>
      <c r="G82" s="315"/>
      <c r="X82" s="751"/>
      <c r="AH82" s="676"/>
      <c r="AI82" s="676"/>
      <c r="AJ82" s="676"/>
      <c r="AK82" s="676"/>
      <c r="AL82" s="676"/>
      <c r="AM82" s="676"/>
      <c r="AN82" s="676"/>
      <c r="AO82" s="676"/>
      <c r="AP82" s="676"/>
      <c r="AQ82" s="554" t="s">
        <v>619</v>
      </c>
      <c r="BO82" s="46"/>
      <c r="BP82" s="810"/>
      <c r="BQ82" s="810">
        <v>6</v>
      </c>
      <c r="BR82" s="946">
        <v>2.2435999999999998</v>
      </c>
      <c r="BS82" s="1363">
        <v>1668.3322000000001</v>
      </c>
      <c r="BT82" s="550">
        <v>2.2233000000000001</v>
      </c>
      <c r="BU82" s="550">
        <v>4.6399999999999997E-2</v>
      </c>
      <c r="BV82" s="550">
        <v>1.61E-2</v>
      </c>
      <c r="BW82" s="1318">
        <v>0.28810000000000002</v>
      </c>
      <c r="BX82" s="945">
        <v>4.4299999999999999E-2</v>
      </c>
      <c r="BY82" s="48"/>
      <c r="CA82" s="46"/>
      <c r="CB82" s="810"/>
      <c r="CC82" s="810">
        <v>6</v>
      </c>
      <c r="CD82" s="946">
        <v>0.66249999999999998</v>
      </c>
      <c r="CE82" s="1363">
        <v>866.04849999999999</v>
      </c>
      <c r="CF82" s="550">
        <v>0.50160000000000005</v>
      </c>
      <c r="CG82" s="550">
        <v>9.7000000000000003E-3</v>
      </c>
      <c r="CH82" s="550">
        <v>8.3000000000000001E-3</v>
      </c>
      <c r="CI82" s="1318">
        <v>4.65E-2</v>
      </c>
      <c r="CJ82" s="945">
        <v>9.1999999999999998E-3</v>
      </c>
      <c r="CK82" s="48"/>
    </row>
    <row r="83" spans="2:89" ht="13" x14ac:dyDescent="0.3">
      <c r="B83" s="554" t="s">
        <v>76</v>
      </c>
      <c r="E83" s="315"/>
      <c r="F83" s="315"/>
      <c r="G83" s="315"/>
      <c r="X83" s="751"/>
      <c r="AH83" s="676"/>
      <c r="AI83" s="676"/>
      <c r="AJ83" s="676"/>
      <c r="AK83" s="676"/>
      <c r="AL83" s="676"/>
      <c r="AM83" s="676"/>
      <c r="AN83" s="676"/>
      <c r="AO83" s="676"/>
      <c r="AP83" s="676"/>
      <c r="AQ83" s="554" t="s">
        <v>855</v>
      </c>
      <c r="BO83" s="46"/>
      <c r="BP83" s="810"/>
      <c r="BQ83" s="810">
        <v>7</v>
      </c>
      <c r="BR83" s="946">
        <v>2.1757</v>
      </c>
      <c r="BS83" s="1363">
        <v>1640.2524000000001</v>
      </c>
      <c r="BT83" s="550">
        <v>2.2511000000000001</v>
      </c>
      <c r="BU83" s="550">
        <v>4.4699999999999997E-2</v>
      </c>
      <c r="BV83" s="550">
        <v>1.5699999999999999E-2</v>
      </c>
      <c r="BW83" s="1318">
        <v>0.27079999999999999</v>
      </c>
      <c r="BX83" s="945">
        <v>4.2599999999999999E-2</v>
      </c>
      <c r="BY83" s="48"/>
      <c r="CA83" s="46"/>
      <c r="CB83" s="810"/>
      <c r="CC83" s="810">
        <v>7</v>
      </c>
      <c r="CD83" s="946">
        <v>0.67369999999999997</v>
      </c>
      <c r="CE83" s="1363">
        <v>866.9357</v>
      </c>
      <c r="CF83" s="550">
        <v>0.58819999999999995</v>
      </c>
      <c r="CG83" s="550">
        <v>9.4000000000000004E-3</v>
      </c>
      <c r="CH83" s="550">
        <v>8.2000000000000007E-3</v>
      </c>
      <c r="CI83" s="1318">
        <v>4.53E-2</v>
      </c>
      <c r="CJ83" s="945">
        <v>8.9999999999999993E-3</v>
      </c>
      <c r="CK83" s="48"/>
    </row>
    <row r="84" spans="2:89" ht="14.25" customHeight="1" x14ac:dyDescent="0.3">
      <c r="B84" s="554" t="s">
        <v>830</v>
      </c>
      <c r="E84" s="315"/>
      <c r="F84" s="315"/>
      <c r="G84" s="315"/>
      <c r="X84" s="751"/>
      <c r="AH84" s="676"/>
      <c r="AI84" s="676"/>
      <c r="AJ84" s="676"/>
      <c r="AK84" s="676"/>
      <c r="AL84" s="676"/>
      <c r="AM84" s="676"/>
      <c r="AN84" s="676"/>
      <c r="AO84" s="676"/>
      <c r="AP84" s="676"/>
      <c r="BO84" s="46"/>
      <c r="BP84" s="810"/>
      <c r="BQ84" s="810">
        <v>8</v>
      </c>
      <c r="BR84" s="946">
        <v>2.1097999999999999</v>
      </c>
      <c r="BS84" s="1363">
        <v>1612.6452999999999</v>
      </c>
      <c r="BT84" s="550">
        <v>2.2791999999999999</v>
      </c>
      <c r="BU84" s="550">
        <v>4.2999999999999997E-2</v>
      </c>
      <c r="BV84" s="550">
        <v>1.54E-2</v>
      </c>
      <c r="BW84" s="1318">
        <v>0.25459999999999999</v>
      </c>
      <c r="BX84" s="945">
        <v>4.1000000000000002E-2</v>
      </c>
      <c r="BY84" s="48"/>
      <c r="CA84" s="46"/>
      <c r="CB84" s="810"/>
      <c r="CC84" s="810">
        <v>8</v>
      </c>
      <c r="CD84" s="946">
        <v>0.68500000000000005</v>
      </c>
      <c r="CE84" s="1363">
        <v>867.82380000000001</v>
      </c>
      <c r="CF84" s="550">
        <v>0.68969999999999998</v>
      </c>
      <c r="CG84" s="550">
        <v>9.1000000000000004E-3</v>
      </c>
      <c r="CH84" s="550">
        <v>8.2000000000000007E-3</v>
      </c>
      <c r="CI84" s="1318">
        <v>4.41E-2</v>
      </c>
      <c r="CJ84" s="945">
        <v>8.6999999999999994E-3</v>
      </c>
      <c r="CK84" s="48"/>
    </row>
    <row r="85" spans="2:89" ht="14.25" customHeight="1" x14ac:dyDescent="0.3">
      <c r="B85" s="554" t="s">
        <v>831</v>
      </c>
      <c r="E85" s="315"/>
      <c r="F85" s="315"/>
      <c r="G85" s="315"/>
      <c r="X85" s="751"/>
      <c r="AP85" s="676"/>
      <c r="BO85" s="46"/>
      <c r="BP85" s="810"/>
      <c r="BQ85" s="810">
        <v>9</v>
      </c>
      <c r="BR85" s="946">
        <v>2.0459999999999998</v>
      </c>
      <c r="BS85" s="1363">
        <v>1585.5029</v>
      </c>
      <c r="BT85" s="550">
        <v>2.3075999999999999</v>
      </c>
      <c r="BU85" s="550">
        <v>4.1399999999999999E-2</v>
      </c>
      <c r="BV85" s="550">
        <v>1.5100000000000001E-2</v>
      </c>
      <c r="BW85" s="1318">
        <v>0.23930000000000001</v>
      </c>
      <c r="BX85" s="945">
        <v>3.95E-2</v>
      </c>
      <c r="BY85" s="48"/>
      <c r="CA85" s="46"/>
      <c r="CB85" s="810"/>
      <c r="CC85" s="810">
        <v>9</v>
      </c>
      <c r="CD85" s="946">
        <v>0.6966</v>
      </c>
      <c r="CE85" s="1363">
        <v>868.71280000000002</v>
      </c>
      <c r="CF85" s="550">
        <v>0.80879999999999996</v>
      </c>
      <c r="CG85" s="550">
        <v>8.8000000000000005E-3</v>
      </c>
      <c r="CH85" s="550">
        <v>8.2000000000000007E-3</v>
      </c>
      <c r="CI85" s="1318">
        <v>4.2999999999999997E-2</v>
      </c>
      <c r="CJ85" s="945">
        <v>8.3999999999999995E-3</v>
      </c>
      <c r="CK85" s="48"/>
    </row>
    <row r="86" spans="2:89" ht="14.25" customHeight="1" x14ac:dyDescent="0.3">
      <c r="B86" s="554" t="s">
        <v>833</v>
      </c>
      <c r="E86" s="315"/>
      <c r="F86" s="315"/>
      <c r="G86" s="315"/>
      <c r="X86" s="751"/>
      <c r="AP86" s="676"/>
      <c r="BO86" s="46"/>
      <c r="BP86" s="810"/>
      <c r="BQ86" s="810">
        <v>10</v>
      </c>
      <c r="BR86" s="946">
        <v>1.9841</v>
      </c>
      <c r="BS86" s="1363">
        <v>1558.8172</v>
      </c>
      <c r="BT86" s="550">
        <v>2.3365</v>
      </c>
      <c r="BU86" s="550">
        <v>3.9800000000000002E-2</v>
      </c>
      <c r="BV86" s="550">
        <v>1.4800000000000001E-2</v>
      </c>
      <c r="BW86" s="1318">
        <v>0.22489999999999999</v>
      </c>
      <c r="BX86" s="945">
        <v>3.7999999999999999E-2</v>
      </c>
      <c r="BY86" s="48"/>
      <c r="CA86" s="46"/>
      <c r="CB86" s="810"/>
      <c r="CC86" s="810">
        <v>10</v>
      </c>
      <c r="CD86" s="946">
        <v>0.70830000000000004</v>
      </c>
      <c r="CE86" s="1363">
        <v>869.60270000000003</v>
      </c>
      <c r="CF86" s="550">
        <v>0.94840000000000002</v>
      </c>
      <c r="CG86" s="550">
        <v>8.6E-3</v>
      </c>
      <c r="CH86" s="550">
        <v>8.0999999999999996E-3</v>
      </c>
      <c r="CI86" s="1318">
        <v>4.19E-2</v>
      </c>
      <c r="CJ86" s="945">
        <v>8.2000000000000007E-3</v>
      </c>
      <c r="CK86" s="48"/>
    </row>
    <row r="87" spans="2:89" ht="13" x14ac:dyDescent="0.3">
      <c r="B87" s="554" t="s">
        <v>832</v>
      </c>
      <c r="E87" s="315"/>
      <c r="F87" s="315"/>
      <c r="G87" s="315"/>
      <c r="X87" s="751"/>
      <c r="AP87" s="676"/>
      <c r="BO87" s="46"/>
      <c r="BP87" s="810"/>
      <c r="BQ87" s="810">
        <v>11</v>
      </c>
      <c r="BR87" s="946">
        <v>1.8688</v>
      </c>
      <c r="BS87" s="1363">
        <v>1490.2475999999999</v>
      </c>
      <c r="BT87" s="550">
        <v>2.1839</v>
      </c>
      <c r="BU87" s="550">
        <v>3.7699999999999997E-2</v>
      </c>
      <c r="BV87" s="550">
        <v>1.41E-2</v>
      </c>
      <c r="BW87" s="1318">
        <v>0.21110000000000001</v>
      </c>
      <c r="BX87" s="945">
        <v>3.5999999999999997E-2</v>
      </c>
      <c r="BY87" s="48"/>
      <c r="CA87" s="46"/>
      <c r="CB87" s="810"/>
      <c r="CC87" s="810">
        <v>11</v>
      </c>
      <c r="CD87" s="946">
        <v>0.66</v>
      </c>
      <c r="CE87" s="1363">
        <v>836.53880000000004</v>
      </c>
      <c r="CF87" s="550">
        <v>0.88519999999999999</v>
      </c>
      <c r="CG87" s="550">
        <v>8.3000000000000001E-3</v>
      </c>
      <c r="CH87" s="550">
        <v>7.7999999999999996E-3</v>
      </c>
      <c r="CI87" s="1318">
        <v>3.9800000000000002E-2</v>
      </c>
      <c r="CJ87" s="945">
        <v>7.9000000000000008E-3</v>
      </c>
      <c r="CK87" s="48"/>
    </row>
    <row r="88" spans="2:89" ht="13" x14ac:dyDescent="0.3">
      <c r="B88" s="554" t="s">
        <v>834</v>
      </c>
      <c r="E88" s="315"/>
      <c r="F88" s="315"/>
      <c r="G88" s="315"/>
      <c r="X88" s="751"/>
      <c r="AP88" s="676"/>
      <c r="BO88" s="46"/>
      <c r="BP88" s="810"/>
      <c r="BQ88" s="810">
        <v>12</v>
      </c>
      <c r="BR88" s="946">
        <v>1.7601</v>
      </c>
      <c r="BS88" s="1363">
        <v>1424.6943000000001</v>
      </c>
      <c r="BT88" s="550">
        <v>2.0413000000000001</v>
      </c>
      <c r="BU88" s="550">
        <v>3.5700000000000003E-2</v>
      </c>
      <c r="BV88" s="550">
        <v>1.35E-2</v>
      </c>
      <c r="BW88" s="1318">
        <v>0.1981</v>
      </c>
      <c r="BX88" s="945">
        <v>3.4099999999999998E-2</v>
      </c>
      <c r="BY88" s="48"/>
      <c r="CA88" s="46"/>
      <c r="CB88" s="810"/>
      <c r="CC88" s="810">
        <v>12</v>
      </c>
      <c r="CD88" s="946">
        <v>0.61499999999999999</v>
      </c>
      <c r="CE88" s="1363">
        <v>804.73209999999995</v>
      </c>
      <c r="CF88" s="550">
        <v>0.82609999999999995</v>
      </c>
      <c r="CG88" s="550">
        <v>8.0000000000000002E-3</v>
      </c>
      <c r="CH88" s="550">
        <v>7.4999999999999997E-3</v>
      </c>
      <c r="CI88" s="1318">
        <v>3.78E-2</v>
      </c>
      <c r="CJ88" s="945">
        <v>7.7000000000000002E-3</v>
      </c>
      <c r="CK88" s="48"/>
    </row>
    <row r="89" spans="2:89" ht="14.25" customHeight="1" x14ac:dyDescent="0.3">
      <c r="B89" s="554" t="s">
        <v>835</v>
      </c>
      <c r="E89" s="1068"/>
      <c r="G89" s="315"/>
      <c r="X89" s="751"/>
      <c r="AP89" s="676"/>
      <c r="BO89" s="46"/>
      <c r="BP89" s="810"/>
      <c r="BQ89" s="810">
        <v>13</v>
      </c>
      <c r="BR89" s="946">
        <v>1.6577999999999999</v>
      </c>
      <c r="BS89" s="1363">
        <v>1362.0246</v>
      </c>
      <c r="BT89" s="550">
        <v>1.9079999999999999</v>
      </c>
      <c r="BU89" s="550">
        <v>3.3799999999999997E-2</v>
      </c>
      <c r="BV89" s="550">
        <v>1.29E-2</v>
      </c>
      <c r="BW89" s="1318">
        <v>0.186</v>
      </c>
      <c r="BX89" s="945">
        <v>3.2300000000000002E-2</v>
      </c>
      <c r="BY89" s="48"/>
      <c r="CA89" s="46"/>
      <c r="CB89" s="810"/>
      <c r="CC89" s="810">
        <v>13</v>
      </c>
      <c r="CD89" s="946">
        <v>0.57310000000000005</v>
      </c>
      <c r="CE89" s="1363">
        <v>774.13480000000004</v>
      </c>
      <c r="CF89" s="550">
        <v>0.77100000000000002</v>
      </c>
      <c r="CG89" s="550">
        <v>7.7999999999999996E-3</v>
      </c>
      <c r="CH89" s="550">
        <v>7.3000000000000001E-3</v>
      </c>
      <c r="CI89" s="1318">
        <v>3.5900000000000001E-2</v>
      </c>
      <c r="CJ89" s="945">
        <v>7.4000000000000003E-3</v>
      </c>
      <c r="CK89" s="48"/>
    </row>
    <row r="90" spans="2:89" ht="14.25" customHeight="1" x14ac:dyDescent="0.3">
      <c r="X90" s="751"/>
      <c r="AP90" s="676"/>
      <c r="BO90" s="46"/>
      <c r="BP90" s="810"/>
      <c r="BQ90" s="810">
        <v>14</v>
      </c>
      <c r="BR90" s="946">
        <v>1.5615000000000001</v>
      </c>
      <c r="BS90" s="1363">
        <v>1302.1116</v>
      </c>
      <c r="BT90" s="550">
        <v>1.7834000000000001</v>
      </c>
      <c r="BU90" s="550">
        <v>3.2000000000000001E-2</v>
      </c>
      <c r="BV90" s="550">
        <v>1.24E-2</v>
      </c>
      <c r="BW90" s="1318">
        <v>0.17460000000000001</v>
      </c>
      <c r="BX90" s="945">
        <v>3.0599999999999999E-2</v>
      </c>
      <c r="BY90" s="48"/>
      <c r="CA90" s="46"/>
      <c r="CB90" s="810"/>
      <c r="CC90" s="810">
        <v>14</v>
      </c>
      <c r="CD90" s="946">
        <v>0.53400000000000003</v>
      </c>
      <c r="CE90" s="1363">
        <v>744.70079999999996</v>
      </c>
      <c r="CF90" s="550">
        <v>0.71960000000000002</v>
      </c>
      <c r="CG90" s="550">
        <v>7.6E-3</v>
      </c>
      <c r="CH90" s="550">
        <v>7.0000000000000001E-3</v>
      </c>
      <c r="CI90" s="1318">
        <v>3.4099999999999998E-2</v>
      </c>
      <c r="CJ90" s="945">
        <v>7.1999999999999998E-3</v>
      </c>
      <c r="CK90" s="48"/>
    </row>
    <row r="91" spans="2:89" ht="13" x14ac:dyDescent="0.3">
      <c r="X91" s="751"/>
      <c r="AP91" s="676"/>
      <c r="BO91" s="46"/>
      <c r="BP91" s="810"/>
      <c r="BQ91" s="810">
        <v>15</v>
      </c>
      <c r="BR91" s="946">
        <v>1.4706999999999999</v>
      </c>
      <c r="BS91" s="1363">
        <v>1244.8340000000001</v>
      </c>
      <c r="BT91" s="550">
        <v>1.667</v>
      </c>
      <c r="BU91" s="550">
        <v>3.0300000000000001E-2</v>
      </c>
      <c r="BV91" s="550">
        <v>1.18E-2</v>
      </c>
      <c r="BW91" s="1318">
        <v>0.16389999999999999</v>
      </c>
      <c r="BX91" s="945">
        <v>2.9000000000000001E-2</v>
      </c>
      <c r="BY91" s="48"/>
      <c r="CA91" s="46"/>
      <c r="CB91" s="810"/>
      <c r="CC91" s="810">
        <v>15</v>
      </c>
      <c r="CD91" s="946">
        <v>0.49759999999999999</v>
      </c>
      <c r="CE91" s="1363">
        <v>716.38599999999997</v>
      </c>
      <c r="CF91" s="550">
        <v>0.67159999999999997</v>
      </c>
      <c r="CG91" s="550">
        <v>7.3000000000000001E-3</v>
      </c>
      <c r="CH91" s="550">
        <v>6.7000000000000002E-3</v>
      </c>
      <c r="CI91" s="1318">
        <v>3.2399999999999998E-2</v>
      </c>
      <c r="CJ91" s="945">
        <v>7.0000000000000001E-3</v>
      </c>
      <c r="CK91" s="48"/>
    </row>
    <row r="92" spans="2:89" ht="13" x14ac:dyDescent="0.3">
      <c r="X92" s="751"/>
      <c r="AP92" s="676"/>
      <c r="BO92" s="46"/>
      <c r="BP92" s="810"/>
      <c r="BQ92" s="810">
        <v>16</v>
      </c>
      <c r="BR92" s="946">
        <v>1.3769</v>
      </c>
      <c r="BS92" s="1363">
        <v>1231.6228000000001</v>
      </c>
      <c r="BT92" s="550">
        <v>1.6476999999999999</v>
      </c>
      <c r="BU92" s="550">
        <v>2.8199999999999999E-2</v>
      </c>
      <c r="BV92" s="550">
        <v>1.17E-2</v>
      </c>
      <c r="BW92" s="1318">
        <v>0.1517</v>
      </c>
      <c r="BX92" s="945">
        <v>2.69E-2</v>
      </c>
      <c r="BY92" s="48"/>
      <c r="CA92" s="46"/>
      <c r="CB92" s="810"/>
      <c r="CC92" s="810">
        <v>16</v>
      </c>
      <c r="CD92" s="946">
        <v>0.45839999999999997</v>
      </c>
      <c r="CE92" s="1363">
        <v>707.56700000000001</v>
      </c>
      <c r="CF92" s="550">
        <v>0.67120000000000002</v>
      </c>
      <c r="CG92" s="550">
        <v>6.8999999999999999E-3</v>
      </c>
      <c r="CH92" s="550">
        <v>6.7000000000000002E-3</v>
      </c>
      <c r="CI92" s="1318">
        <v>3.0300000000000001E-2</v>
      </c>
      <c r="CJ92" s="945">
        <v>6.6E-3</v>
      </c>
      <c r="CK92" s="48"/>
    </row>
    <row r="93" spans="2:89" ht="14.25" customHeight="1" x14ac:dyDescent="0.3">
      <c r="X93" s="751"/>
      <c r="AP93" s="676"/>
      <c r="BO93" s="46"/>
      <c r="BP93" s="810"/>
      <c r="BQ93" s="810">
        <v>17</v>
      </c>
      <c r="BR93" s="946">
        <v>1.2889999999999999</v>
      </c>
      <c r="BS93" s="1363">
        <v>1218.5517</v>
      </c>
      <c r="BT93" s="550">
        <v>1.6286</v>
      </c>
      <c r="BU93" s="550">
        <v>2.6200000000000001E-2</v>
      </c>
      <c r="BV93" s="550">
        <v>1.1599999999999999E-2</v>
      </c>
      <c r="BW93" s="1318">
        <v>0.1404</v>
      </c>
      <c r="BX93" s="945">
        <v>2.5100000000000001E-2</v>
      </c>
      <c r="BY93" s="48"/>
      <c r="CA93" s="46"/>
      <c r="CB93" s="810"/>
      <c r="CC93" s="810">
        <v>17</v>
      </c>
      <c r="CD93" s="946">
        <v>0.42220000000000002</v>
      </c>
      <c r="CE93" s="1363">
        <v>698.85659999999996</v>
      </c>
      <c r="CF93" s="550">
        <v>0.67090000000000005</v>
      </c>
      <c r="CG93" s="550">
        <v>6.4999999999999997E-3</v>
      </c>
      <c r="CH93" s="550">
        <v>6.6E-3</v>
      </c>
      <c r="CI93" s="1318">
        <v>2.8299999999999999E-2</v>
      </c>
      <c r="CJ93" s="945">
        <v>6.1999999999999998E-3</v>
      </c>
      <c r="CK93" s="48"/>
    </row>
    <row r="94" spans="2:89" ht="14.25" customHeight="1" x14ac:dyDescent="0.3">
      <c r="X94" s="751"/>
      <c r="BO94" s="46"/>
      <c r="BP94" s="810"/>
      <c r="BQ94" s="810">
        <v>18</v>
      </c>
      <c r="BR94" s="946">
        <v>1.2067000000000001</v>
      </c>
      <c r="BS94" s="1363">
        <v>1205.6194</v>
      </c>
      <c r="BT94" s="550">
        <v>1.6096999999999999</v>
      </c>
      <c r="BU94" s="550">
        <v>2.4400000000000002E-2</v>
      </c>
      <c r="BV94" s="550">
        <v>1.15E-2</v>
      </c>
      <c r="BW94" s="1318">
        <v>0.13</v>
      </c>
      <c r="BX94" s="945">
        <v>2.3300000000000001E-2</v>
      </c>
      <c r="BY94" s="48"/>
      <c r="CA94" s="46"/>
      <c r="CB94" s="810"/>
      <c r="CC94" s="810">
        <v>18</v>
      </c>
      <c r="CD94" s="946">
        <v>0.38900000000000001</v>
      </c>
      <c r="CE94" s="1363">
        <v>690.25340000000006</v>
      </c>
      <c r="CF94" s="550">
        <v>0.67059999999999997</v>
      </c>
      <c r="CG94" s="550">
        <v>6.1000000000000004E-3</v>
      </c>
      <c r="CH94" s="550">
        <v>6.4999999999999997E-3</v>
      </c>
      <c r="CI94" s="1318">
        <v>2.6499999999999999E-2</v>
      </c>
      <c r="CJ94" s="945">
        <v>5.7999999999999996E-3</v>
      </c>
      <c r="CK94" s="48"/>
    </row>
    <row r="95" spans="2:89" ht="14.25" customHeight="1" x14ac:dyDescent="0.3">
      <c r="V95" s="1068"/>
      <c r="W95" s="315"/>
      <c r="X95" s="751"/>
      <c r="AH95" s="676"/>
      <c r="AI95" s="676"/>
      <c r="AJ95" s="676"/>
      <c r="AK95" s="676"/>
      <c r="AL95" s="676"/>
      <c r="AM95" s="676"/>
      <c r="AN95" s="676"/>
      <c r="AO95" s="676"/>
      <c r="BO95" s="46"/>
      <c r="BP95" s="810"/>
      <c r="BQ95" s="810">
        <v>19</v>
      </c>
      <c r="BR95" s="946">
        <v>1.1296999999999999</v>
      </c>
      <c r="BS95" s="1363">
        <v>1192.8244</v>
      </c>
      <c r="BT95" s="550">
        <v>1.591</v>
      </c>
      <c r="BU95" s="550">
        <v>2.2700000000000001E-2</v>
      </c>
      <c r="BV95" s="550">
        <v>1.1299999999999999E-2</v>
      </c>
      <c r="BW95" s="1318">
        <v>0.12039999999999999</v>
      </c>
      <c r="BX95" s="945">
        <v>2.1700000000000001E-2</v>
      </c>
      <c r="BY95" s="48"/>
      <c r="CA95" s="46"/>
      <c r="CB95" s="810"/>
      <c r="CC95" s="810">
        <v>19</v>
      </c>
      <c r="CD95" s="946">
        <v>0.35830000000000001</v>
      </c>
      <c r="CE95" s="1363">
        <v>681.75620000000004</v>
      </c>
      <c r="CF95" s="550">
        <v>0.67030000000000001</v>
      </c>
      <c r="CG95" s="550">
        <v>5.7000000000000002E-3</v>
      </c>
      <c r="CH95" s="550">
        <v>6.4000000000000003E-3</v>
      </c>
      <c r="CI95" s="1318">
        <v>2.47E-2</v>
      </c>
      <c r="CJ95" s="945">
        <v>5.4999999999999997E-3</v>
      </c>
      <c r="CK95" s="48"/>
    </row>
    <row r="96" spans="2:89" ht="13" x14ac:dyDescent="0.3">
      <c r="V96" s="1068"/>
      <c r="W96" s="315"/>
      <c r="X96" s="751"/>
      <c r="AE96"/>
      <c r="AF96"/>
      <c r="AG96" s="676"/>
      <c r="AH96" s="676"/>
      <c r="AI96" s="676"/>
      <c r="AJ96" s="676"/>
      <c r="AK96" s="676"/>
      <c r="AL96" s="676"/>
      <c r="AM96" s="676"/>
      <c r="AN96" s="676"/>
      <c r="AO96" s="676"/>
      <c r="BO96" s="46"/>
      <c r="BP96" s="810"/>
      <c r="BQ96" s="810">
        <v>20</v>
      </c>
      <c r="BR96" s="946">
        <v>1.0576000000000001</v>
      </c>
      <c r="BS96" s="1363">
        <v>1180.1650999999999</v>
      </c>
      <c r="BT96" s="550">
        <v>1.5726</v>
      </c>
      <c r="BU96" s="550">
        <v>2.1100000000000001E-2</v>
      </c>
      <c r="BV96" s="550">
        <v>1.12E-2</v>
      </c>
      <c r="BW96" s="1318">
        <v>0.1114</v>
      </c>
      <c r="BX96" s="945">
        <v>2.01E-2</v>
      </c>
      <c r="BY96" s="48"/>
      <c r="CA96" s="46"/>
      <c r="CB96" s="810"/>
      <c r="CC96" s="810">
        <v>20</v>
      </c>
      <c r="CD96" s="946">
        <v>0.33</v>
      </c>
      <c r="CE96" s="1363">
        <v>673.36350000000004</v>
      </c>
      <c r="CF96" s="550">
        <v>0.66990000000000005</v>
      </c>
      <c r="CG96" s="550">
        <v>5.4000000000000003E-3</v>
      </c>
      <c r="CH96" s="550">
        <v>6.3E-3</v>
      </c>
      <c r="CI96" s="1318">
        <v>2.3099999999999999E-2</v>
      </c>
      <c r="CJ96" s="945">
        <v>5.1999999999999998E-3</v>
      </c>
      <c r="CK96" s="48"/>
    </row>
    <row r="97" spans="22:89" ht="14.25" customHeight="1" x14ac:dyDescent="0.3">
      <c r="V97" s="1068"/>
      <c r="W97" s="315"/>
      <c r="X97" s="751"/>
      <c r="AE97"/>
      <c r="AF97"/>
      <c r="AG97" s="676"/>
      <c r="AH97" s="676"/>
      <c r="AI97" s="676"/>
      <c r="AJ97" s="676"/>
      <c r="AK97" s="676"/>
      <c r="AL97" s="676"/>
      <c r="AM97" s="676"/>
      <c r="AN97" s="676"/>
      <c r="AO97" s="676"/>
      <c r="BO97" s="46"/>
      <c r="BP97" s="810"/>
      <c r="BQ97" s="810">
        <v>21</v>
      </c>
      <c r="BR97" s="946">
        <v>1.0154000000000001</v>
      </c>
      <c r="BS97" s="1363">
        <v>1138.1322</v>
      </c>
      <c r="BT97" s="550">
        <v>1.5314000000000001</v>
      </c>
      <c r="BU97" s="550">
        <v>2.0799999999999999E-2</v>
      </c>
      <c r="BV97" s="550">
        <v>1.0800000000000001E-2</v>
      </c>
      <c r="BW97" s="1318">
        <v>0.1089</v>
      </c>
      <c r="BX97" s="945">
        <v>1.9900000000000001E-2</v>
      </c>
      <c r="BY97" s="48"/>
      <c r="CA97" s="46"/>
      <c r="CB97" s="810"/>
      <c r="CC97" s="810">
        <v>21</v>
      </c>
      <c r="CD97" s="946">
        <v>0.31569999999999998</v>
      </c>
      <c r="CE97" s="1363">
        <v>654.89210000000003</v>
      </c>
      <c r="CF97" s="550">
        <v>0.63229999999999997</v>
      </c>
      <c r="CG97" s="550">
        <v>5.4000000000000003E-3</v>
      </c>
      <c r="CH97" s="550">
        <v>6.1999999999999998E-3</v>
      </c>
      <c r="CI97" s="1318">
        <v>2.3E-2</v>
      </c>
      <c r="CJ97" s="945">
        <v>5.1000000000000004E-3</v>
      </c>
      <c r="CK97" s="48"/>
    </row>
    <row r="98" spans="22:89" ht="13" x14ac:dyDescent="0.3">
      <c r="X98" s="751"/>
      <c r="AE98"/>
      <c r="AF98"/>
      <c r="AG98" s="676"/>
      <c r="AH98" s="676"/>
      <c r="AI98" s="676"/>
      <c r="AJ98" s="676"/>
      <c r="AK98" s="676"/>
      <c r="AL98" s="676"/>
      <c r="AM98" s="676"/>
      <c r="AN98" s="676"/>
      <c r="AO98" s="676"/>
      <c r="BO98" s="46"/>
      <c r="BP98" s="810"/>
      <c r="BQ98" s="810">
        <v>22</v>
      </c>
      <c r="BR98" s="946">
        <v>0.97489999999999999</v>
      </c>
      <c r="BS98" s="1363">
        <v>1097.5963999999999</v>
      </c>
      <c r="BT98" s="550">
        <v>1.4913000000000001</v>
      </c>
      <c r="BU98" s="550">
        <v>2.06E-2</v>
      </c>
      <c r="BV98" s="550">
        <v>1.04E-2</v>
      </c>
      <c r="BW98" s="1318">
        <v>0.1065</v>
      </c>
      <c r="BX98" s="945">
        <v>1.9699999999999999E-2</v>
      </c>
      <c r="BY98" s="48"/>
      <c r="CA98" s="46"/>
      <c r="CB98" s="810"/>
      <c r="CC98" s="810">
        <v>22</v>
      </c>
      <c r="CD98" s="946">
        <v>0.30209999999999998</v>
      </c>
      <c r="CE98" s="1363">
        <v>636.92740000000003</v>
      </c>
      <c r="CF98" s="550">
        <v>0.5968</v>
      </c>
      <c r="CG98" s="550">
        <v>5.3E-3</v>
      </c>
      <c r="CH98" s="550">
        <v>6.0000000000000001E-3</v>
      </c>
      <c r="CI98" s="1318">
        <v>2.29E-2</v>
      </c>
      <c r="CJ98" s="945">
        <v>5.1000000000000004E-3</v>
      </c>
      <c r="CK98" s="48"/>
    </row>
    <row r="99" spans="22:89" ht="14.25" customHeight="1" x14ac:dyDescent="0.3">
      <c r="X99" s="751"/>
      <c r="AE99"/>
      <c r="AF99"/>
      <c r="AG99" s="676"/>
      <c r="AH99" s="676"/>
      <c r="AI99" s="676"/>
      <c r="AJ99" s="676"/>
      <c r="AK99" s="676"/>
      <c r="AL99" s="676"/>
      <c r="AM99" s="676"/>
      <c r="AN99" s="676"/>
      <c r="AO99" s="676"/>
      <c r="BO99" s="46"/>
      <c r="BP99" s="810"/>
      <c r="BQ99" s="810">
        <v>23</v>
      </c>
      <c r="BR99" s="946">
        <v>0.93610000000000004</v>
      </c>
      <c r="BS99" s="1363">
        <v>1058.5043000000001</v>
      </c>
      <c r="BT99" s="550">
        <v>1.4521999999999999</v>
      </c>
      <c r="BU99" s="550">
        <v>2.0400000000000001E-2</v>
      </c>
      <c r="BV99" s="550">
        <v>1.01E-2</v>
      </c>
      <c r="BW99" s="1318">
        <v>0.1041</v>
      </c>
      <c r="BX99" s="945">
        <v>1.95E-2</v>
      </c>
      <c r="BY99" s="48"/>
      <c r="CA99" s="46"/>
      <c r="CB99" s="810"/>
      <c r="CC99" s="810">
        <v>23</v>
      </c>
      <c r="CD99" s="946">
        <v>0.28899999999999998</v>
      </c>
      <c r="CE99" s="1363">
        <v>619.45550000000003</v>
      </c>
      <c r="CF99" s="550">
        <v>0.56320000000000003</v>
      </c>
      <c r="CG99" s="550">
        <v>5.3E-3</v>
      </c>
      <c r="CH99" s="550">
        <v>5.7999999999999996E-3</v>
      </c>
      <c r="CI99" s="1318">
        <v>2.2700000000000001E-2</v>
      </c>
      <c r="CJ99" s="945">
        <v>5.0000000000000001E-3</v>
      </c>
      <c r="CK99" s="48"/>
    </row>
    <row r="100" spans="22:89" ht="14.25" customHeight="1" x14ac:dyDescent="0.3">
      <c r="X100" s="751"/>
      <c r="AE100"/>
      <c r="AF100"/>
      <c r="AG100" s="676"/>
      <c r="AH100" s="676"/>
      <c r="AI100" s="676"/>
      <c r="AJ100" s="676"/>
      <c r="AK100" s="676"/>
      <c r="AL100" s="676"/>
      <c r="AM100" s="676"/>
      <c r="AN100" s="676"/>
      <c r="AO100" s="676"/>
      <c r="BO100" s="46"/>
      <c r="BP100" s="810"/>
      <c r="BQ100" s="810">
        <v>24</v>
      </c>
      <c r="BR100" s="946">
        <v>0.89880000000000004</v>
      </c>
      <c r="BS100" s="1363">
        <v>1020.8046000000001</v>
      </c>
      <c r="BT100" s="550">
        <v>1.4140999999999999</v>
      </c>
      <c r="BU100" s="550">
        <v>2.01E-2</v>
      </c>
      <c r="BV100" s="550">
        <v>9.7000000000000003E-3</v>
      </c>
      <c r="BW100" s="1318">
        <v>0.1017</v>
      </c>
      <c r="BX100" s="945">
        <v>1.9199999999999998E-2</v>
      </c>
      <c r="BY100" s="48"/>
      <c r="CA100" s="46"/>
      <c r="CB100" s="810"/>
      <c r="CC100" s="810">
        <v>24</v>
      </c>
      <c r="CD100" s="946">
        <v>0.27650000000000002</v>
      </c>
      <c r="CE100" s="1363">
        <v>602.46289999999999</v>
      </c>
      <c r="CF100" s="550">
        <v>0.53159999999999996</v>
      </c>
      <c r="CG100" s="550">
        <v>5.1999999999999998E-3</v>
      </c>
      <c r="CH100" s="550">
        <v>5.7000000000000002E-3</v>
      </c>
      <c r="CI100" s="1318">
        <v>2.2599999999999999E-2</v>
      </c>
      <c r="CJ100" s="945">
        <v>5.0000000000000001E-3</v>
      </c>
      <c r="CK100" s="48"/>
    </row>
    <row r="101" spans="22:89" ht="14.25" customHeight="1" x14ac:dyDescent="0.3">
      <c r="X101" s="751"/>
      <c r="AE101"/>
      <c r="AF101"/>
      <c r="AG101" s="676"/>
      <c r="AH101" s="676"/>
      <c r="AI101" s="676"/>
      <c r="AJ101" s="676"/>
      <c r="AK101" s="676"/>
      <c r="AL101" s="676"/>
      <c r="AM101" s="676"/>
      <c r="AN101" s="676"/>
      <c r="AO101" s="676"/>
      <c r="BO101" s="46"/>
      <c r="BP101" s="810"/>
      <c r="BQ101" s="810">
        <v>25</v>
      </c>
      <c r="BR101" s="946">
        <v>0.8629</v>
      </c>
      <c r="BS101" s="1363">
        <v>984.44749999999999</v>
      </c>
      <c r="BT101" s="550">
        <v>1.3771</v>
      </c>
      <c r="BU101" s="550">
        <v>1.9900000000000001E-2</v>
      </c>
      <c r="BV101" s="550">
        <v>9.2999999999999992E-3</v>
      </c>
      <c r="BW101" s="1318">
        <v>9.9500000000000005E-2</v>
      </c>
      <c r="BX101" s="945">
        <v>1.9E-2</v>
      </c>
      <c r="BY101" s="48"/>
      <c r="CA101" s="46"/>
      <c r="CB101" s="810"/>
      <c r="CC101" s="810">
        <v>25</v>
      </c>
      <c r="CD101" s="946">
        <v>0.26450000000000001</v>
      </c>
      <c r="CE101" s="1363">
        <v>585.93640000000005</v>
      </c>
      <c r="CF101" s="550">
        <v>0.50170000000000003</v>
      </c>
      <c r="CG101" s="550">
        <v>5.1999999999999998E-3</v>
      </c>
      <c r="CH101" s="550">
        <v>5.4999999999999997E-3</v>
      </c>
      <c r="CI101" s="1318">
        <v>2.2499999999999999E-2</v>
      </c>
      <c r="CJ101" s="945">
        <v>4.8999999999999998E-3</v>
      </c>
      <c r="CK101" s="48"/>
    </row>
    <row r="102" spans="22:89" ht="14.25" customHeight="1" x14ac:dyDescent="0.3">
      <c r="X102" s="751"/>
      <c r="AE102" s="676"/>
      <c r="AF102" s="676"/>
      <c r="AG102" s="676"/>
      <c r="AH102" s="676"/>
      <c r="AI102" s="676"/>
      <c r="AJ102" s="676"/>
      <c r="AK102" s="676"/>
      <c r="AL102" s="676"/>
      <c r="AM102" s="676"/>
      <c r="AN102" s="676"/>
      <c r="AO102" s="676"/>
      <c r="BO102" s="46"/>
      <c r="BP102" s="810"/>
      <c r="BQ102" s="810">
        <v>26</v>
      </c>
      <c r="BR102" s="946">
        <v>0.82969999999999999</v>
      </c>
      <c r="BS102" s="1363">
        <v>974.59040000000005</v>
      </c>
      <c r="BT102" s="550">
        <v>1.3491</v>
      </c>
      <c r="BU102" s="550">
        <v>1.8800000000000001E-2</v>
      </c>
      <c r="BV102" s="550">
        <v>9.1999999999999998E-3</v>
      </c>
      <c r="BW102" s="1318">
        <v>9.35E-2</v>
      </c>
      <c r="BX102" s="945">
        <v>1.7999999999999999E-2</v>
      </c>
      <c r="BY102" s="48"/>
      <c r="CA102" s="46"/>
      <c r="CB102" s="810"/>
      <c r="CC102" s="810">
        <v>26</v>
      </c>
      <c r="CD102" s="946">
        <v>0.2525</v>
      </c>
      <c r="CE102" s="1363">
        <v>579.66480000000001</v>
      </c>
      <c r="CF102" s="550">
        <v>0.48359999999999997</v>
      </c>
      <c r="CG102" s="550">
        <v>5.0000000000000001E-3</v>
      </c>
      <c r="CH102" s="550">
        <v>5.4000000000000003E-3</v>
      </c>
      <c r="CI102" s="1318">
        <v>2.1299999999999999E-2</v>
      </c>
      <c r="CJ102" s="945">
        <v>4.7000000000000002E-3</v>
      </c>
      <c r="CK102" s="48"/>
    </row>
    <row r="103" spans="22:89" ht="14.25" customHeight="1" x14ac:dyDescent="0.25">
      <c r="AE103" s="676"/>
      <c r="AF103" s="676"/>
      <c r="AG103" s="676"/>
      <c r="AH103" s="676"/>
      <c r="AI103" s="676"/>
      <c r="AJ103" s="676"/>
      <c r="AK103" s="676"/>
      <c r="AL103" s="676"/>
      <c r="AM103" s="676"/>
      <c r="AN103" s="676"/>
      <c r="AO103" s="676"/>
      <c r="BO103" s="46"/>
      <c r="BP103" s="810"/>
      <c r="BQ103" s="810">
        <v>27</v>
      </c>
      <c r="BR103" s="946">
        <v>0.79769999999999996</v>
      </c>
      <c r="BS103" s="1363">
        <v>964.83190000000002</v>
      </c>
      <c r="BT103" s="550">
        <v>1.3216000000000001</v>
      </c>
      <c r="BU103" s="550">
        <v>1.78E-2</v>
      </c>
      <c r="BV103" s="550">
        <v>9.1000000000000004E-3</v>
      </c>
      <c r="BW103" s="1318">
        <v>8.7900000000000006E-2</v>
      </c>
      <c r="BX103" s="945">
        <v>1.7000000000000001E-2</v>
      </c>
      <c r="BY103" s="48"/>
      <c r="CA103" s="46"/>
      <c r="CB103" s="810"/>
      <c r="CC103" s="810">
        <v>27</v>
      </c>
      <c r="CD103" s="946">
        <v>0.24099999999999999</v>
      </c>
      <c r="CE103" s="1363">
        <v>573.46029999999996</v>
      </c>
      <c r="CF103" s="550">
        <v>0.4662</v>
      </c>
      <c r="CG103" s="550">
        <v>4.7000000000000002E-3</v>
      </c>
      <c r="CH103" s="550">
        <v>5.4000000000000003E-3</v>
      </c>
      <c r="CI103" s="1318">
        <v>2.0199999999999999E-2</v>
      </c>
      <c r="CJ103" s="945">
        <v>4.4999999999999997E-3</v>
      </c>
      <c r="CK103" s="48"/>
    </row>
    <row r="104" spans="22:89" ht="15.65" customHeight="1" x14ac:dyDescent="0.25">
      <c r="AE104" s="676"/>
      <c r="AF104" s="676"/>
      <c r="AG104" s="676"/>
      <c r="AH104" s="676"/>
      <c r="AI104" s="676"/>
      <c r="AJ104" s="676"/>
      <c r="AK104" s="676"/>
      <c r="AL104" s="676"/>
      <c r="AM104" s="676"/>
      <c r="AN104" s="676"/>
      <c r="AO104" s="676"/>
      <c r="AP104" s="676"/>
      <c r="BO104" s="46"/>
      <c r="BP104" s="810"/>
      <c r="BQ104" s="810">
        <v>28</v>
      </c>
      <c r="BR104" s="946">
        <v>0.76700000000000002</v>
      </c>
      <c r="BS104" s="1363">
        <v>955.1712</v>
      </c>
      <c r="BT104" s="550">
        <v>1.2948</v>
      </c>
      <c r="BU104" s="550">
        <v>1.6799999999999999E-2</v>
      </c>
      <c r="BV104" s="550">
        <v>8.9999999999999993E-3</v>
      </c>
      <c r="BW104" s="1318">
        <v>8.2699999999999996E-2</v>
      </c>
      <c r="BX104" s="945">
        <v>1.61E-2</v>
      </c>
      <c r="BY104" s="48"/>
      <c r="CA104" s="46"/>
      <c r="CB104" s="810"/>
      <c r="CC104" s="810">
        <v>28</v>
      </c>
      <c r="CD104" s="946">
        <v>0.23</v>
      </c>
      <c r="CE104" s="1363">
        <v>567.32219999999995</v>
      </c>
      <c r="CF104" s="550">
        <v>0.44929999999999998</v>
      </c>
      <c r="CG104" s="550">
        <v>4.4999999999999997E-3</v>
      </c>
      <c r="CH104" s="550">
        <v>5.3E-3</v>
      </c>
      <c r="CI104" s="1318">
        <v>1.9099999999999999E-2</v>
      </c>
      <c r="CJ104" s="945">
        <v>4.3E-3</v>
      </c>
      <c r="CK104" s="48"/>
    </row>
    <row r="105" spans="22:89" ht="14.25" customHeight="1" x14ac:dyDescent="0.25">
      <c r="AE105" s="676"/>
      <c r="AF105" s="676"/>
      <c r="AG105" s="676"/>
      <c r="AH105" s="676"/>
      <c r="AI105" s="676"/>
      <c r="AJ105" s="676"/>
      <c r="AK105" s="676"/>
      <c r="AL105" s="676"/>
      <c r="AM105" s="676"/>
      <c r="AN105" s="676"/>
      <c r="AO105" s="676"/>
      <c r="AP105" s="676"/>
      <c r="BO105" s="46"/>
      <c r="BP105" s="810"/>
      <c r="BQ105" s="810">
        <v>29</v>
      </c>
      <c r="BR105" s="946">
        <v>0.73740000000000006</v>
      </c>
      <c r="BS105" s="1363">
        <v>945.60720000000003</v>
      </c>
      <c r="BT105" s="550">
        <v>1.2684</v>
      </c>
      <c r="BU105" s="550">
        <v>1.5900000000000001E-2</v>
      </c>
      <c r="BV105" s="550">
        <v>8.8999999999999999E-3</v>
      </c>
      <c r="BW105" s="1318">
        <v>7.7700000000000005E-2</v>
      </c>
      <c r="BX105" s="945">
        <v>1.52E-2</v>
      </c>
      <c r="BY105" s="48"/>
      <c r="CA105" s="46"/>
      <c r="CB105" s="810"/>
      <c r="CC105" s="810">
        <v>29</v>
      </c>
      <c r="CD105" s="946">
        <v>0.21959999999999999</v>
      </c>
      <c r="CE105" s="1363">
        <v>561.24980000000005</v>
      </c>
      <c r="CF105" s="550">
        <v>0.43309999999999998</v>
      </c>
      <c r="CG105" s="550">
        <v>4.3E-3</v>
      </c>
      <c r="CH105" s="550">
        <v>5.3E-3</v>
      </c>
      <c r="CI105" s="1318">
        <v>1.8100000000000002E-2</v>
      </c>
      <c r="CJ105" s="945">
        <v>4.1000000000000003E-3</v>
      </c>
      <c r="CK105" s="48"/>
    </row>
    <row r="106" spans="22:89" ht="14.25" customHeight="1" x14ac:dyDescent="0.25">
      <c r="AE106" s="676"/>
      <c r="AF106" s="676"/>
      <c r="AG106" s="676"/>
      <c r="AH106" s="676"/>
      <c r="AI106" s="676"/>
      <c r="AJ106" s="676"/>
      <c r="AK106" s="676"/>
      <c r="AL106" s="676"/>
      <c r="AM106" s="676"/>
      <c r="AN106" s="676"/>
      <c r="AO106" s="676"/>
      <c r="AP106" s="676"/>
      <c r="BO106" s="46"/>
      <c r="BP106" s="810"/>
      <c r="BQ106" s="810">
        <v>30</v>
      </c>
      <c r="BR106" s="946">
        <v>0.70899999999999996</v>
      </c>
      <c r="BS106" s="1363">
        <v>936.13890000000004</v>
      </c>
      <c r="BT106" s="550">
        <v>1.2425999999999999</v>
      </c>
      <c r="BU106" s="550">
        <v>1.5100000000000001E-2</v>
      </c>
      <c r="BV106" s="550">
        <v>8.8000000000000005E-3</v>
      </c>
      <c r="BW106" s="1318">
        <v>7.3099999999999998E-2</v>
      </c>
      <c r="BX106" s="945">
        <v>1.44E-2</v>
      </c>
      <c r="BY106" s="48"/>
      <c r="CA106" s="46"/>
      <c r="CB106" s="810"/>
      <c r="CC106" s="810">
        <v>30</v>
      </c>
      <c r="CD106" s="946">
        <v>0.20960000000000001</v>
      </c>
      <c r="CE106" s="1363">
        <v>555.24239999999998</v>
      </c>
      <c r="CF106" s="550">
        <v>0.41749999999999998</v>
      </c>
      <c r="CG106" s="550">
        <v>4.1000000000000003E-3</v>
      </c>
      <c r="CH106" s="550">
        <v>5.1999999999999998E-3</v>
      </c>
      <c r="CI106" s="1318">
        <v>1.72E-2</v>
      </c>
      <c r="CJ106" s="945">
        <v>3.8999999999999998E-3</v>
      </c>
      <c r="CK106" s="48"/>
    </row>
    <row r="107" spans="22:89" ht="14.25" customHeight="1" x14ac:dyDescent="0.25">
      <c r="AE107" s="676"/>
      <c r="AF107" s="676"/>
      <c r="AG107" s="676"/>
      <c r="AH107" s="676"/>
      <c r="AI107" s="676"/>
      <c r="AJ107" s="676"/>
      <c r="AK107" s="676"/>
      <c r="AL107" s="676"/>
      <c r="AM107" s="676"/>
      <c r="AN107" s="676"/>
      <c r="AO107" s="676"/>
      <c r="AP107" s="676"/>
      <c r="BO107" s="46"/>
      <c r="BP107" s="810"/>
      <c r="BQ107" s="810">
        <v>31</v>
      </c>
      <c r="BR107" s="946">
        <v>0.67789999999999995</v>
      </c>
      <c r="BS107" s="1363">
        <v>941.27160000000003</v>
      </c>
      <c r="BT107" s="550">
        <v>1.2298</v>
      </c>
      <c r="BU107" s="550">
        <v>1.44E-2</v>
      </c>
      <c r="BV107" s="550">
        <v>8.8999999999999999E-3</v>
      </c>
      <c r="BW107" s="1318">
        <v>6.8199999999999997E-2</v>
      </c>
      <c r="BX107" s="945">
        <v>1.37E-2</v>
      </c>
      <c r="BY107" s="48"/>
      <c r="CA107" s="46"/>
      <c r="CB107" s="810"/>
      <c r="CC107" s="810">
        <v>31</v>
      </c>
      <c r="CD107" s="946">
        <v>0.20180000000000001</v>
      </c>
      <c r="CE107" s="1363">
        <v>559.83029999999997</v>
      </c>
      <c r="CF107" s="550">
        <v>0.41310000000000002</v>
      </c>
      <c r="CG107" s="550">
        <v>4.0000000000000001E-3</v>
      </c>
      <c r="CH107" s="550">
        <v>5.1999999999999998E-3</v>
      </c>
      <c r="CI107" s="1318">
        <v>1.6199999999999999E-2</v>
      </c>
      <c r="CJ107" s="945">
        <v>3.8E-3</v>
      </c>
      <c r="CK107" s="48"/>
    </row>
    <row r="108" spans="22:89" ht="14.25" customHeight="1" x14ac:dyDescent="0.25">
      <c r="AE108" s="676"/>
      <c r="AF108" s="676"/>
      <c r="AG108" s="676"/>
      <c r="AH108" s="676"/>
      <c r="AI108" s="676"/>
      <c r="AJ108" s="676"/>
      <c r="AK108" s="676"/>
      <c r="AL108" s="676"/>
      <c r="AM108" s="676"/>
      <c r="AN108" s="676"/>
      <c r="AO108" s="676"/>
      <c r="AP108" s="676"/>
      <c r="BO108" s="46"/>
      <c r="BP108" s="810"/>
      <c r="BQ108" s="810">
        <v>32</v>
      </c>
      <c r="BR108" s="946">
        <v>0.6482</v>
      </c>
      <c r="BS108" s="1363">
        <v>946.43230000000005</v>
      </c>
      <c r="BT108" s="550">
        <v>1.2171000000000001</v>
      </c>
      <c r="BU108" s="550">
        <v>1.38E-2</v>
      </c>
      <c r="BV108" s="550">
        <v>8.8999999999999999E-3</v>
      </c>
      <c r="BW108" s="1318">
        <v>6.3600000000000004E-2</v>
      </c>
      <c r="BX108" s="945">
        <v>1.3100000000000001E-2</v>
      </c>
      <c r="BY108" s="48"/>
      <c r="CA108" s="46"/>
      <c r="CB108" s="810"/>
      <c r="CC108" s="810">
        <v>32</v>
      </c>
      <c r="CD108" s="946">
        <v>0.19420000000000001</v>
      </c>
      <c r="CE108" s="1363">
        <v>564.45609999999999</v>
      </c>
      <c r="CF108" s="550">
        <v>0.4088</v>
      </c>
      <c r="CG108" s="550">
        <v>3.8999999999999998E-3</v>
      </c>
      <c r="CH108" s="550">
        <v>5.3E-3</v>
      </c>
      <c r="CI108" s="1318">
        <v>1.5299999999999999E-2</v>
      </c>
      <c r="CJ108" s="945">
        <v>3.8E-3</v>
      </c>
      <c r="CK108" s="48"/>
    </row>
    <row r="109" spans="22:89" ht="14.25" customHeight="1" x14ac:dyDescent="0.25">
      <c r="AE109" s="676"/>
      <c r="AF109" s="676"/>
      <c r="AG109" s="676"/>
      <c r="AH109" s="676"/>
      <c r="AI109" s="676"/>
      <c r="AJ109" s="676"/>
      <c r="AK109" s="676"/>
      <c r="AL109" s="676"/>
      <c r="AM109" s="676"/>
      <c r="AN109" s="676"/>
      <c r="AO109" s="676"/>
      <c r="AP109" s="676"/>
      <c r="BO109" s="46"/>
      <c r="BP109" s="810"/>
      <c r="BQ109" s="810">
        <v>33</v>
      </c>
      <c r="BR109" s="946">
        <v>0.61980000000000002</v>
      </c>
      <c r="BS109" s="1363">
        <v>951.62139999999999</v>
      </c>
      <c r="BT109" s="550">
        <v>1.2045999999999999</v>
      </c>
      <c r="BU109" s="550">
        <v>1.3100000000000001E-2</v>
      </c>
      <c r="BV109" s="550">
        <v>8.8999999999999999E-3</v>
      </c>
      <c r="BW109" s="1318">
        <v>5.9299999999999999E-2</v>
      </c>
      <c r="BX109" s="945">
        <v>1.26E-2</v>
      </c>
      <c r="BY109" s="48"/>
      <c r="CA109" s="46"/>
      <c r="CB109" s="810"/>
      <c r="CC109" s="810">
        <v>33</v>
      </c>
      <c r="CD109" s="946">
        <v>0.187</v>
      </c>
      <c r="CE109" s="1363">
        <v>569.12009999999998</v>
      </c>
      <c r="CF109" s="550">
        <v>0.40450000000000003</v>
      </c>
      <c r="CG109" s="550">
        <v>3.8999999999999998E-3</v>
      </c>
      <c r="CH109" s="550">
        <v>5.3E-3</v>
      </c>
      <c r="CI109" s="1318">
        <v>1.44E-2</v>
      </c>
      <c r="CJ109" s="945">
        <v>3.7000000000000002E-3</v>
      </c>
      <c r="CK109" s="48"/>
    </row>
    <row r="110" spans="22:89" ht="14.25" customHeight="1" x14ac:dyDescent="0.25">
      <c r="AE110" s="676"/>
      <c r="AF110" s="676"/>
      <c r="AG110" s="676"/>
      <c r="AH110" s="676"/>
      <c r="AI110" s="676"/>
      <c r="AJ110" s="676"/>
      <c r="AK110" s="676"/>
      <c r="AL110" s="676"/>
      <c r="AM110" s="676"/>
      <c r="AN110" s="676"/>
      <c r="AO110" s="676"/>
      <c r="AP110" s="676"/>
      <c r="BO110" s="46"/>
      <c r="BP110" s="810"/>
      <c r="BQ110" s="810">
        <v>34</v>
      </c>
      <c r="BR110" s="946">
        <v>0.59260000000000002</v>
      </c>
      <c r="BS110" s="1363">
        <v>956.83889999999997</v>
      </c>
      <c r="BT110" s="550">
        <v>1.1920999999999999</v>
      </c>
      <c r="BU110" s="550">
        <v>1.26E-2</v>
      </c>
      <c r="BV110" s="550">
        <v>8.9999999999999993E-3</v>
      </c>
      <c r="BW110" s="1318">
        <v>5.5300000000000002E-2</v>
      </c>
      <c r="BX110" s="945">
        <v>1.2E-2</v>
      </c>
      <c r="BY110" s="48"/>
      <c r="CA110" s="46"/>
      <c r="CB110" s="810"/>
      <c r="CC110" s="810">
        <v>34</v>
      </c>
      <c r="CD110" s="946">
        <v>0.18</v>
      </c>
      <c r="CE110" s="1363">
        <v>573.82259999999997</v>
      </c>
      <c r="CF110" s="550">
        <v>0.40029999999999999</v>
      </c>
      <c r="CG110" s="550">
        <v>3.8E-3</v>
      </c>
      <c r="CH110" s="550">
        <v>5.3E-3</v>
      </c>
      <c r="CI110" s="1318">
        <v>1.3599999999999999E-2</v>
      </c>
      <c r="CJ110" s="945">
        <v>3.5999999999999999E-3</v>
      </c>
      <c r="CK110" s="48"/>
    </row>
    <row r="111" spans="22:89" ht="14.25" customHeight="1" x14ac:dyDescent="0.25">
      <c r="AE111" s="676"/>
      <c r="AF111" s="676"/>
      <c r="AG111" s="676"/>
      <c r="AH111" s="676"/>
      <c r="AI111" s="676"/>
      <c r="AJ111" s="676"/>
      <c r="AK111" s="676"/>
      <c r="AL111" s="676"/>
      <c r="AM111" s="676"/>
      <c r="AN111" s="676"/>
      <c r="AO111" s="676"/>
      <c r="AP111" s="676"/>
      <c r="BO111" s="46"/>
      <c r="BP111" s="810"/>
      <c r="BQ111" s="810">
        <v>35</v>
      </c>
      <c r="BR111" s="946">
        <v>0.56659999999999999</v>
      </c>
      <c r="BS111" s="1363">
        <v>962.08500000000004</v>
      </c>
      <c r="BT111" s="550">
        <v>1.1798</v>
      </c>
      <c r="BU111" s="550">
        <v>1.2E-2</v>
      </c>
      <c r="BV111" s="550">
        <v>8.9999999999999993E-3</v>
      </c>
      <c r="BW111" s="1318">
        <v>5.16E-2</v>
      </c>
      <c r="BX111" s="945">
        <v>1.15E-2</v>
      </c>
      <c r="BY111" s="48"/>
      <c r="CA111" s="46"/>
      <c r="CB111" s="810"/>
      <c r="CC111" s="810">
        <v>35</v>
      </c>
      <c r="CD111" s="946">
        <v>0.17330000000000001</v>
      </c>
      <c r="CE111" s="1363">
        <v>578.56399999999996</v>
      </c>
      <c r="CF111" s="550">
        <v>0.39610000000000001</v>
      </c>
      <c r="CG111" s="550">
        <v>3.7000000000000002E-3</v>
      </c>
      <c r="CH111" s="550">
        <v>5.4000000000000003E-3</v>
      </c>
      <c r="CI111" s="1318">
        <v>1.2800000000000001E-2</v>
      </c>
      <c r="CJ111" s="945">
        <v>3.5000000000000001E-3</v>
      </c>
      <c r="CK111" s="48"/>
    </row>
    <row r="112" spans="22:89" ht="14.25" customHeight="1" x14ac:dyDescent="0.25">
      <c r="AE112" s="676"/>
      <c r="AF112" s="676"/>
      <c r="AG112" s="676"/>
      <c r="AH112" s="676"/>
      <c r="AI112" s="676"/>
      <c r="AJ112" s="676"/>
      <c r="AK112" s="676"/>
      <c r="AL112" s="676"/>
      <c r="AM112" s="676"/>
      <c r="AN112" s="676"/>
      <c r="AO112" s="676"/>
      <c r="AP112" s="676"/>
      <c r="BO112" s="46"/>
      <c r="BP112" s="810"/>
      <c r="BQ112" s="810">
        <v>36</v>
      </c>
      <c r="BR112" s="946">
        <v>0.55049999999999999</v>
      </c>
      <c r="BS112" s="1363">
        <v>967.41949999999997</v>
      </c>
      <c r="BT112" s="550">
        <v>1.1662999999999999</v>
      </c>
      <c r="BU112" s="550">
        <v>1.18E-2</v>
      </c>
      <c r="BV112" s="550">
        <v>9.1000000000000004E-3</v>
      </c>
      <c r="BW112" s="1318">
        <v>4.8800000000000003E-2</v>
      </c>
      <c r="BX112" s="945">
        <v>1.1299999999999999E-2</v>
      </c>
      <c r="BY112" s="48"/>
      <c r="CA112" s="46"/>
      <c r="CB112" s="810"/>
      <c r="CC112" s="810">
        <v>36</v>
      </c>
      <c r="CD112" s="946">
        <v>0.16880000000000001</v>
      </c>
      <c r="CE112" s="1363">
        <v>584.06709999999998</v>
      </c>
      <c r="CF112" s="550">
        <v>0.38829999999999998</v>
      </c>
      <c r="CG112" s="550">
        <v>3.8E-3</v>
      </c>
      <c r="CH112" s="550">
        <v>5.4000000000000003E-3</v>
      </c>
      <c r="CI112" s="1318">
        <v>1.2200000000000001E-2</v>
      </c>
      <c r="CJ112" s="945">
        <v>3.5999999999999999E-3</v>
      </c>
      <c r="CK112" s="48"/>
    </row>
    <row r="113" spans="9:89" ht="14.25" customHeight="1" x14ac:dyDescent="0.25">
      <c r="AE113" s="676"/>
      <c r="AF113" s="676"/>
      <c r="AG113" s="676"/>
      <c r="AH113" s="676"/>
      <c r="AI113" s="676"/>
      <c r="AJ113" s="676"/>
      <c r="AK113" s="676"/>
      <c r="AL113" s="676"/>
      <c r="AM113" s="676"/>
      <c r="AN113" s="676"/>
      <c r="AO113" s="676"/>
      <c r="AP113" s="676"/>
      <c r="BO113" s="46"/>
      <c r="BP113" s="810"/>
      <c r="BQ113" s="810">
        <v>37</v>
      </c>
      <c r="BR113" s="946">
        <v>0.53490000000000004</v>
      </c>
      <c r="BS113" s="1363">
        <v>972.78359999999998</v>
      </c>
      <c r="BT113" s="550">
        <v>1.1529</v>
      </c>
      <c r="BU113" s="550">
        <v>1.1599999999999999E-2</v>
      </c>
      <c r="BV113" s="550">
        <v>9.1000000000000004E-3</v>
      </c>
      <c r="BW113" s="1318">
        <v>4.6199999999999998E-2</v>
      </c>
      <c r="BX113" s="945">
        <v>1.0999999999999999E-2</v>
      </c>
      <c r="BY113" s="48"/>
      <c r="CA113" s="46"/>
      <c r="CB113" s="810"/>
      <c r="CC113" s="810">
        <v>37</v>
      </c>
      <c r="CD113" s="946">
        <v>0.16450000000000001</v>
      </c>
      <c r="CE113" s="1363">
        <v>589.62249999999995</v>
      </c>
      <c r="CF113" s="550">
        <v>0.38059999999999999</v>
      </c>
      <c r="CG113" s="550">
        <v>3.8E-3</v>
      </c>
      <c r="CH113" s="550">
        <v>5.4999999999999997E-3</v>
      </c>
      <c r="CI113" s="1318">
        <v>1.1599999999999999E-2</v>
      </c>
      <c r="CJ113" s="945">
        <v>3.7000000000000002E-3</v>
      </c>
      <c r="CK113" s="48"/>
    </row>
    <row r="114" spans="9:89" ht="14.25" customHeight="1" x14ac:dyDescent="0.25">
      <c r="AE114" s="676"/>
      <c r="AF114" s="676"/>
      <c r="AG114" s="676"/>
      <c r="AH114" s="676"/>
      <c r="AI114" s="676"/>
      <c r="AJ114" s="676"/>
      <c r="AK114" s="676"/>
      <c r="AL114" s="676"/>
      <c r="AM114" s="676"/>
      <c r="AN114" s="676"/>
      <c r="AO114" s="676"/>
      <c r="AP114" s="676"/>
      <c r="BO114" s="46"/>
      <c r="BP114" s="810"/>
      <c r="BQ114" s="810">
        <v>38</v>
      </c>
      <c r="BR114" s="946">
        <v>0.51970000000000005</v>
      </c>
      <c r="BS114" s="1363">
        <v>978.17750000000001</v>
      </c>
      <c r="BT114" s="550">
        <v>1.1395999999999999</v>
      </c>
      <c r="BU114" s="550">
        <v>1.1299999999999999E-2</v>
      </c>
      <c r="BV114" s="550">
        <v>9.1000000000000004E-3</v>
      </c>
      <c r="BW114" s="1318">
        <v>4.3700000000000003E-2</v>
      </c>
      <c r="BX114" s="945">
        <v>1.0800000000000001E-2</v>
      </c>
      <c r="BY114" s="48"/>
      <c r="CA114" s="46"/>
      <c r="CB114" s="810"/>
      <c r="CC114" s="810">
        <v>38</v>
      </c>
      <c r="CD114" s="946">
        <v>0.1603</v>
      </c>
      <c r="CE114" s="1363">
        <v>595.23080000000004</v>
      </c>
      <c r="CF114" s="550">
        <v>0.37309999999999999</v>
      </c>
      <c r="CG114" s="550">
        <v>3.8999999999999998E-3</v>
      </c>
      <c r="CH114" s="550">
        <v>5.4999999999999997E-3</v>
      </c>
      <c r="CI114" s="1318">
        <v>1.11E-2</v>
      </c>
      <c r="CJ114" s="945">
        <v>3.8E-3</v>
      </c>
      <c r="CK114" s="48"/>
    </row>
    <row r="115" spans="9:89" ht="14.25" customHeight="1" x14ac:dyDescent="0.25">
      <c r="AE115" s="676"/>
      <c r="AF115" s="676"/>
      <c r="AG115" s="676"/>
      <c r="AH115" s="676"/>
      <c r="AI115" s="676"/>
      <c r="AJ115" s="676"/>
      <c r="AK115" s="676"/>
      <c r="AL115" s="676"/>
      <c r="AM115" s="676"/>
      <c r="AN115" s="676"/>
      <c r="AO115" s="676"/>
      <c r="AP115" s="676"/>
      <c r="BO115" s="46"/>
      <c r="BP115" s="810"/>
      <c r="BQ115" s="810">
        <v>39</v>
      </c>
      <c r="BR115" s="946">
        <v>0.505</v>
      </c>
      <c r="BS115" s="1363">
        <v>983.60130000000004</v>
      </c>
      <c r="BT115" s="550">
        <v>1.1266</v>
      </c>
      <c r="BU115" s="550">
        <v>1.11E-2</v>
      </c>
      <c r="BV115" s="550">
        <v>9.1999999999999998E-3</v>
      </c>
      <c r="BW115" s="1318">
        <v>4.1300000000000003E-2</v>
      </c>
      <c r="BX115" s="945">
        <v>1.06E-2</v>
      </c>
      <c r="BY115" s="48"/>
      <c r="CA115" s="46"/>
      <c r="CB115" s="810"/>
      <c r="CC115" s="810">
        <v>39</v>
      </c>
      <c r="CD115" s="946">
        <v>0.15609999999999999</v>
      </c>
      <c r="CE115" s="1363">
        <v>600.89239999999995</v>
      </c>
      <c r="CF115" s="550">
        <v>0.36580000000000001</v>
      </c>
      <c r="CG115" s="550">
        <v>4.0000000000000001E-3</v>
      </c>
      <c r="CH115" s="550">
        <v>5.5999999999999999E-3</v>
      </c>
      <c r="CI115" s="1318">
        <v>1.0500000000000001E-2</v>
      </c>
      <c r="CJ115" s="945">
        <v>3.8E-3</v>
      </c>
      <c r="CK115" s="48"/>
    </row>
    <row r="116" spans="9:89" ht="14.25" customHeight="1" x14ac:dyDescent="0.25">
      <c r="L116" s="315"/>
      <c r="M116" s="315"/>
      <c r="N116" s="315"/>
      <c r="O116" s="315"/>
      <c r="P116" s="315"/>
      <c r="AE116" s="676"/>
      <c r="AF116" s="676"/>
      <c r="AG116" s="676"/>
      <c r="AH116" s="676"/>
      <c r="AI116" s="676"/>
      <c r="AJ116" s="676"/>
      <c r="AK116" s="676"/>
      <c r="AL116" s="676"/>
      <c r="AM116" s="676"/>
      <c r="AN116" s="676"/>
      <c r="AO116" s="676"/>
      <c r="AP116" s="676"/>
      <c r="BO116" s="46"/>
      <c r="BP116" s="810"/>
      <c r="BQ116" s="810">
        <v>40</v>
      </c>
      <c r="BR116" s="946">
        <v>0.49059999999999998</v>
      </c>
      <c r="BS116" s="1363">
        <v>989.05510000000004</v>
      </c>
      <c r="BT116" s="550">
        <v>1.1135999999999999</v>
      </c>
      <c r="BU116" s="550">
        <v>1.09E-2</v>
      </c>
      <c r="BV116" s="550">
        <v>9.1999999999999998E-3</v>
      </c>
      <c r="BW116" s="1318">
        <v>3.9100000000000003E-2</v>
      </c>
      <c r="BX116" s="945">
        <v>1.04E-2</v>
      </c>
      <c r="BY116" s="48"/>
      <c r="CA116" s="46"/>
      <c r="CB116" s="810"/>
      <c r="CC116" s="810">
        <v>40</v>
      </c>
      <c r="CD116" s="946">
        <v>0.15210000000000001</v>
      </c>
      <c r="CE116" s="1363">
        <v>606.60789999999997</v>
      </c>
      <c r="CF116" s="550">
        <v>0.35859999999999997</v>
      </c>
      <c r="CG116" s="550">
        <v>4.1000000000000003E-3</v>
      </c>
      <c r="CH116" s="550">
        <v>5.5999999999999999E-3</v>
      </c>
      <c r="CI116" s="1318">
        <v>0.01</v>
      </c>
      <c r="CJ116" s="945">
        <v>3.8999999999999998E-3</v>
      </c>
      <c r="CK116" s="48"/>
    </row>
    <row r="117" spans="9:89" ht="14.25" customHeight="1" x14ac:dyDescent="0.25">
      <c r="AE117" s="676"/>
      <c r="AF117" s="676"/>
      <c r="AG117" s="676"/>
      <c r="AH117" s="676"/>
      <c r="AI117" s="676"/>
      <c r="AJ117" s="676"/>
      <c r="AK117" s="676"/>
      <c r="AL117" s="676"/>
      <c r="AM117" s="676"/>
      <c r="AN117" s="676"/>
      <c r="AO117" s="676"/>
      <c r="AP117" s="676"/>
      <c r="BO117" s="46"/>
      <c r="BP117" s="810"/>
      <c r="BQ117" s="810">
        <v>41</v>
      </c>
      <c r="BR117" s="946">
        <v>0.48680000000000001</v>
      </c>
      <c r="BS117" s="1363">
        <v>984.5077</v>
      </c>
      <c r="BT117" s="550">
        <v>1.0993999999999999</v>
      </c>
      <c r="BU117" s="550">
        <v>1.0999999999999999E-2</v>
      </c>
      <c r="BV117" s="550">
        <v>9.1999999999999998E-3</v>
      </c>
      <c r="BW117" s="1318">
        <v>3.8199999999999998E-2</v>
      </c>
      <c r="BX117" s="945">
        <v>1.0500000000000001E-2</v>
      </c>
      <c r="BY117" s="48"/>
      <c r="CA117" s="46"/>
      <c r="CB117" s="810"/>
      <c r="CC117" s="810">
        <v>41</v>
      </c>
      <c r="CD117" s="946">
        <v>0.1479</v>
      </c>
      <c r="CE117" s="1363">
        <v>611.86289999999997</v>
      </c>
      <c r="CF117" s="550">
        <v>0.35299999999999998</v>
      </c>
      <c r="CG117" s="550">
        <v>4.4000000000000003E-3</v>
      </c>
      <c r="CH117" s="550">
        <v>5.7000000000000002E-3</v>
      </c>
      <c r="CI117" s="1318">
        <v>9.7999999999999997E-3</v>
      </c>
      <c r="CJ117" s="945">
        <v>4.1999999999999997E-3</v>
      </c>
      <c r="CK117" s="48"/>
    </row>
    <row r="118" spans="9:89" ht="14.25" customHeight="1" x14ac:dyDescent="0.25">
      <c r="AE118" s="676"/>
      <c r="AF118" s="676"/>
      <c r="AG118" s="676"/>
      <c r="AH118" s="676"/>
      <c r="AI118" s="676"/>
      <c r="AJ118" s="676"/>
      <c r="AK118" s="676"/>
      <c r="AL118" s="676"/>
      <c r="AM118" s="676"/>
      <c r="AN118" s="676"/>
      <c r="AO118" s="676"/>
      <c r="AP118" s="676"/>
      <c r="BO118" s="46"/>
      <c r="BP118" s="810"/>
      <c r="BQ118" s="810">
        <v>42</v>
      </c>
      <c r="BR118" s="946">
        <v>0.4829</v>
      </c>
      <c r="BS118" s="1363">
        <v>979.98119999999994</v>
      </c>
      <c r="BT118" s="550">
        <v>1.0853999999999999</v>
      </c>
      <c r="BU118" s="550">
        <v>1.11E-2</v>
      </c>
      <c r="BV118" s="550">
        <v>9.1000000000000004E-3</v>
      </c>
      <c r="BW118" s="1318">
        <v>3.7400000000000003E-2</v>
      </c>
      <c r="BX118" s="945">
        <v>1.06E-2</v>
      </c>
      <c r="BY118" s="48"/>
      <c r="CA118" s="46"/>
      <c r="CB118" s="810"/>
      <c r="CC118" s="810">
        <v>42</v>
      </c>
      <c r="CD118" s="946">
        <v>0.14380000000000001</v>
      </c>
      <c r="CE118" s="1363">
        <v>617.16330000000005</v>
      </c>
      <c r="CF118" s="550">
        <v>0.34739999999999999</v>
      </c>
      <c r="CG118" s="550">
        <v>4.5999999999999999E-3</v>
      </c>
      <c r="CH118" s="550">
        <v>5.7000000000000002E-3</v>
      </c>
      <c r="CI118" s="1318">
        <v>9.5999999999999992E-3</v>
      </c>
      <c r="CJ118" s="945">
        <v>4.4000000000000003E-3</v>
      </c>
      <c r="CK118" s="48"/>
    </row>
    <row r="119" spans="9:89" ht="14.25" customHeight="1" x14ac:dyDescent="0.25">
      <c r="AE119" s="676"/>
      <c r="AF119" s="676"/>
      <c r="AG119" s="676"/>
      <c r="AH119" s="676"/>
      <c r="AI119" s="676"/>
      <c r="AJ119" s="676"/>
      <c r="AK119" s="676"/>
      <c r="AL119" s="676"/>
      <c r="AM119" s="676"/>
      <c r="AN119" s="676"/>
      <c r="AO119" s="676"/>
      <c r="AP119" s="676"/>
      <c r="BO119" s="46"/>
      <c r="BP119" s="810"/>
      <c r="BQ119" s="810">
        <v>43</v>
      </c>
      <c r="BR119" s="946">
        <v>0.47910000000000003</v>
      </c>
      <c r="BS119" s="1363">
        <v>975.47540000000004</v>
      </c>
      <c r="BT119" s="550">
        <v>1.0714999999999999</v>
      </c>
      <c r="BU119" s="550">
        <v>1.11E-2</v>
      </c>
      <c r="BV119" s="550">
        <v>9.1000000000000004E-3</v>
      </c>
      <c r="BW119" s="1318">
        <v>3.6600000000000001E-2</v>
      </c>
      <c r="BX119" s="945">
        <v>1.06E-2</v>
      </c>
      <c r="BY119" s="48"/>
      <c r="CA119" s="46"/>
      <c r="CB119" s="810"/>
      <c r="CC119" s="810">
        <v>43</v>
      </c>
      <c r="CD119" s="946">
        <v>0.1399</v>
      </c>
      <c r="CE119" s="1363">
        <v>622.50959999999998</v>
      </c>
      <c r="CF119" s="550">
        <v>0.34200000000000003</v>
      </c>
      <c r="CG119" s="550">
        <v>4.8999999999999998E-3</v>
      </c>
      <c r="CH119" s="550">
        <v>5.7999999999999996E-3</v>
      </c>
      <c r="CI119" s="1318">
        <v>9.4000000000000004E-3</v>
      </c>
      <c r="CJ119" s="945">
        <v>4.7000000000000002E-3</v>
      </c>
      <c r="CK119" s="48"/>
    </row>
    <row r="120" spans="9:89" ht="14.25" customHeight="1" x14ac:dyDescent="0.25">
      <c r="I120" s="1270"/>
      <c r="AE120" s="676"/>
      <c r="AF120" s="676"/>
      <c r="AG120" s="676"/>
      <c r="AH120" s="676"/>
      <c r="AI120" s="676"/>
      <c r="AJ120" s="676"/>
      <c r="AK120" s="676"/>
      <c r="AL120" s="676"/>
      <c r="AM120" s="676"/>
      <c r="AN120" s="676"/>
      <c r="AO120" s="676"/>
      <c r="AP120" s="676"/>
      <c r="BO120" s="46"/>
      <c r="BP120" s="810"/>
      <c r="BQ120" s="810">
        <v>44</v>
      </c>
      <c r="BR120" s="946">
        <v>0.4753</v>
      </c>
      <c r="BS120" s="1363">
        <v>970.99040000000002</v>
      </c>
      <c r="BT120" s="550">
        <v>1.0579000000000001</v>
      </c>
      <c r="BU120" s="550">
        <v>1.12E-2</v>
      </c>
      <c r="BV120" s="550">
        <v>9.1000000000000004E-3</v>
      </c>
      <c r="BW120" s="1318">
        <v>3.5900000000000001E-2</v>
      </c>
      <c r="BX120" s="945">
        <v>1.0699999999999999E-2</v>
      </c>
      <c r="BY120" s="48"/>
      <c r="CA120" s="46"/>
      <c r="CB120" s="810"/>
      <c r="CC120" s="810">
        <v>44</v>
      </c>
      <c r="CD120" s="946">
        <v>0.13600000000000001</v>
      </c>
      <c r="CE120" s="1363">
        <v>627.90229999999997</v>
      </c>
      <c r="CF120" s="550">
        <v>0.33660000000000001</v>
      </c>
      <c r="CG120" s="550">
        <v>5.1999999999999998E-3</v>
      </c>
      <c r="CH120" s="550">
        <v>5.7999999999999996E-3</v>
      </c>
      <c r="CI120" s="1318">
        <v>9.2999999999999992E-3</v>
      </c>
      <c r="CJ120" s="945">
        <v>5.0000000000000001E-3</v>
      </c>
      <c r="CK120" s="48"/>
    </row>
    <row r="121" spans="9:89" ht="14.25" customHeight="1" x14ac:dyDescent="0.25">
      <c r="AE121" s="676"/>
      <c r="AF121" s="676"/>
      <c r="AG121" s="676"/>
      <c r="AH121" s="676"/>
      <c r="AI121" s="676"/>
      <c r="AJ121" s="676"/>
      <c r="AK121" s="676"/>
      <c r="AL121" s="676"/>
      <c r="AM121" s="676"/>
      <c r="AN121" s="676"/>
      <c r="AO121" s="676"/>
      <c r="AP121" s="676"/>
      <c r="BO121" s="46"/>
      <c r="BP121" s="810"/>
      <c r="BQ121" s="810">
        <v>45</v>
      </c>
      <c r="BR121" s="946">
        <v>0.47160000000000002</v>
      </c>
      <c r="BS121" s="1363">
        <v>966.52610000000004</v>
      </c>
      <c r="BT121" s="550">
        <v>1.0444</v>
      </c>
      <c r="BU121" s="550">
        <v>1.1299999999999999E-2</v>
      </c>
      <c r="BV121" s="550">
        <v>8.9999999999999993E-3</v>
      </c>
      <c r="BW121" s="1318">
        <v>3.5099999999999999E-2</v>
      </c>
      <c r="BX121" s="945">
        <v>1.0800000000000001E-2</v>
      </c>
      <c r="BY121" s="48"/>
      <c r="CA121" s="46"/>
      <c r="CB121" s="810"/>
      <c r="CC121" s="810">
        <v>45</v>
      </c>
      <c r="CD121" s="946">
        <v>0.1323</v>
      </c>
      <c r="CE121" s="1363">
        <v>633.34169999999995</v>
      </c>
      <c r="CF121" s="550">
        <v>0.33139999999999997</v>
      </c>
      <c r="CG121" s="550">
        <v>5.5999999999999999E-3</v>
      </c>
      <c r="CH121" s="550">
        <v>5.8999999999999999E-3</v>
      </c>
      <c r="CI121" s="1318">
        <v>9.1000000000000004E-3</v>
      </c>
      <c r="CJ121" s="945">
        <v>5.3E-3</v>
      </c>
      <c r="CK121" s="48"/>
    </row>
    <row r="122" spans="9:89" ht="14.25" customHeight="1" x14ac:dyDescent="0.25">
      <c r="AE122" s="676"/>
      <c r="AF122" s="676"/>
      <c r="AG122" s="676"/>
      <c r="AH122" s="676"/>
      <c r="AI122" s="676"/>
      <c r="AJ122" s="676"/>
      <c r="AK122" s="676"/>
      <c r="AL122" s="676"/>
      <c r="AM122" s="676"/>
      <c r="AN122" s="676"/>
      <c r="AO122" s="676"/>
      <c r="AP122" s="676"/>
      <c r="BO122" s="46"/>
      <c r="BP122" s="810"/>
      <c r="BQ122" s="810">
        <v>46</v>
      </c>
      <c r="BR122" s="946">
        <v>0.47620000000000001</v>
      </c>
      <c r="BS122" s="1363">
        <v>930.22239999999999</v>
      </c>
      <c r="BT122" s="550">
        <v>1.0417000000000001</v>
      </c>
      <c r="BU122" s="550">
        <v>1.15E-2</v>
      </c>
      <c r="BV122" s="550">
        <v>8.6999999999999994E-3</v>
      </c>
      <c r="BW122" s="1318">
        <v>3.6799999999999999E-2</v>
      </c>
      <c r="BX122" s="945">
        <v>1.0999999999999999E-2</v>
      </c>
      <c r="BY122" s="48"/>
      <c r="CA122" s="46"/>
      <c r="CB122" s="810"/>
      <c r="CC122" s="810">
        <v>46</v>
      </c>
      <c r="CD122" s="946">
        <v>0.13</v>
      </c>
      <c r="CE122" s="1363">
        <v>609.35320000000002</v>
      </c>
      <c r="CF122" s="550">
        <v>0.31030000000000002</v>
      </c>
      <c r="CG122" s="550">
        <v>5.7000000000000002E-3</v>
      </c>
      <c r="CH122" s="550">
        <v>5.7000000000000002E-3</v>
      </c>
      <c r="CI122" s="1318">
        <v>9.2999999999999992E-3</v>
      </c>
      <c r="CJ122" s="945">
        <v>5.4000000000000003E-3</v>
      </c>
      <c r="CK122" s="48"/>
    </row>
    <row r="123" spans="9:89" ht="14.25" customHeight="1" x14ac:dyDescent="0.25">
      <c r="AE123" s="676"/>
      <c r="AF123" s="676"/>
      <c r="AG123" s="676"/>
      <c r="AH123" s="676"/>
      <c r="AI123" s="676"/>
      <c r="AJ123" s="676"/>
      <c r="AK123" s="676"/>
      <c r="AL123" s="676"/>
      <c r="AM123" s="676"/>
      <c r="AN123" s="676"/>
      <c r="AO123" s="676"/>
      <c r="AP123" s="676"/>
      <c r="BO123" s="46"/>
      <c r="BP123" s="810"/>
      <c r="BQ123" s="810">
        <v>47</v>
      </c>
      <c r="BR123" s="946">
        <v>0.48089999999999999</v>
      </c>
      <c r="BS123" s="1363">
        <v>895.28229999999996</v>
      </c>
      <c r="BT123" s="550">
        <v>1.0390999999999999</v>
      </c>
      <c r="BU123" s="550">
        <v>1.18E-2</v>
      </c>
      <c r="BV123" s="550">
        <v>8.3999999999999995E-3</v>
      </c>
      <c r="BW123" s="1318">
        <v>3.8600000000000002E-2</v>
      </c>
      <c r="BX123" s="945">
        <v>1.12E-2</v>
      </c>
      <c r="BY123" s="48"/>
      <c r="CA123" s="46"/>
      <c r="CB123" s="810"/>
      <c r="CC123" s="810">
        <v>47</v>
      </c>
      <c r="CD123" s="946">
        <v>0.1278</v>
      </c>
      <c r="CE123" s="1363">
        <v>586.27319999999997</v>
      </c>
      <c r="CF123" s="550">
        <v>0.29060000000000002</v>
      </c>
      <c r="CG123" s="550">
        <v>5.7999999999999996E-3</v>
      </c>
      <c r="CH123" s="550">
        <v>5.4999999999999997E-3</v>
      </c>
      <c r="CI123" s="1318">
        <v>9.5999999999999992E-3</v>
      </c>
      <c r="CJ123" s="945">
        <v>5.4999999999999997E-3</v>
      </c>
      <c r="CK123" s="48"/>
    </row>
    <row r="124" spans="9:89" ht="14.25" customHeight="1" x14ac:dyDescent="0.25">
      <c r="AE124" s="676"/>
      <c r="AF124" s="676"/>
      <c r="AG124" s="676"/>
      <c r="AH124" s="676"/>
      <c r="AI124" s="676"/>
      <c r="AJ124" s="676"/>
      <c r="AK124" s="676"/>
      <c r="AL124" s="676"/>
      <c r="AM124" s="676"/>
      <c r="AN124" s="676"/>
      <c r="AO124" s="676"/>
      <c r="AP124" s="676"/>
      <c r="AQ124" s="514"/>
      <c r="AR124" s="514"/>
      <c r="BO124" s="46"/>
      <c r="BP124" s="810"/>
      <c r="BQ124" s="810">
        <v>48</v>
      </c>
      <c r="BR124" s="946">
        <v>0.48570000000000002</v>
      </c>
      <c r="BS124" s="1363">
        <v>861.65459999999996</v>
      </c>
      <c r="BT124" s="550">
        <v>1.0364</v>
      </c>
      <c r="BU124" s="550">
        <v>1.2E-2</v>
      </c>
      <c r="BV124" s="550">
        <v>8.0999999999999996E-3</v>
      </c>
      <c r="BW124" s="1318">
        <v>4.0500000000000001E-2</v>
      </c>
      <c r="BX124" s="945">
        <v>1.15E-2</v>
      </c>
      <c r="BY124" s="48"/>
      <c r="CA124" s="46"/>
      <c r="CB124" s="810"/>
      <c r="CC124" s="810">
        <v>48</v>
      </c>
      <c r="CD124" s="946">
        <v>0.12559999999999999</v>
      </c>
      <c r="CE124" s="1363">
        <v>564.06740000000002</v>
      </c>
      <c r="CF124" s="550">
        <v>0.2722</v>
      </c>
      <c r="CG124" s="550">
        <v>5.8999999999999999E-3</v>
      </c>
      <c r="CH124" s="550">
        <v>5.3E-3</v>
      </c>
      <c r="CI124" s="1318">
        <v>9.9000000000000008E-3</v>
      </c>
      <c r="CJ124" s="945">
        <v>5.5999999999999999E-3</v>
      </c>
      <c r="CK124" s="48"/>
    </row>
    <row r="125" spans="9:89" ht="14.25" customHeight="1" x14ac:dyDescent="0.25">
      <c r="AE125" s="676"/>
      <c r="AF125" s="676"/>
      <c r="AG125" s="676"/>
      <c r="AH125" s="676"/>
      <c r="AI125" s="676"/>
      <c r="AJ125" s="676"/>
      <c r="AK125" s="676"/>
      <c r="AL125" s="676"/>
      <c r="AM125" s="676"/>
      <c r="AN125" s="676"/>
      <c r="AO125" s="676"/>
      <c r="AP125" s="676"/>
      <c r="AQ125" s="514"/>
      <c r="AR125" s="514"/>
      <c r="BO125" s="46"/>
      <c r="BP125" s="810"/>
      <c r="BQ125" s="810">
        <v>49</v>
      </c>
      <c r="BR125" s="946">
        <v>0.49049999999999999</v>
      </c>
      <c r="BS125" s="1363">
        <v>829.28989999999999</v>
      </c>
      <c r="BT125" s="550">
        <v>1.0338000000000001</v>
      </c>
      <c r="BU125" s="550">
        <v>1.23E-2</v>
      </c>
      <c r="BV125" s="550">
        <v>7.7999999999999996E-3</v>
      </c>
      <c r="BW125" s="1318">
        <v>4.2500000000000003E-2</v>
      </c>
      <c r="BX125" s="945">
        <v>1.17E-2</v>
      </c>
      <c r="BY125" s="48"/>
      <c r="CA125" s="46"/>
      <c r="CB125" s="810"/>
      <c r="CC125" s="810">
        <v>49</v>
      </c>
      <c r="CD125" s="946">
        <v>0.1234</v>
      </c>
      <c r="CE125" s="1363">
        <v>542.70270000000005</v>
      </c>
      <c r="CF125" s="550">
        <v>0.25490000000000002</v>
      </c>
      <c r="CG125" s="550">
        <v>6.0000000000000001E-3</v>
      </c>
      <c r="CH125" s="550">
        <v>5.1000000000000004E-3</v>
      </c>
      <c r="CI125" s="1318">
        <v>1.0200000000000001E-2</v>
      </c>
      <c r="CJ125" s="945">
        <v>5.7000000000000002E-3</v>
      </c>
      <c r="CK125" s="48"/>
    </row>
    <row r="126" spans="9:89" ht="14.25" customHeight="1" x14ac:dyDescent="0.25">
      <c r="AE126" s="676"/>
      <c r="AF126" s="676"/>
      <c r="AG126" s="676"/>
      <c r="AH126" s="676"/>
      <c r="AI126" s="676"/>
      <c r="AJ126" s="676"/>
      <c r="AK126" s="676"/>
      <c r="AL126" s="676"/>
      <c r="AM126" s="676"/>
      <c r="AN126" s="676"/>
      <c r="AO126" s="676"/>
      <c r="AP126" s="676"/>
      <c r="AQ126" s="514"/>
      <c r="AR126" s="514"/>
      <c r="BO126" s="46"/>
      <c r="BP126" s="810"/>
      <c r="BQ126" s="810">
        <v>50</v>
      </c>
      <c r="BR126" s="946">
        <v>0.49530000000000002</v>
      </c>
      <c r="BS126" s="1363">
        <v>798.14099999999996</v>
      </c>
      <c r="BT126" s="550">
        <v>1.0310999999999999</v>
      </c>
      <c r="BU126" s="550">
        <v>1.2500000000000001E-2</v>
      </c>
      <c r="BV126" s="550">
        <v>7.4999999999999997E-3</v>
      </c>
      <c r="BW126" s="1318">
        <v>4.4499999999999998E-2</v>
      </c>
      <c r="BX126" s="945">
        <v>1.2E-2</v>
      </c>
      <c r="BY126" s="48"/>
      <c r="CA126" s="46"/>
      <c r="CB126" s="810"/>
      <c r="CC126" s="810">
        <v>50</v>
      </c>
      <c r="CD126" s="946">
        <v>0.12130000000000001</v>
      </c>
      <c r="CE126" s="1363">
        <v>522.1472</v>
      </c>
      <c r="CF126" s="550">
        <v>0.2387</v>
      </c>
      <c r="CG126" s="550">
        <v>6.1000000000000004E-3</v>
      </c>
      <c r="CH126" s="550">
        <v>4.8999999999999998E-3</v>
      </c>
      <c r="CI126" s="1318">
        <v>1.0500000000000001E-2</v>
      </c>
      <c r="CJ126" s="945">
        <v>5.7999999999999996E-3</v>
      </c>
      <c r="CK126" s="48"/>
    </row>
    <row r="127" spans="9:89" ht="14.25" customHeight="1" x14ac:dyDescent="0.25">
      <c r="AE127" s="676"/>
      <c r="AF127" s="676"/>
      <c r="AG127" s="676"/>
      <c r="AH127" s="676"/>
      <c r="AI127" s="676"/>
      <c r="AJ127" s="676"/>
      <c r="AK127" s="676"/>
      <c r="AL127" s="676"/>
      <c r="AM127" s="676"/>
      <c r="AN127" s="676"/>
      <c r="AO127" s="676"/>
      <c r="AP127" s="676"/>
      <c r="AQ127" s="514"/>
      <c r="AR127" s="514"/>
      <c r="BO127" s="46"/>
      <c r="BP127" s="810"/>
      <c r="BQ127" s="810">
        <v>51</v>
      </c>
      <c r="BR127" s="946">
        <v>0.48010000000000003</v>
      </c>
      <c r="BS127" s="1363">
        <v>830.70860000000005</v>
      </c>
      <c r="BT127" s="550">
        <v>1.0417000000000001</v>
      </c>
      <c r="BU127" s="550">
        <v>1.3100000000000001E-2</v>
      </c>
      <c r="BV127" s="550">
        <v>7.7999999999999996E-3</v>
      </c>
      <c r="BW127" s="1318">
        <v>4.2500000000000003E-2</v>
      </c>
      <c r="BX127" s="945">
        <v>1.2500000000000001E-2</v>
      </c>
      <c r="BY127" s="48"/>
      <c r="CA127" s="46"/>
      <c r="CB127" s="810"/>
      <c r="CC127" s="810">
        <v>51</v>
      </c>
      <c r="CD127" s="946">
        <v>0.11840000000000001</v>
      </c>
      <c r="CE127" s="1363">
        <v>546.12260000000003</v>
      </c>
      <c r="CF127" s="550">
        <v>0.25480000000000003</v>
      </c>
      <c r="CG127" s="550">
        <v>6.7000000000000002E-3</v>
      </c>
      <c r="CH127" s="550">
        <v>5.1000000000000004E-3</v>
      </c>
      <c r="CI127" s="1318">
        <v>1.01E-2</v>
      </c>
      <c r="CJ127" s="945">
        <v>6.4000000000000003E-3</v>
      </c>
      <c r="CK127" s="48"/>
    </row>
    <row r="128" spans="9:89" ht="14.25" customHeight="1" x14ac:dyDescent="0.25">
      <c r="AE128" s="676"/>
      <c r="AF128" s="676"/>
      <c r="AG128" s="676"/>
      <c r="AH128" s="676"/>
      <c r="AI128" s="676"/>
      <c r="AJ128" s="676"/>
      <c r="AK128" s="676"/>
      <c r="AL128" s="676"/>
      <c r="AM128" s="676"/>
      <c r="AN128" s="676"/>
      <c r="AO128" s="676"/>
      <c r="AP128" s="676"/>
      <c r="AQ128" s="514"/>
      <c r="AR128" s="514"/>
      <c r="BO128" s="46"/>
      <c r="BP128" s="810"/>
      <c r="BQ128" s="810">
        <v>52</v>
      </c>
      <c r="BR128" s="946">
        <v>0.46529999999999999</v>
      </c>
      <c r="BS128" s="1363">
        <v>864.60519999999997</v>
      </c>
      <c r="BT128" s="550">
        <v>1.0523</v>
      </c>
      <c r="BU128" s="550">
        <v>1.3599999999999999E-2</v>
      </c>
      <c r="BV128" s="550">
        <v>8.0999999999999996E-3</v>
      </c>
      <c r="BW128" s="1318">
        <v>4.0500000000000001E-2</v>
      </c>
      <c r="BX128" s="945">
        <v>1.2999999999999999E-2</v>
      </c>
      <c r="BY128" s="48"/>
      <c r="CA128" s="46"/>
      <c r="CB128" s="810"/>
      <c r="CC128" s="810">
        <v>52</v>
      </c>
      <c r="CD128" s="946">
        <v>0.11559999999999999</v>
      </c>
      <c r="CE128" s="1363">
        <v>571.19889999999998</v>
      </c>
      <c r="CF128" s="550">
        <v>0.27189999999999998</v>
      </c>
      <c r="CG128" s="550">
        <v>7.3000000000000001E-3</v>
      </c>
      <c r="CH128" s="550">
        <v>5.3E-3</v>
      </c>
      <c r="CI128" s="1318">
        <v>9.7999999999999997E-3</v>
      </c>
      <c r="CJ128" s="945">
        <v>7.0000000000000001E-3</v>
      </c>
      <c r="CK128" s="48"/>
    </row>
    <row r="129" spans="9:89" ht="14.25" customHeight="1" x14ac:dyDescent="0.25">
      <c r="AE129" s="676"/>
      <c r="AF129" s="676"/>
      <c r="AG129" s="676"/>
      <c r="AH129" s="676"/>
      <c r="AI129" s="676"/>
      <c r="AJ129" s="676"/>
      <c r="AK129" s="676"/>
      <c r="AL129" s="676"/>
      <c r="AM129" s="676"/>
      <c r="AN129" s="676"/>
      <c r="AO129" s="676"/>
      <c r="AP129" s="676"/>
      <c r="AQ129" s="514"/>
      <c r="AR129" s="514"/>
      <c r="BO129" s="46"/>
      <c r="BP129" s="810"/>
      <c r="BQ129" s="810">
        <v>53</v>
      </c>
      <c r="BR129" s="946">
        <v>0.45100000000000001</v>
      </c>
      <c r="BS129" s="1363">
        <v>899.88480000000004</v>
      </c>
      <c r="BT129" s="550">
        <v>1.0630999999999999</v>
      </c>
      <c r="BU129" s="550">
        <v>1.4200000000000001E-2</v>
      </c>
      <c r="BV129" s="550">
        <v>8.5000000000000006E-3</v>
      </c>
      <c r="BW129" s="1318">
        <v>3.8600000000000002E-2</v>
      </c>
      <c r="BX129" s="945">
        <v>1.3599999999999999E-2</v>
      </c>
      <c r="BY129" s="48"/>
      <c r="CA129" s="46"/>
      <c r="CB129" s="810"/>
      <c r="CC129" s="810">
        <v>53</v>
      </c>
      <c r="CD129" s="946">
        <v>0.1129</v>
      </c>
      <c r="CE129" s="1363">
        <v>597.42660000000001</v>
      </c>
      <c r="CF129" s="550">
        <v>0.29020000000000001</v>
      </c>
      <c r="CG129" s="550">
        <v>7.9000000000000008E-3</v>
      </c>
      <c r="CH129" s="550">
        <v>5.5999999999999999E-3</v>
      </c>
      <c r="CI129" s="1318">
        <v>9.4000000000000004E-3</v>
      </c>
      <c r="CJ129" s="945">
        <v>7.6E-3</v>
      </c>
      <c r="CK129" s="48"/>
    </row>
    <row r="130" spans="9:89" ht="14.25" customHeight="1" x14ac:dyDescent="0.25">
      <c r="AE130" s="676"/>
      <c r="AF130" s="676"/>
      <c r="AG130" s="676"/>
      <c r="AH130" s="676"/>
      <c r="AI130" s="676"/>
      <c r="AJ130" s="676"/>
      <c r="AK130" s="676"/>
      <c r="AL130" s="676"/>
      <c r="AM130" s="676"/>
      <c r="AN130" s="676"/>
      <c r="AO130" s="676"/>
      <c r="AP130" s="676"/>
      <c r="AQ130" s="514"/>
      <c r="AR130" s="514"/>
      <c r="BO130" s="46"/>
      <c r="BP130" s="810"/>
      <c r="BQ130" s="810">
        <v>54</v>
      </c>
      <c r="BR130" s="946">
        <v>0.43709999999999999</v>
      </c>
      <c r="BS130" s="1363">
        <v>936.60400000000004</v>
      </c>
      <c r="BT130" s="550">
        <v>1.0739000000000001</v>
      </c>
      <c r="BU130" s="550">
        <v>1.49E-2</v>
      </c>
      <c r="BV130" s="550">
        <v>8.8000000000000005E-3</v>
      </c>
      <c r="BW130" s="1318">
        <v>3.6900000000000002E-2</v>
      </c>
      <c r="BX130" s="945">
        <v>1.4200000000000001E-2</v>
      </c>
      <c r="BY130" s="48"/>
      <c r="CA130" s="46"/>
      <c r="CB130" s="810"/>
      <c r="CC130" s="810">
        <v>54</v>
      </c>
      <c r="CD130" s="946">
        <v>0.11020000000000001</v>
      </c>
      <c r="CE130" s="1363">
        <v>624.85850000000005</v>
      </c>
      <c r="CF130" s="550">
        <v>0.30969999999999998</v>
      </c>
      <c r="CG130" s="550">
        <v>8.6999999999999994E-3</v>
      </c>
      <c r="CH130" s="550">
        <v>5.7999999999999996E-3</v>
      </c>
      <c r="CI130" s="1318">
        <v>9.1000000000000004E-3</v>
      </c>
      <c r="CJ130" s="945">
        <v>8.3000000000000001E-3</v>
      </c>
      <c r="CK130" s="48"/>
    </row>
    <row r="131" spans="9:89" ht="14.25" customHeight="1" x14ac:dyDescent="0.25">
      <c r="AE131" s="676"/>
      <c r="AF131" s="676"/>
      <c r="AG131" s="676"/>
      <c r="AH131" s="676"/>
      <c r="AI131" s="676"/>
      <c r="AJ131" s="676"/>
      <c r="AK131" s="676"/>
      <c r="AL131" s="676"/>
      <c r="AM131" s="676"/>
      <c r="AN131" s="676"/>
      <c r="AO131" s="676"/>
      <c r="AP131" s="676"/>
      <c r="AQ131" s="514"/>
      <c r="AR131" s="514"/>
      <c r="BO131" s="46"/>
      <c r="BP131" s="810"/>
      <c r="BQ131" s="810">
        <v>55</v>
      </c>
      <c r="BR131" s="946">
        <v>0.42359999999999998</v>
      </c>
      <c r="BS131" s="1363">
        <v>974.82159999999999</v>
      </c>
      <c r="BT131" s="550">
        <v>1.0849</v>
      </c>
      <c r="BU131" s="550">
        <v>1.55E-2</v>
      </c>
      <c r="BV131" s="550">
        <v>9.1000000000000004E-3</v>
      </c>
      <c r="BW131" s="1318">
        <v>3.5200000000000002E-2</v>
      </c>
      <c r="BX131" s="945">
        <v>1.4800000000000001E-2</v>
      </c>
      <c r="BY131" s="48"/>
      <c r="CA131" s="46"/>
      <c r="CB131" s="810"/>
      <c r="CC131" s="810">
        <v>55</v>
      </c>
      <c r="CD131" s="946">
        <v>0.1076</v>
      </c>
      <c r="CE131" s="1363">
        <v>653.55010000000004</v>
      </c>
      <c r="CF131" s="550">
        <v>0.3306</v>
      </c>
      <c r="CG131" s="550">
        <v>9.4999999999999998E-3</v>
      </c>
      <c r="CH131" s="550">
        <v>6.1000000000000004E-3</v>
      </c>
      <c r="CI131" s="1318">
        <v>8.8000000000000005E-3</v>
      </c>
      <c r="CJ131" s="945">
        <v>9.1000000000000004E-3</v>
      </c>
      <c r="CK131" s="48"/>
    </row>
    <row r="132" spans="9:89" ht="14.25" customHeight="1" x14ac:dyDescent="0.25">
      <c r="AE132" s="676"/>
      <c r="AF132" s="676"/>
      <c r="AG132" s="676"/>
      <c r="AH132" s="676"/>
      <c r="AI132" s="676"/>
      <c r="AJ132" s="676"/>
      <c r="AK132" s="676"/>
      <c r="AL132" s="676"/>
      <c r="AM132" s="676"/>
      <c r="AN132" s="676"/>
      <c r="AO132" s="676"/>
      <c r="AP132" s="676"/>
      <c r="AQ132" s="514"/>
      <c r="AR132" s="514"/>
      <c r="BO132" s="46"/>
      <c r="BP132" s="810"/>
      <c r="BQ132" s="810">
        <v>56</v>
      </c>
      <c r="BR132" s="946">
        <v>0.41</v>
      </c>
      <c r="BS132" s="1363">
        <v>1022.8646</v>
      </c>
      <c r="BT132" s="550">
        <v>1.0831999999999999</v>
      </c>
      <c r="BU132" s="550">
        <v>1.6400000000000001E-2</v>
      </c>
      <c r="BV132" s="550">
        <v>9.5999999999999992E-3</v>
      </c>
      <c r="BW132" s="1318">
        <v>3.15E-2</v>
      </c>
      <c r="BX132" s="945">
        <v>1.5699999999999999E-2</v>
      </c>
      <c r="BY132" s="48"/>
      <c r="CA132" s="46"/>
      <c r="CB132" s="810"/>
      <c r="CC132" s="810">
        <v>56</v>
      </c>
      <c r="CD132" s="946">
        <v>0.1045</v>
      </c>
      <c r="CE132" s="1363">
        <v>686.27470000000005</v>
      </c>
      <c r="CF132" s="550">
        <v>0.36480000000000001</v>
      </c>
      <c r="CG132" s="550">
        <v>1.0500000000000001E-2</v>
      </c>
      <c r="CH132" s="550">
        <v>6.4000000000000003E-3</v>
      </c>
      <c r="CI132" s="1318">
        <v>8.5000000000000006E-3</v>
      </c>
      <c r="CJ132" s="945">
        <v>0.01</v>
      </c>
      <c r="CK132" s="48"/>
    </row>
    <row r="133" spans="9:89" ht="14.25" customHeight="1" x14ac:dyDescent="0.35">
      <c r="AF133" s="1271"/>
      <c r="AG133" s="1271"/>
      <c r="AH133" s="1272"/>
      <c r="AI133" s="1272"/>
      <c r="AJ133" s="1271"/>
      <c r="AK133" s="1271"/>
      <c r="AL133" s="1271"/>
      <c r="AM133" s="1271"/>
      <c r="AN133" s="1271"/>
      <c r="AO133" s="1271"/>
      <c r="AQ133" s="514"/>
      <c r="AR133" s="514"/>
      <c r="BO133" s="46"/>
      <c r="BP133" s="810"/>
      <c r="BQ133" s="810">
        <v>57</v>
      </c>
      <c r="BR133" s="946">
        <v>0.39689999999999998</v>
      </c>
      <c r="BS133" s="1363">
        <v>1073.2754</v>
      </c>
      <c r="BT133" s="550">
        <v>1.0814999999999999</v>
      </c>
      <c r="BU133" s="550">
        <v>1.7299999999999999E-2</v>
      </c>
      <c r="BV133" s="550">
        <v>1.01E-2</v>
      </c>
      <c r="BW133" s="1318">
        <v>2.8199999999999999E-2</v>
      </c>
      <c r="BX133" s="945">
        <v>1.6500000000000001E-2</v>
      </c>
      <c r="BY133" s="48"/>
      <c r="CA133" s="46"/>
      <c r="CB133" s="810"/>
      <c r="CC133" s="810">
        <v>57</v>
      </c>
      <c r="CD133" s="946">
        <v>0.10150000000000001</v>
      </c>
      <c r="CE133" s="1363">
        <v>720.63789999999995</v>
      </c>
      <c r="CF133" s="550">
        <v>0.40250000000000002</v>
      </c>
      <c r="CG133" s="550">
        <v>1.1599999999999999E-2</v>
      </c>
      <c r="CH133" s="550">
        <v>6.7000000000000002E-3</v>
      </c>
      <c r="CI133" s="1318">
        <v>8.3000000000000001E-3</v>
      </c>
      <c r="CJ133" s="945">
        <v>1.11E-2</v>
      </c>
      <c r="CK133" s="48"/>
    </row>
    <row r="134" spans="9:89" ht="14.25" customHeight="1" x14ac:dyDescent="0.35">
      <c r="AE134" s="1271"/>
      <c r="AF134" s="1271"/>
      <c r="AG134" s="1271"/>
      <c r="AH134" s="1271"/>
      <c r="AI134" s="1271"/>
      <c r="AJ134" s="1271"/>
      <c r="AK134" s="1271"/>
      <c r="AL134" s="1271"/>
      <c r="AM134" s="1271"/>
      <c r="AN134" s="1271"/>
      <c r="AO134" s="1271"/>
      <c r="AQ134" s="514"/>
      <c r="AR134" s="514"/>
      <c r="BO134" s="46"/>
      <c r="BP134" s="810"/>
      <c r="BQ134" s="810">
        <v>58</v>
      </c>
      <c r="BR134" s="946">
        <v>0.3841</v>
      </c>
      <c r="BS134" s="1363">
        <v>1126.1706999999999</v>
      </c>
      <c r="BT134" s="550">
        <v>1.0797000000000001</v>
      </c>
      <c r="BU134" s="550">
        <v>1.83E-2</v>
      </c>
      <c r="BV134" s="550">
        <v>1.0500000000000001E-2</v>
      </c>
      <c r="BW134" s="1318">
        <v>2.52E-2</v>
      </c>
      <c r="BX134" s="945">
        <v>1.7500000000000002E-2</v>
      </c>
      <c r="BY134" s="48"/>
      <c r="CA134" s="46"/>
      <c r="CB134" s="810"/>
      <c r="CC134" s="810">
        <v>58</v>
      </c>
      <c r="CD134" s="946">
        <v>9.8599999999999993E-2</v>
      </c>
      <c r="CE134" s="1363">
        <v>756.72170000000006</v>
      </c>
      <c r="CF134" s="550">
        <v>0.44419999999999998</v>
      </c>
      <c r="CG134" s="550">
        <v>1.29E-2</v>
      </c>
      <c r="CH134" s="550">
        <v>7.1000000000000004E-3</v>
      </c>
      <c r="CI134" s="1318">
        <v>8.0000000000000002E-3</v>
      </c>
      <c r="CJ134" s="945">
        <v>1.23E-2</v>
      </c>
      <c r="CK134" s="48"/>
    </row>
    <row r="135" spans="9:89" ht="14.25" customHeight="1" x14ac:dyDescent="0.35">
      <c r="AE135" s="1271"/>
      <c r="AF135" s="1271"/>
      <c r="AG135" s="1271"/>
      <c r="AH135" s="1271"/>
      <c r="AI135" s="1271"/>
      <c r="AJ135" s="1271"/>
      <c r="AK135" s="1271"/>
      <c r="AL135" s="1271"/>
      <c r="AM135" s="1271"/>
      <c r="AN135" s="1271"/>
      <c r="AO135" s="1271"/>
      <c r="AQ135" s="514"/>
      <c r="AR135" s="514"/>
      <c r="BO135" s="46"/>
      <c r="BP135" s="810"/>
      <c r="BQ135" s="810">
        <v>59</v>
      </c>
      <c r="BR135" s="946">
        <v>0.37180000000000002</v>
      </c>
      <c r="BS135" s="1363">
        <v>1181.6728000000001</v>
      </c>
      <c r="BT135" s="550">
        <v>1.0780000000000001</v>
      </c>
      <c r="BU135" s="550">
        <v>1.9300000000000001E-2</v>
      </c>
      <c r="BV135" s="550">
        <v>1.11E-2</v>
      </c>
      <c r="BW135" s="1318">
        <v>2.2599999999999999E-2</v>
      </c>
      <c r="BX135" s="945">
        <v>1.84E-2</v>
      </c>
      <c r="BY135" s="48"/>
      <c r="CA135" s="46"/>
      <c r="CB135" s="810"/>
      <c r="CC135" s="810">
        <v>59</v>
      </c>
      <c r="CD135" s="946">
        <v>9.5699999999999993E-2</v>
      </c>
      <c r="CE135" s="1363">
        <v>794.6123</v>
      </c>
      <c r="CF135" s="550">
        <v>0.49020000000000002</v>
      </c>
      <c r="CG135" s="550">
        <v>1.43E-2</v>
      </c>
      <c r="CH135" s="550">
        <v>7.4000000000000003E-3</v>
      </c>
      <c r="CI135" s="1318">
        <v>7.7999999999999996E-3</v>
      </c>
      <c r="CJ135" s="945">
        <v>1.37E-2</v>
      </c>
      <c r="CK135" s="48"/>
    </row>
    <row r="136" spans="9:89" ht="14.25" customHeight="1" x14ac:dyDescent="0.35">
      <c r="I136" s="676"/>
      <c r="AE136" s="1271"/>
      <c r="AF136" s="1271"/>
      <c r="AG136" s="1271"/>
      <c r="AH136" s="1271"/>
      <c r="AI136" s="1271"/>
      <c r="AJ136" s="1271"/>
      <c r="AK136" s="1271"/>
      <c r="AL136" s="1271"/>
      <c r="AM136" s="1271"/>
      <c r="AN136" s="1271"/>
      <c r="AO136" s="1271"/>
      <c r="AQ136" s="514"/>
      <c r="AR136" s="514"/>
      <c r="BO136" s="46"/>
      <c r="BP136" s="810"/>
      <c r="BQ136" s="810">
        <v>60</v>
      </c>
      <c r="BR136" s="946">
        <v>0.3599</v>
      </c>
      <c r="BS136" s="1363">
        <v>1239.9103</v>
      </c>
      <c r="BT136" s="550">
        <v>1.0763</v>
      </c>
      <c r="BU136" s="550">
        <v>2.0299999999999999E-2</v>
      </c>
      <c r="BV136" s="550">
        <v>1.1599999999999999E-2</v>
      </c>
      <c r="BW136" s="1318">
        <v>2.0199999999999999E-2</v>
      </c>
      <c r="BX136" s="945">
        <v>1.95E-2</v>
      </c>
      <c r="BY136" s="48"/>
      <c r="CA136" s="46"/>
      <c r="CB136" s="810"/>
      <c r="CC136" s="810">
        <v>60</v>
      </c>
      <c r="CD136" s="946">
        <v>9.2999999999999999E-2</v>
      </c>
      <c r="CE136" s="1363">
        <v>834.40020000000004</v>
      </c>
      <c r="CF136" s="550">
        <v>0.54090000000000005</v>
      </c>
      <c r="CG136" s="550">
        <v>1.5800000000000002E-2</v>
      </c>
      <c r="CH136" s="550">
        <v>7.7999999999999996E-3</v>
      </c>
      <c r="CI136" s="1318">
        <v>7.6E-3</v>
      </c>
      <c r="CJ136" s="945">
        <v>1.5100000000000001E-2</v>
      </c>
      <c r="CK136" s="48"/>
    </row>
    <row r="137" spans="9:89" ht="14.25" customHeight="1" x14ac:dyDescent="0.35">
      <c r="I137" s="676"/>
      <c r="AE137" s="1271"/>
      <c r="AF137" s="1273"/>
      <c r="AG137" s="1271"/>
      <c r="AH137" s="1271"/>
      <c r="AI137" s="1271"/>
      <c r="AJ137" s="1271"/>
      <c r="AK137" s="1271"/>
      <c r="AL137" s="1271"/>
      <c r="AM137" s="1271"/>
      <c r="AN137" s="1271"/>
      <c r="AO137" s="1271"/>
      <c r="AQ137" s="514"/>
      <c r="AR137" s="514"/>
      <c r="BO137" s="46"/>
      <c r="BP137" s="810"/>
      <c r="BQ137" s="810">
        <v>61</v>
      </c>
      <c r="BR137" s="946">
        <v>0.35010000000000002</v>
      </c>
      <c r="BS137" s="1363">
        <v>1264.0963999999999</v>
      </c>
      <c r="BT137" s="550">
        <v>1.1266</v>
      </c>
      <c r="BU137" s="550">
        <v>2.1600000000000001E-2</v>
      </c>
      <c r="BV137" s="550">
        <v>1.18E-2</v>
      </c>
      <c r="BW137" s="1318">
        <v>2.0199999999999999E-2</v>
      </c>
      <c r="BX137" s="945">
        <v>2.06E-2</v>
      </c>
      <c r="BY137" s="48"/>
      <c r="CA137" s="46"/>
      <c r="CB137" s="810"/>
      <c r="CC137" s="810">
        <v>61</v>
      </c>
      <c r="CD137" s="946">
        <v>9.1800000000000007E-2</v>
      </c>
      <c r="CE137" s="1363">
        <v>852.48789999999997</v>
      </c>
      <c r="CF137" s="550">
        <v>0.58609999999999995</v>
      </c>
      <c r="CG137" s="550">
        <v>1.6899999999999998E-2</v>
      </c>
      <c r="CH137" s="550">
        <v>8.0000000000000002E-3</v>
      </c>
      <c r="CI137" s="1318">
        <v>7.7999999999999996E-3</v>
      </c>
      <c r="CJ137" s="945">
        <v>1.6199999999999999E-2</v>
      </c>
      <c r="CK137" s="48"/>
    </row>
    <row r="138" spans="9:89" ht="14.25" customHeight="1" x14ac:dyDescent="0.35">
      <c r="I138" s="676"/>
      <c r="AE138" s="1274"/>
      <c r="AF138" s="1271"/>
      <c r="AG138" s="1271"/>
      <c r="AH138" s="1271"/>
      <c r="AI138" s="1271"/>
      <c r="AJ138" s="1271"/>
      <c r="AK138" s="1271"/>
      <c r="AL138" s="1271"/>
      <c r="AM138" s="1271"/>
      <c r="AN138" s="1271"/>
      <c r="AO138" s="1271"/>
      <c r="AQ138" s="514"/>
      <c r="AR138" s="514"/>
      <c r="BO138" s="46"/>
      <c r="BP138" s="810"/>
      <c r="BQ138" s="810">
        <v>62</v>
      </c>
      <c r="BR138" s="946">
        <v>0.34060000000000001</v>
      </c>
      <c r="BS138" s="1363">
        <v>1288.7544</v>
      </c>
      <c r="BT138" s="550">
        <v>1.1792</v>
      </c>
      <c r="BU138" s="550">
        <v>2.29E-2</v>
      </c>
      <c r="BV138" s="550">
        <v>1.21E-2</v>
      </c>
      <c r="BW138" s="1318">
        <v>2.01E-2</v>
      </c>
      <c r="BX138" s="945">
        <v>2.1899999999999999E-2</v>
      </c>
      <c r="BY138" s="48"/>
      <c r="CA138" s="46"/>
      <c r="CB138" s="810"/>
      <c r="CC138" s="810">
        <v>62</v>
      </c>
      <c r="CD138" s="946">
        <v>9.0700000000000003E-2</v>
      </c>
      <c r="CE138" s="1363">
        <v>870.96770000000004</v>
      </c>
      <c r="CF138" s="550">
        <v>0.6351</v>
      </c>
      <c r="CG138" s="550">
        <v>1.8100000000000002E-2</v>
      </c>
      <c r="CH138" s="550">
        <v>8.2000000000000007E-3</v>
      </c>
      <c r="CI138" s="1318">
        <v>8.0999999999999996E-3</v>
      </c>
      <c r="CJ138" s="945">
        <v>1.7299999999999999E-2</v>
      </c>
      <c r="CK138" s="48"/>
    </row>
    <row r="139" spans="9:89" ht="14.25" customHeight="1" x14ac:dyDescent="0.35">
      <c r="I139" s="676"/>
      <c r="AE139" s="1271"/>
      <c r="AF139" s="1271"/>
      <c r="AG139" s="1271"/>
      <c r="AH139" s="1271"/>
      <c r="AI139" s="1271"/>
      <c r="AJ139" s="1271"/>
      <c r="AK139" s="1271"/>
      <c r="AL139" s="1271"/>
      <c r="AM139" s="1271"/>
      <c r="AN139" s="1271"/>
      <c r="AO139" s="1271"/>
      <c r="AQ139" s="514"/>
      <c r="AR139" s="514"/>
      <c r="BO139" s="46"/>
      <c r="BP139" s="810"/>
      <c r="BQ139" s="810">
        <v>63</v>
      </c>
      <c r="BR139" s="946">
        <v>0.33129999999999998</v>
      </c>
      <c r="BS139" s="1363">
        <v>1313.8933</v>
      </c>
      <c r="BT139" s="550">
        <v>1.2343</v>
      </c>
      <c r="BU139" s="550">
        <v>2.4299999999999999E-2</v>
      </c>
      <c r="BV139" s="550">
        <v>1.23E-2</v>
      </c>
      <c r="BW139" s="1318">
        <v>2.01E-2</v>
      </c>
      <c r="BX139" s="945">
        <v>2.3199999999999998E-2</v>
      </c>
      <c r="BY139" s="48"/>
      <c r="CA139" s="46"/>
      <c r="CB139" s="810"/>
      <c r="CC139" s="810">
        <v>63</v>
      </c>
      <c r="CD139" s="946">
        <v>8.9599999999999999E-2</v>
      </c>
      <c r="CE139" s="1363">
        <v>889.84810000000004</v>
      </c>
      <c r="CF139" s="550">
        <v>0.68820000000000003</v>
      </c>
      <c r="CG139" s="550">
        <v>1.9300000000000001E-2</v>
      </c>
      <c r="CH139" s="550">
        <v>8.3000000000000001E-3</v>
      </c>
      <c r="CI139" s="1318">
        <v>8.3999999999999995E-3</v>
      </c>
      <c r="CJ139" s="945">
        <v>1.8499999999999999E-2</v>
      </c>
      <c r="CK139" s="48"/>
    </row>
    <row r="140" spans="9:89" ht="14.25" customHeight="1" x14ac:dyDescent="0.35">
      <c r="I140" s="676"/>
      <c r="Y140" s="1272"/>
      <c r="Z140" s="1272"/>
      <c r="AA140" s="1272"/>
      <c r="AB140" s="1272"/>
      <c r="AC140" s="1272"/>
      <c r="AD140" s="1271"/>
      <c r="AE140" s="1271"/>
      <c r="AF140" s="1271"/>
      <c r="AG140" s="1271"/>
      <c r="AH140" s="1271"/>
      <c r="AI140" s="1271"/>
      <c r="AJ140" s="1271"/>
      <c r="AK140" s="1271"/>
      <c r="AL140" s="1271"/>
      <c r="AM140" s="1271"/>
      <c r="AN140" s="1271"/>
      <c r="AO140" s="1271"/>
      <c r="AQ140" s="514"/>
      <c r="AR140" s="514"/>
      <c r="BO140" s="46"/>
      <c r="BP140" s="810"/>
      <c r="BQ140" s="810">
        <v>64</v>
      </c>
      <c r="BR140" s="946">
        <v>0.32229999999999998</v>
      </c>
      <c r="BS140" s="1363">
        <v>1339.5226</v>
      </c>
      <c r="BT140" s="550">
        <v>1.292</v>
      </c>
      <c r="BU140" s="550">
        <v>2.58E-2</v>
      </c>
      <c r="BV140" s="550">
        <v>1.26E-2</v>
      </c>
      <c r="BW140" s="1318">
        <v>2.01E-2</v>
      </c>
      <c r="BX140" s="945">
        <v>2.47E-2</v>
      </c>
      <c r="BY140" s="48"/>
      <c r="CA140" s="46"/>
      <c r="CB140" s="810"/>
      <c r="CC140" s="810">
        <v>64</v>
      </c>
      <c r="CD140" s="946">
        <v>8.8499999999999995E-2</v>
      </c>
      <c r="CE140" s="1363">
        <v>909.1377</v>
      </c>
      <c r="CF140" s="550">
        <v>0.74570000000000003</v>
      </c>
      <c r="CG140" s="550">
        <v>2.06E-2</v>
      </c>
      <c r="CH140" s="550">
        <v>8.5000000000000006E-3</v>
      </c>
      <c r="CI140" s="1318">
        <v>8.6E-3</v>
      </c>
      <c r="CJ140" s="945">
        <v>1.9699999999999999E-2</v>
      </c>
      <c r="CK140" s="48"/>
    </row>
    <row r="141" spans="9:89" ht="14.25" customHeight="1" x14ac:dyDescent="0.35">
      <c r="I141" s="1275"/>
      <c r="AD141" s="1271"/>
      <c r="AE141" s="1271"/>
      <c r="AF141" s="1271"/>
      <c r="AG141" s="1271"/>
      <c r="AH141" s="1271"/>
      <c r="AI141" s="1271"/>
      <c r="AJ141" s="1271"/>
      <c r="AK141" s="1271"/>
      <c r="AL141" s="1271"/>
      <c r="AM141" s="1271"/>
      <c r="AN141" s="1271"/>
      <c r="AO141" s="1271"/>
      <c r="AQ141" s="514"/>
      <c r="AR141" s="514"/>
      <c r="BO141" s="46"/>
      <c r="BP141" s="810"/>
      <c r="BQ141" s="810">
        <v>65</v>
      </c>
      <c r="BR141" s="946">
        <v>0.3135</v>
      </c>
      <c r="BS141" s="1363">
        <v>1365.6518000000001</v>
      </c>
      <c r="BT141" s="550">
        <v>1.3524</v>
      </c>
      <c r="BU141" s="550">
        <v>2.7400000000000001E-2</v>
      </c>
      <c r="BV141" s="550">
        <v>1.2800000000000001E-2</v>
      </c>
      <c r="BW141" s="1318">
        <v>0.02</v>
      </c>
      <c r="BX141" s="945">
        <v>2.6200000000000001E-2</v>
      </c>
      <c r="BY141" s="48"/>
      <c r="CA141" s="46"/>
      <c r="CB141" s="810"/>
      <c r="CC141" s="810">
        <v>65</v>
      </c>
      <c r="CD141" s="946">
        <v>8.7400000000000005E-2</v>
      </c>
      <c r="CE141" s="1363">
        <v>928.84559999999999</v>
      </c>
      <c r="CF141" s="550">
        <v>0.80810000000000004</v>
      </c>
      <c r="CG141" s="550">
        <v>2.1999999999999999E-2</v>
      </c>
      <c r="CH141" s="550">
        <v>8.6999999999999994E-3</v>
      </c>
      <c r="CI141" s="1318">
        <v>8.8999999999999999E-3</v>
      </c>
      <c r="CJ141" s="945">
        <v>2.1100000000000001E-2</v>
      </c>
      <c r="CK141" s="48"/>
    </row>
    <row r="142" spans="9:89" ht="14.25" customHeight="1" x14ac:dyDescent="0.35">
      <c r="I142" s="676"/>
      <c r="AD142" s="1271"/>
      <c r="AE142" s="1276"/>
      <c r="AF142" s="1276"/>
      <c r="AQ142" s="514"/>
      <c r="AR142" s="514"/>
      <c r="BO142" s="46"/>
      <c r="BP142" s="810"/>
      <c r="BQ142" s="810">
        <v>66</v>
      </c>
      <c r="BR142" s="946">
        <v>0.31309999999999999</v>
      </c>
      <c r="BS142" s="1363">
        <v>1350.2911999999999</v>
      </c>
      <c r="BT142" s="550">
        <v>1.3589</v>
      </c>
      <c r="BU142" s="550">
        <v>2.76E-2</v>
      </c>
      <c r="BV142" s="550">
        <v>1.2699999999999999E-2</v>
      </c>
      <c r="BW142" s="1318">
        <v>2.0899999999999998E-2</v>
      </c>
      <c r="BX142" s="945">
        <v>2.64E-2</v>
      </c>
      <c r="BY142" s="48"/>
      <c r="CA142" s="46"/>
      <c r="CB142" s="810"/>
      <c r="CC142" s="810">
        <v>66</v>
      </c>
      <c r="CD142" s="946">
        <v>8.6599999999999996E-2</v>
      </c>
      <c r="CE142" s="1363">
        <v>929.4837</v>
      </c>
      <c r="CF142" s="550">
        <v>0.8155</v>
      </c>
      <c r="CG142" s="550">
        <v>2.23E-2</v>
      </c>
      <c r="CH142" s="550">
        <v>8.6999999999999994E-3</v>
      </c>
      <c r="CI142" s="1318">
        <v>9.1000000000000004E-3</v>
      </c>
      <c r="CJ142" s="945">
        <v>2.1299999999999999E-2</v>
      </c>
      <c r="CK142" s="48"/>
    </row>
    <row r="143" spans="9:89" ht="14.25" customHeight="1" x14ac:dyDescent="0.35">
      <c r="I143" s="676"/>
      <c r="Y143" s="1276"/>
      <c r="Z143" s="1276"/>
      <c r="AA143" s="1276"/>
      <c r="AB143" s="1276"/>
      <c r="AC143" s="1276"/>
      <c r="AD143" s="1276"/>
      <c r="AE143" s="1277"/>
      <c r="AF143" s="1277"/>
      <c r="AQ143" s="514"/>
      <c r="AR143" s="514"/>
      <c r="BO143" s="46"/>
      <c r="BP143" s="810"/>
      <c r="BQ143" s="810">
        <v>67</v>
      </c>
      <c r="BR143" s="946">
        <v>0.31269999999999998</v>
      </c>
      <c r="BS143" s="1363">
        <v>1335.1033</v>
      </c>
      <c r="BT143" s="550">
        <v>1.3654999999999999</v>
      </c>
      <c r="BU143" s="550">
        <v>2.7799999999999998E-2</v>
      </c>
      <c r="BV143" s="550">
        <v>1.2500000000000001E-2</v>
      </c>
      <c r="BW143" s="1318">
        <v>2.18E-2</v>
      </c>
      <c r="BX143" s="945">
        <v>2.6599999999999999E-2</v>
      </c>
      <c r="BY143" s="48"/>
      <c r="CA143" s="46"/>
      <c r="CB143" s="810"/>
      <c r="CC143" s="810">
        <v>67</v>
      </c>
      <c r="CD143" s="946">
        <v>8.5800000000000001E-2</v>
      </c>
      <c r="CE143" s="1363">
        <v>930.12239999999997</v>
      </c>
      <c r="CF143" s="550">
        <v>0.82299999999999995</v>
      </c>
      <c r="CG143" s="550">
        <v>2.2499999999999999E-2</v>
      </c>
      <c r="CH143" s="550">
        <v>8.6999999999999994E-3</v>
      </c>
      <c r="CI143" s="1318">
        <v>9.1999999999999998E-3</v>
      </c>
      <c r="CJ143" s="945">
        <v>2.1600000000000001E-2</v>
      </c>
      <c r="CK143" s="48"/>
    </row>
    <row r="144" spans="9:89" ht="14.25" customHeight="1" x14ac:dyDescent="0.25">
      <c r="I144" s="676"/>
      <c r="Y144" s="1277"/>
      <c r="Z144" s="1277"/>
      <c r="AA144" s="1277"/>
      <c r="AB144" s="1277"/>
      <c r="AC144" s="1277"/>
      <c r="AD144" s="1277"/>
      <c r="AE144" s="1277"/>
      <c r="AF144" s="1277"/>
      <c r="AQ144" s="514"/>
      <c r="AR144" s="514"/>
      <c r="BO144" s="46"/>
      <c r="BP144" s="810"/>
      <c r="BQ144" s="810">
        <v>68</v>
      </c>
      <c r="BR144" s="946">
        <v>0.31240000000000001</v>
      </c>
      <c r="BS144" s="1363">
        <v>1320.0862</v>
      </c>
      <c r="BT144" s="550">
        <v>1.3722000000000001</v>
      </c>
      <c r="BU144" s="550">
        <v>2.81E-2</v>
      </c>
      <c r="BV144" s="550">
        <v>1.24E-2</v>
      </c>
      <c r="BW144" s="1318">
        <v>2.2800000000000001E-2</v>
      </c>
      <c r="BX144" s="945">
        <v>2.69E-2</v>
      </c>
      <c r="BY144" s="48"/>
      <c r="CA144" s="46"/>
      <c r="CB144" s="810"/>
      <c r="CC144" s="810">
        <v>68</v>
      </c>
      <c r="CD144" s="946">
        <v>8.5000000000000006E-2</v>
      </c>
      <c r="CE144" s="1363">
        <v>930.76139999999998</v>
      </c>
      <c r="CF144" s="550">
        <v>0.8306</v>
      </c>
      <c r="CG144" s="550">
        <v>2.2800000000000001E-2</v>
      </c>
      <c r="CH144" s="550">
        <v>8.6999999999999994E-3</v>
      </c>
      <c r="CI144" s="1318">
        <v>9.4000000000000004E-3</v>
      </c>
      <c r="CJ144" s="945">
        <v>2.18E-2</v>
      </c>
      <c r="CK144" s="48"/>
    </row>
    <row r="145" spans="8:89" ht="14.25" customHeight="1" x14ac:dyDescent="0.25">
      <c r="I145" s="676"/>
      <c r="AD145" s="1277"/>
      <c r="AE145" s="1277"/>
      <c r="AF145" s="1277"/>
      <c r="AQ145" s="514"/>
      <c r="AR145" s="514"/>
      <c r="BO145" s="46"/>
      <c r="BP145" s="810"/>
      <c r="BQ145" s="810">
        <v>69</v>
      </c>
      <c r="BR145" s="946">
        <v>0.312</v>
      </c>
      <c r="BS145" s="1363">
        <v>1305.2381</v>
      </c>
      <c r="BT145" s="550">
        <v>1.3788</v>
      </c>
      <c r="BU145" s="550">
        <v>2.8299999999999999E-2</v>
      </c>
      <c r="BV145" s="550">
        <v>1.23E-2</v>
      </c>
      <c r="BW145" s="1318">
        <v>2.3800000000000002E-2</v>
      </c>
      <c r="BX145" s="945">
        <v>2.7099999999999999E-2</v>
      </c>
      <c r="BY145" s="48"/>
      <c r="CA145" s="46"/>
      <c r="CB145" s="810"/>
      <c r="CC145" s="810">
        <v>69</v>
      </c>
      <c r="CD145" s="946">
        <v>8.4199999999999997E-2</v>
      </c>
      <c r="CE145" s="1363">
        <v>931.40089999999998</v>
      </c>
      <c r="CF145" s="550">
        <v>0.83830000000000005</v>
      </c>
      <c r="CG145" s="550">
        <v>2.3E-2</v>
      </c>
      <c r="CH145" s="550">
        <v>8.8000000000000005E-3</v>
      </c>
      <c r="CI145" s="1318">
        <v>9.4999999999999998E-3</v>
      </c>
      <c r="CJ145" s="945">
        <v>2.1999999999999999E-2</v>
      </c>
      <c r="CK145" s="48"/>
    </row>
    <row r="146" spans="8:89" ht="14.25" customHeight="1" x14ac:dyDescent="0.25">
      <c r="I146" s="676"/>
      <c r="AD146" s="1277"/>
      <c r="AE146" s="1277"/>
      <c r="AF146" s="1277"/>
      <c r="AQ146" s="514"/>
      <c r="AR146" s="514"/>
      <c r="BO146" s="46"/>
      <c r="BP146" s="810"/>
      <c r="BQ146" s="810">
        <v>70</v>
      </c>
      <c r="BR146" s="946">
        <v>0.31159999999999999</v>
      </c>
      <c r="BS146" s="1363">
        <v>1290.5569</v>
      </c>
      <c r="BT146" s="550">
        <v>1.3855</v>
      </c>
      <c r="BU146" s="550">
        <v>2.86E-2</v>
      </c>
      <c r="BV146" s="550">
        <v>1.2200000000000001E-2</v>
      </c>
      <c r="BW146" s="1318">
        <v>2.4799999999999999E-2</v>
      </c>
      <c r="BX146" s="945">
        <v>2.7300000000000001E-2</v>
      </c>
      <c r="BY146" s="48"/>
      <c r="CA146" s="46"/>
      <c r="CB146" s="810"/>
      <c r="CC146" s="810">
        <v>70</v>
      </c>
      <c r="CD146" s="946">
        <v>8.3400000000000002E-2</v>
      </c>
      <c r="CE146" s="1363">
        <v>932.04079999999999</v>
      </c>
      <c r="CF146" s="550">
        <v>0.84599999999999997</v>
      </c>
      <c r="CG146" s="550">
        <v>2.3300000000000001E-2</v>
      </c>
      <c r="CH146" s="550">
        <v>8.8000000000000005E-3</v>
      </c>
      <c r="CI146" s="1318">
        <v>9.7000000000000003E-3</v>
      </c>
      <c r="CJ146" s="945">
        <v>2.23E-2</v>
      </c>
      <c r="CK146" s="48"/>
    </row>
    <row r="147" spans="8:89" ht="14.25" customHeight="1" x14ac:dyDescent="0.25">
      <c r="I147" s="1275"/>
      <c r="Y147" s="1277"/>
      <c r="Z147" s="1277"/>
      <c r="AA147" s="1277"/>
      <c r="AB147" s="1277"/>
      <c r="AC147" s="1277"/>
      <c r="AD147" s="1277"/>
      <c r="AE147" s="1277"/>
      <c r="AF147" s="1277"/>
      <c r="AQ147" s="514"/>
      <c r="AR147" s="514"/>
      <c r="BO147" s="46"/>
      <c r="BP147" s="810"/>
      <c r="BQ147" s="811"/>
      <c r="BR147" s="946"/>
      <c r="BS147" s="1363"/>
      <c r="BT147" s="550"/>
      <c r="BU147" s="550"/>
      <c r="BV147" s="550"/>
      <c r="BW147" s="1318"/>
      <c r="BX147" s="945"/>
      <c r="BY147" s="48"/>
      <c r="CA147" s="46"/>
      <c r="CB147" s="810"/>
      <c r="CC147" s="811"/>
      <c r="CD147" s="946"/>
      <c r="CE147" s="1363"/>
      <c r="CF147" s="550"/>
      <c r="CG147" s="550"/>
      <c r="CH147" s="550"/>
      <c r="CI147" s="1318"/>
      <c r="CJ147" s="945"/>
      <c r="CK147" s="48"/>
    </row>
    <row r="148" spans="8:89" ht="14.25" customHeight="1" x14ac:dyDescent="0.25">
      <c r="I148" s="676"/>
      <c r="Y148" s="1277"/>
      <c r="Z148" s="1277"/>
      <c r="AA148" s="1277"/>
      <c r="AB148" s="1277"/>
      <c r="AC148" s="1277"/>
      <c r="AD148" s="1277"/>
      <c r="AE148" s="1277"/>
      <c r="AF148" s="1277"/>
      <c r="AQ148" s="514"/>
      <c r="AR148" s="514"/>
      <c r="BO148" s="46"/>
      <c r="BP148" s="810" t="s">
        <v>155</v>
      </c>
      <c r="BQ148" s="810">
        <v>0</v>
      </c>
      <c r="BR148" s="946">
        <v>1.7524</v>
      </c>
      <c r="BS148" s="1363">
        <v>13.2318</v>
      </c>
      <c r="BT148" s="550">
        <v>0.53969999999999996</v>
      </c>
      <c r="BU148" s="550">
        <v>1E-4</v>
      </c>
      <c r="BV148" s="550">
        <v>1E-4</v>
      </c>
      <c r="BW148" s="1318">
        <v>8.1500000000000003E-2</v>
      </c>
      <c r="BX148" s="945">
        <v>1E-4</v>
      </c>
      <c r="BY148" s="48"/>
      <c r="CA148" s="46"/>
      <c r="CB148" s="810" t="s">
        <v>155</v>
      </c>
      <c r="CC148" s="810">
        <v>0</v>
      </c>
      <c r="CD148" s="946">
        <v>0.75390000000000001</v>
      </c>
      <c r="CE148" s="1363">
        <v>6.0008999999999997</v>
      </c>
      <c r="CF148" s="550">
        <v>0.39250000000000002</v>
      </c>
      <c r="CG148" s="550">
        <v>1E-4</v>
      </c>
      <c r="CH148" s="550">
        <v>1E-4</v>
      </c>
      <c r="CI148" s="1318">
        <v>3.6299999999999999E-2</v>
      </c>
      <c r="CJ148" s="945">
        <v>1E-4</v>
      </c>
      <c r="CK148" s="48"/>
    </row>
    <row r="149" spans="8:89" ht="14.25" customHeight="1" x14ac:dyDescent="0.25">
      <c r="I149" s="676"/>
      <c r="Y149" s="1277"/>
      <c r="Z149" s="1277"/>
      <c r="AA149" s="1277"/>
      <c r="AB149" s="1277"/>
      <c r="AC149" s="1277"/>
      <c r="AD149" s="1277"/>
      <c r="AE149" s="1277"/>
      <c r="AF149" s="1277"/>
      <c r="AQ149" s="514"/>
      <c r="AR149" s="514"/>
      <c r="BO149" s="46"/>
      <c r="BP149" s="810"/>
      <c r="BQ149" s="810">
        <v>5</v>
      </c>
      <c r="BR149" s="946">
        <v>31.963799999999999</v>
      </c>
      <c r="BS149" s="1363">
        <v>5318.2891</v>
      </c>
      <c r="BT149" s="550">
        <v>4.1913</v>
      </c>
      <c r="BU149" s="550">
        <v>3.85E-2</v>
      </c>
      <c r="BV149" s="550">
        <v>1.6199999999999999E-2</v>
      </c>
      <c r="BW149" s="1318">
        <v>0.35499999999999998</v>
      </c>
      <c r="BX149" s="945">
        <v>3.6799999999999999E-2</v>
      </c>
      <c r="BY149" s="48"/>
      <c r="CA149" s="46"/>
      <c r="CB149" s="810"/>
      <c r="CC149" s="810">
        <v>5</v>
      </c>
      <c r="CD149" s="946">
        <v>4.4132999999999996</v>
      </c>
      <c r="CE149" s="1363">
        <v>1358.904</v>
      </c>
      <c r="CF149" s="550">
        <v>0.86209999999999998</v>
      </c>
      <c r="CG149" s="550">
        <v>5.5999999999999999E-3</v>
      </c>
      <c r="CH149" s="550">
        <v>8.3000000000000001E-3</v>
      </c>
      <c r="CI149" s="1318">
        <v>6.9400000000000003E-2</v>
      </c>
      <c r="CJ149" s="945">
        <v>5.3E-3</v>
      </c>
      <c r="CK149" s="48"/>
    </row>
    <row r="150" spans="8:89" ht="14.25" customHeight="1" x14ac:dyDescent="0.25">
      <c r="I150" s="676"/>
      <c r="Y150" s="1277"/>
      <c r="Z150" s="1277"/>
      <c r="AA150" s="1277"/>
      <c r="AB150" s="1277"/>
      <c r="AC150" s="1277"/>
      <c r="AD150" s="1277"/>
      <c r="AE150" s="1277"/>
      <c r="AF150" s="1277"/>
      <c r="AQ150" s="514"/>
      <c r="AR150" s="514"/>
      <c r="BO150" s="46"/>
      <c r="BP150" s="810"/>
      <c r="BQ150" s="810">
        <v>6</v>
      </c>
      <c r="BR150" s="946">
        <v>29.962599999999998</v>
      </c>
      <c r="BS150" s="1363">
        <v>4954.2772999999997</v>
      </c>
      <c r="BT150" s="550">
        <v>3.8723000000000001</v>
      </c>
      <c r="BU150" s="550">
        <v>3.6200000000000003E-2</v>
      </c>
      <c r="BV150" s="550">
        <v>1.5699999999999999E-2</v>
      </c>
      <c r="BW150" s="1318">
        <v>0.32640000000000002</v>
      </c>
      <c r="BX150" s="945">
        <v>3.4599999999999999E-2</v>
      </c>
      <c r="BY150" s="48"/>
      <c r="CA150" s="46"/>
      <c r="CB150" s="810"/>
      <c r="CC150" s="810">
        <v>6</v>
      </c>
      <c r="CD150" s="946">
        <v>3.5421999999999998</v>
      </c>
      <c r="CE150" s="1363">
        <v>1229.3096</v>
      </c>
      <c r="CF150" s="550">
        <v>0.79279999999999995</v>
      </c>
      <c r="CG150" s="550">
        <v>5.1999999999999998E-3</v>
      </c>
      <c r="CH150" s="550">
        <v>7.9000000000000008E-3</v>
      </c>
      <c r="CI150" s="1318">
        <v>6.0999999999999999E-2</v>
      </c>
      <c r="CJ150" s="945">
        <v>4.8999999999999998E-3</v>
      </c>
      <c r="CK150" s="48"/>
    </row>
    <row r="151" spans="8:89" ht="14.25" customHeight="1" x14ac:dyDescent="0.25">
      <c r="I151" s="676"/>
      <c r="Y151" s="1277"/>
      <c r="Z151" s="1277"/>
      <c r="AA151" s="1277"/>
      <c r="AB151" s="1277"/>
      <c r="AC151" s="1277"/>
      <c r="AD151" s="1277"/>
      <c r="AE151" s="1277"/>
      <c r="AF151" s="1277"/>
      <c r="AQ151" s="514"/>
      <c r="AR151" s="514"/>
      <c r="BO151" s="46"/>
      <c r="BP151" s="810"/>
      <c r="BQ151" s="810">
        <v>7</v>
      </c>
      <c r="BR151" s="946">
        <v>28.0868</v>
      </c>
      <c r="BS151" s="1363">
        <v>4615.1803</v>
      </c>
      <c r="BT151" s="550">
        <v>3.5775999999999999</v>
      </c>
      <c r="BU151" s="550">
        <v>3.4099999999999998E-2</v>
      </c>
      <c r="BV151" s="550">
        <v>1.5299999999999999E-2</v>
      </c>
      <c r="BW151" s="1318">
        <v>0.3</v>
      </c>
      <c r="BX151" s="945">
        <v>3.2500000000000001E-2</v>
      </c>
      <c r="BY151" s="48"/>
      <c r="CA151" s="46"/>
      <c r="CB151" s="810"/>
      <c r="CC151" s="810">
        <v>7</v>
      </c>
      <c r="CD151" s="946">
        <v>2.8431000000000002</v>
      </c>
      <c r="CE151" s="1363">
        <v>1112.0741</v>
      </c>
      <c r="CF151" s="550">
        <v>0.72899999999999998</v>
      </c>
      <c r="CG151" s="550">
        <v>4.7999999999999996E-3</v>
      </c>
      <c r="CH151" s="550">
        <v>7.4999999999999997E-3</v>
      </c>
      <c r="CI151" s="1318">
        <v>5.3699999999999998E-2</v>
      </c>
      <c r="CJ151" s="945">
        <v>4.5999999999999999E-3</v>
      </c>
      <c r="CK151" s="48"/>
    </row>
    <row r="152" spans="8:89" ht="14.25" customHeight="1" x14ac:dyDescent="0.25">
      <c r="I152" s="676"/>
      <c r="Y152" s="1277"/>
      <c r="Z152" s="1277"/>
      <c r="AA152" s="1277"/>
      <c r="AB152" s="1277"/>
      <c r="AC152" s="1277"/>
      <c r="AD152" s="1277"/>
      <c r="AE152" s="1277"/>
      <c r="AF152" s="1277"/>
      <c r="AQ152" s="514"/>
      <c r="AR152" s="514"/>
      <c r="BO152" s="46"/>
      <c r="BP152" s="810"/>
      <c r="BQ152" s="810">
        <v>8</v>
      </c>
      <c r="BR152" s="946">
        <v>26.328399999999998</v>
      </c>
      <c r="BS152" s="1363">
        <v>4299.2929000000004</v>
      </c>
      <c r="BT152" s="550">
        <v>3.3052999999999999</v>
      </c>
      <c r="BU152" s="550">
        <v>3.2000000000000001E-2</v>
      </c>
      <c r="BV152" s="550">
        <v>1.49E-2</v>
      </c>
      <c r="BW152" s="1318">
        <v>0.27579999999999999</v>
      </c>
      <c r="BX152" s="945">
        <v>3.0599999999999999E-2</v>
      </c>
      <c r="BY152" s="48"/>
      <c r="CA152" s="46"/>
      <c r="CB152" s="810"/>
      <c r="CC152" s="810">
        <v>8</v>
      </c>
      <c r="CD152" s="946">
        <v>2.282</v>
      </c>
      <c r="CE152" s="1363">
        <v>1006.0191</v>
      </c>
      <c r="CF152" s="550">
        <v>0.6704</v>
      </c>
      <c r="CG152" s="550">
        <v>4.4999999999999997E-3</v>
      </c>
      <c r="CH152" s="550">
        <v>7.1000000000000004E-3</v>
      </c>
      <c r="CI152" s="1318">
        <v>4.7199999999999999E-2</v>
      </c>
      <c r="CJ152" s="945">
        <v>4.1999999999999997E-3</v>
      </c>
      <c r="CK152" s="48"/>
    </row>
    <row r="153" spans="8:89" ht="14.25" customHeight="1" x14ac:dyDescent="0.25">
      <c r="Y153" s="1277"/>
      <c r="Z153" s="1277"/>
      <c r="AA153" s="1277"/>
      <c r="AB153" s="1277"/>
      <c r="AC153" s="1277"/>
      <c r="AD153" s="1277"/>
      <c r="AE153" s="1277"/>
      <c r="AF153" s="1277"/>
      <c r="AQ153" s="514"/>
      <c r="AR153" s="514"/>
      <c r="BO153" s="46"/>
      <c r="BP153" s="810"/>
      <c r="BQ153" s="810">
        <v>9</v>
      </c>
      <c r="BR153" s="946">
        <v>24.680099999999999</v>
      </c>
      <c r="BS153" s="1363">
        <v>4005.0264999999999</v>
      </c>
      <c r="BT153" s="550">
        <v>3.0537000000000001</v>
      </c>
      <c r="BU153" s="550">
        <v>3.0099999999999998E-2</v>
      </c>
      <c r="BV153" s="550">
        <v>1.4500000000000001E-2</v>
      </c>
      <c r="BW153" s="1318">
        <v>0.25359999999999999</v>
      </c>
      <c r="BX153" s="945">
        <v>2.87E-2</v>
      </c>
      <c r="BY153" s="48"/>
      <c r="CA153" s="46"/>
      <c r="CB153" s="810"/>
      <c r="CC153" s="810">
        <v>9</v>
      </c>
      <c r="CD153" s="946">
        <v>1.8315999999999999</v>
      </c>
      <c r="CE153" s="1363">
        <v>910.07820000000004</v>
      </c>
      <c r="CF153" s="550">
        <v>0.61650000000000005</v>
      </c>
      <c r="CG153" s="550">
        <v>4.1999999999999997E-3</v>
      </c>
      <c r="CH153" s="550">
        <v>6.7000000000000002E-3</v>
      </c>
      <c r="CI153" s="1318">
        <v>4.1500000000000002E-2</v>
      </c>
      <c r="CJ153" s="945">
        <v>3.8999999999999998E-3</v>
      </c>
      <c r="CK153" s="48"/>
    </row>
    <row r="154" spans="8:89" ht="14.25" customHeight="1" x14ac:dyDescent="0.25">
      <c r="Y154" s="1277"/>
      <c r="Z154" s="1277"/>
      <c r="AA154" s="1277"/>
      <c r="AB154" s="1277"/>
      <c r="AC154" s="1277"/>
      <c r="AD154" s="1277"/>
      <c r="AE154" s="1277"/>
      <c r="AF154" s="1277"/>
      <c r="AQ154" s="514"/>
      <c r="AR154" s="514"/>
      <c r="BO154" s="46"/>
      <c r="BP154" s="810"/>
      <c r="BQ154" s="810">
        <v>10</v>
      </c>
      <c r="BR154" s="946">
        <v>23.134899999999998</v>
      </c>
      <c r="BS154" s="1363">
        <v>3730.9013</v>
      </c>
      <c r="BT154" s="550">
        <v>2.8212999999999999</v>
      </c>
      <c r="BU154" s="550">
        <v>2.8299999999999999E-2</v>
      </c>
      <c r="BV154" s="550">
        <v>1.41E-2</v>
      </c>
      <c r="BW154" s="1318">
        <v>0.2331</v>
      </c>
      <c r="BX154" s="945">
        <v>2.7E-2</v>
      </c>
      <c r="BY154" s="48"/>
      <c r="CA154" s="46"/>
      <c r="CB154" s="810"/>
      <c r="CC154" s="810">
        <v>10</v>
      </c>
      <c r="CD154" s="946">
        <v>1.4701</v>
      </c>
      <c r="CE154" s="1363">
        <v>823.28679999999997</v>
      </c>
      <c r="CF154" s="550">
        <v>0.56689999999999996</v>
      </c>
      <c r="CG154" s="550">
        <v>3.8999999999999998E-3</v>
      </c>
      <c r="CH154" s="550">
        <v>6.3E-3</v>
      </c>
      <c r="CI154" s="1318">
        <v>3.6499999999999998E-2</v>
      </c>
      <c r="CJ154" s="945">
        <v>3.7000000000000002E-3</v>
      </c>
      <c r="CK154" s="48"/>
    </row>
    <row r="155" spans="8:89" ht="14.25" customHeight="1" x14ac:dyDescent="0.25">
      <c r="I155" s="676"/>
      <c r="Y155" s="1277"/>
      <c r="Z155" s="1277"/>
      <c r="AA155" s="1277"/>
      <c r="AB155" s="1277"/>
      <c r="AC155" s="1277"/>
      <c r="AD155" s="1277"/>
      <c r="AE155" s="1277"/>
      <c r="AF155" s="1277"/>
      <c r="AQ155" s="514"/>
      <c r="AR155" s="514"/>
      <c r="BO155" s="46"/>
      <c r="BP155" s="810"/>
      <c r="BQ155" s="810">
        <v>11</v>
      </c>
      <c r="BR155" s="946">
        <v>21.849900000000002</v>
      </c>
      <c r="BS155" s="1363">
        <v>3416.1437999999998</v>
      </c>
      <c r="BT155" s="550">
        <v>2.5832999999999999</v>
      </c>
      <c r="BU155" s="550">
        <v>2.53E-2</v>
      </c>
      <c r="BV155" s="550">
        <v>1.3299999999999999E-2</v>
      </c>
      <c r="BW155" s="1318">
        <v>0.2059</v>
      </c>
      <c r="BX155" s="945">
        <v>2.41E-2</v>
      </c>
      <c r="BY155" s="48"/>
      <c r="CA155" s="46"/>
      <c r="CB155" s="810"/>
      <c r="CC155" s="810">
        <v>11</v>
      </c>
      <c r="CD155" s="946">
        <v>1.2748999999999999</v>
      </c>
      <c r="CE155" s="1363">
        <v>759.99680000000001</v>
      </c>
      <c r="CF155" s="550">
        <v>0.50470000000000004</v>
      </c>
      <c r="CG155" s="550">
        <v>3.5000000000000001E-3</v>
      </c>
      <c r="CH155" s="550">
        <v>5.8999999999999999E-3</v>
      </c>
      <c r="CI155" s="1318">
        <v>3.0800000000000001E-2</v>
      </c>
      <c r="CJ155" s="945">
        <v>3.3E-3</v>
      </c>
      <c r="CK155" s="48"/>
    </row>
    <row r="156" spans="8:89" ht="14.25" customHeight="1" x14ac:dyDescent="0.25">
      <c r="I156" s="676"/>
      <c r="Y156" s="1277"/>
      <c r="Z156" s="1277"/>
      <c r="AA156" s="1277"/>
      <c r="AB156" s="1277"/>
      <c r="AC156" s="1277"/>
      <c r="AD156" s="1277"/>
      <c r="AE156" s="1277"/>
      <c r="AF156" s="1277"/>
      <c r="AQ156" s="514"/>
      <c r="AR156" s="514"/>
      <c r="BO156" s="46"/>
      <c r="BP156" s="810"/>
      <c r="BQ156" s="810">
        <v>12</v>
      </c>
      <c r="BR156" s="946">
        <v>20.636199999999999</v>
      </c>
      <c r="BS156" s="1363">
        <v>3127.9409000000001</v>
      </c>
      <c r="BT156" s="550">
        <v>2.3654999999999999</v>
      </c>
      <c r="BU156" s="550">
        <v>2.2599999999999999E-2</v>
      </c>
      <c r="BV156" s="550">
        <v>1.2699999999999999E-2</v>
      </c>
      <c r="BW156" s="1318">
        <v>0.18190000000000001</v>
      </c>
      <c r="BX156" s="945">
        <v>2.1600000000000001E-2</v>
      </c>
      <c r="BY156" s="48"/>
      <c r="CA156" s="46"/>
      <c r="CB156" s="810"/>
      <c r="CC156" s="810">
        <v>12</v>
      </c>
      <c r="CD156" s="946">
        <v>1.1055999999999999</v>
      </c>
      <c r="CE156" s="1363">
        <v>701.57209999999998</v>
      </c>
      <c r="CF156" s="550">
        <v>0.44929999999999998</v>
      </c>
      <c r="CG156" s="550">
        <v>3.0999999999999999E-3</v>
      </c>
      <c r="CH156" s="550">
        <v>5.4999999999999997E-3</v>
      </c>
      <c r="CI156" s="1318">
        <v>2.5899999999999999E-2</v>
      </c>
      <c r="CJ156" s="945">
        <v>2.8999999999999998E-3</v>
      </c>
      <c r="CK156" s="48"/>
    </row>
    <row r="157" spans="8:89" ht="14.25" customHeight="1" x14ac:dyDescent="0.25">
      <c r="H157" s="1"/>
      <c r="I157" s="676"/>
      <c r="Y157" s="1277"/>
      <c r="Z157" s="1277"/>
      <c r="AA157" s="1277"/>
      <c r="AB157" s="1277"/>
      <c r="AC157" s="1277"/>
      <c r="AD157" s="1277"/>
      <c r="AE157" s="1277"/>
      <c r="AF157" s="1277"/>
      <c r="AQ157" s="514"/>
      <c r="AR157" s="514"/>
      <c r="BO157" s="46"/>
      <c r="BP157" s="810"/>
      <c r="BQ157" s="810">
        <v>13</v>
      </c>
      <c r="BR157" s="946">
        <v>19.489899999999999</v>
      </c>
      <c r="BS157" s="1363">
        <v>2864.0522000000001</v>
      </c>
      <c r="BT157" s="550">
        <v>2.1659999999999999</v>
      </c>
      <c r="BU157" s="550">
        <v>2.0199999999999999E-2</v>
      </c>
      <c r="BV157" s="550">
        <v>1.2E-2</v>
      </c>
      <c r="BW157" s="1318">
        <v>0.16059999999999999</v>
      </c>
      <c r="BX157" s="945">
        <v>1.9300000000000001E-2</v>
      </c>
      <c r="BY157" s="48"/>
      <c r="CA157" s="46"/>
      <c r="CB157" s="810"/>
      <c r="CC157" s="810">
        <v>13</v>
      </c>
      <c r="CD157" s="946">
        <v>0.95879999999999999</v>
      </c>
      <c r="CE157" s="1363">
        <v>647.63879999999995</v>
      </c>
      <c r="CF157" s="550">
        <v>0.4</v>
      </c>
      <c r="CG157" s="550">
        <v>2.8E-3</v>
      </c>
      <c r="CH157" s="550">
        <v>5.1999999999999998E-3</v>
      </c>
      <c r="CI157" s="1318">
        <v>2.1899999999999999E-2</v>
      </c>
      <c r="CJ157" s="945">
        <v>2.5999999999999999E-3</v>
      </c>
      <c r="CK157" s="48"/>
    </row>
    <row r="158" spans="8:89" ht="14.25" customHeight="1" x14ac:dyDescent="0.25">
      <c r="H158" s="1"/>
      <c r="I158" s="676"/>
      <c r="Y158" s="1277"/>
      <c r="Z158" s="1277"/>
      <c r="AA158" s="1277"/>
      <c r="AB158" s="1277"/>
      <c r="AC158" s="1277"/>
      <c r="AD158" s="1277"/>
      <c r="AE158" s="1277"/>
      <c r="AF158" s="1277"/>
      <c r="AQ158" s="514"/>
      <c r="AR158" s="514"/>
      <c r="BO158" s="46"/>
      <c r="BP158" s="810"/>
      <c r="BQ158" s="810">
        <v>14</v>
      </c>
      <c r="BR158" s="946">
        <v>18.407299999999999</v>
      </c>
      <c r="BS158" s="1363">
        <v>2622.4265</v>
      </c>
      <c r="BT158" s="550">
        <v>1.9833000000000001</v>
      </c>
      <c r="BU158" s="550">
        <v>1.7999999999999999E-2</v>
      </c>
      <c r="BV158" s="550">
        <v>1.14E-2</v>
      </c>
      <c r="BW158" s="1318">
        <v>0.1419</v>
      </c>
      <c r="BX158" s="945">
        <v>1.72E-2</v>
      </c>
      <c r="BY158" s="48"/>
      <c r="CA158" s="46"/>
      <c r="CB158" s="810"/>
      <c r="CC158" s="810">
        <v>14</v>
      </c>
      <c r="CD158" s="946">
        <v>0.83150000000000002</v>
      </c>
      <c r="CE158" s="1363">
        <v>597.85170000000005</v>
      </c>
      <c r="CF158" s="550">
        <v>0.35610000000000003</v>
      </c>
      <c r="CG158" s="550">
        <v>2.5000000000000001E-3</v>
      </c>
      <c r="CH158" s="550">
        <v>4.7999999999999996E-3</v>
      </c>
      <c r="CI158" s="1318">
        <v>1.84E-2</v>
      </c>
      <c r="CJ158" s="945">
        <v>2.3999999999999998E-3</v>
      </c>
      <c r="CK158" s="48"/>
    </row>
    <row r="159" spans="8:89" ht="14.25" customHeight="1" x14ac:dyDescent="0.25">
      <c r="H159" s="1"/>
      <c r="I159" s="1278"/>
      <c r="Y159" s="1277"/>
      <c r="Z159" s="1277"/>
      <c r="AA159" s="1277"/>
      <c r="AB159" s="1277"/>
      <c r="AC159" s="1277"/>
      <c r="AD159" s="1277"/>
      <c r="AE159" s="1277"/>
      <c r="AF159" s="1277"/>
      <c r="AQ159" s="514"/>
      <c r="AR159" s="514"/>
      <c r="BO159" s="46"/>
      <c r="BP159" s="810"/>
      <c r="BQ159" s="810">
        <v>15</v>
      </c>
      <c r="BR159" s="946">
        <v>17.384799999999998</v>
      </c>
      <c r="BS159" s="1363">
        <v>2401.1855</v>
      </c>
      <c r="BT159" s="550">
        <v>1.8160000000000001</v>
      </c>
      <c r="BU159" s="550">
        <v>1.61E-2</v>
      </c>
      <c r="BV159" s="550">
        <v>1.0800000000000001E-2</v>
      </c>
      <c r="BW159" s="1318">
        <v>0.12529999999999999</v>
      </c>
      <c r="BX159" s="945">
        <v>1.54E-2</v>
      </c>
      <c r="BY159" s="48"/>
      <c r="CA159" s="46"/>
      <c r="CB159" s="810"/>
      <c r="CC159" s="810">
        <v>15</v>
      </c>
      <c r="CD159" s="946">
        <v>0.72109999999999996</v>
      </c>
      <c r="CE159" s="1363">
        <v>551.89189999999996</v>
      </c>
      <c r="CF159" s="550">
        <v>0.31709999999999999</v>
      </c>
      <c r="CG159" s="550">
        <v>2.2000000000000001E-3</v>
      </c>
      <c r="CH159" s="550">
        <v>4.4999999999999997E-3</v>
      </c>
      <c r="CI159" s="1318">
        <v>1.55E-2</v>
      </c>
      <c r="CJ159" s="945">
        <v>2.0999999999999999E-3</v>
      </c>
      <c r="CK159" s="48"/>
    </row>
    <row r="160" spans="8:89" ht="14.25" customHeight="1" x14ac:dyDescent="0.25">
      <c r="H160" s="1"/>
      <c r="I160" s="676"/>
      <c r="Y160" s="1277"/>
      <c r="Z160" s="1277"/>
      <c r="AA160" s="1277"/>
      <c r="AB160" s="1277"/>
      <c r="AC160" s="1277"/>
      <c r="AD160" s="1277"/>
      <c r="AE160" s="1277"/>
      <c r="AF160" s="1277"/>
      <c r="AQ160" s="514"/>
      <c r="AR160" s="514"/>
      <c r="BO160" s="46"/>
      <c r="BP160" s="810"/>
      <c r="BQ160" s="810">
        <v>16</v>
      </c>
      <c r="BR160" s="946">
        <v>19.113299999999999</v>
      </c>
      <c r="BS160" s="1363">
        <v>2343.2881000000002</v>
      </c>
      <c r="BT160" s="550">
        <v>1.5686</v>
      </c>
      <c r="BU160" s="550">
        <v>1.26E-2</v>
      </c>
      <c r="BV160" s="550">
        <v>9.1999999999999998E-3</v>
      </c>
      <c r="BW160" s="1318">
        <v>0.10680000000000001</v>
      </c>
      <c r="BX160" s="945">
        <v>1.2E-2</v>
      </c>
      <c r="BY160" s="48"/>
      <c r="CA160" s="46"/>
      <c r="CB160" s="810"/>
      <c r="CC160" s="810">
        <v>16</v>
      </c>
      <c r="CD160" s="946">
        <v>0.53359999999999996</v>
      </c>
      <c r="CE160" s="1363">
        <v>427.09750000000003</v>
      </c>
      <c r="CF160" s="550">
        <v>0.24460000000000001</v>
      </c>
      <c r="CG160" s="550">
        <v>1.6999999999999999E-3</v>
      </c>
      <c r="CH160" s="550">
        <v>3.5000000000000001E-3</v>
      </c>
      <c r="CI160" s="1318">
        <v>1.1299999999999999E-2</v>
      </c>
      <c r="CJ160" s="945">
        <v>1.6000000000000001E-3</v>
      </c>
      <c r="CK160" s="48"/>
    </row>
    <row r="161" spans="8:89" ht="14.25" customHeight="1" x14ac:dyDescent="0.25">
      <c r="H161" s="1"/>
      <c r="I161" s="676"/>
      <c r="Y161" s="1277"/>
      <c r="Z161" s="1277"/>
      <c r="AA161" s="1277"/>
      <c r="AB161" s="1277"/>
      <c r="AC161" s="1277"/>
      <c r="AD161" s="1277"/>
      <c r="AE161" s="1277"/>
      <c r="AF161" s="1277"/>
      <c r="AQ161" s="514"/>
      <c r="AR161" s="514"/>
      <c r="BO161" s="46"/>
      <c r="BP161" s="810"/>
      <c r="BQ161" s="810">
        <v>17</v>
      </c>
      <c r="BR161" s="946">
        <v>21.0138</v>
      </c>
      <c r="BS161" s="1363">
        <v>2286.7867000000001</v>
      </c>
      <c r="BT161" s="550">
        <v>1.3549</v>
      </c>
      <c r="BU161" s="550">
        <v>9.7999999999999997E-3</v>
      </c>
      <c r="BV161" s="550">
        <v>7.7999999999999996E-3</v>
      </c>
      <c r="BW161" s="1318">
        <v>9.0999999999999998E-2</v>
      </c>
      <c r="BX161" s="945">
        <v>9.2999999999999992E-3</v>
      </c>
      <c r="BY161" s="48"/>
      <c r="CA161" s="46"/>
      <c r="CB161" s="810"/>
      <c r="CC161" s="810">
        <v>17</v>
      </c>
      <c r="CD161" s="946">
        <v>0.39489999999999997</v>
      </c>
      <c r="CE161" s="1363">
        <v>330.52179999999998</v>
      </c>
      <c r="CF161" s="550">
        <v>0.1888</v>
      </c>
      <c r="CG161" s="550">
        <v>1.2999999999999999E-3</v>
      </c>
      <c r="CH161" s="550">
        <v>2.7000000000000001E-3</v>
      </c>
      <c r="CI161" s="1318">
        <v>8.2000000000000007E-3</v>
      </c>
      <c r="CJ161" s="945">
        <v>1.1999999999999999E-3</v>
      </c>
      <c r="CK161" s="48"/>
    </row>
    <row r="162" spans="8:89" ht="14.25" customHeight="1" x14ac:dyDescent="0.25">
      <c r="H162" s="1"/>
      <c r="Y162" s="1277"/>
      <c r="Z162" s="1277"/>
      <c r="AA162" s="1277"/>
      <c r="AB162" s="1277"/>
      <c r="AC162" s="1277"/>
      <c r="AD162" s="1277"/>
      <c r="AE162" s="1277"/>
      <c r="AF162" s="1277"/>
      <c r="AQ162" s="514"/>
      <c r="AR162" s="514"/>
      <c r="BO162" s="46"/>
      <c r="BP162" s="810"/>
      <c r="BQ162" s="810">
        <v>18</v>
      </c>
      <c r="BR162" s="946">
        <v>23.103100000000001</v>
      </c>
      <c r="BS162" s="1363">
        <v>2231.6477</v>
      </c>
      <c r="BT162" s="550">
        <v>1.1702999999999999</v>
      </c>
      <c r="BU162" s="550">
        <v>7.6E-3</v>
      </c>
      <c r="BV162" s="550">
        <v>6.6E-3</v>
      </c>
      <c r="BW162" s="1318">
        <v>7.7600000000000002E-2</v>
      </c>
      <c r="BX162" s="945">
        <v>7.3000000000000001E-3</v>
      </c>
      <c r="BY162" s="48"/>
      <c r="CA162" s="46"/>
      <c r="CB162" s="810"/>
      <c r="CC162" s="810">
        <v>18</v>
      </c>
      <c r="CD162" s="946">
        <v>0.29220000000000002</v>
      </c>
      <c r="CE162" s="1363">
        <v>255.78389999999999</v>
      </c>
      <c r="CF162" s="550">
        <v>0.14560000000000001</v>
      </c>
      <c r="CG162" s="550">
        <v>1E-3</v>
      </c>
      <c r="CH162" s="550">
        <v>2.0999999999999999E-3</v>
      </c>
      <c r="CI162" s="1318">
        <v>6.0000000000000001E-3</v>
      </c>
      <c r="CJ162" s="945">
        <v>8.9999999999999998E-4</v>
      </c>
      <c r="CK162" s="48"/>
    </row>
    <row r="163" spans="8:89" ht="14.25" customHeight="1" x14ac:dyDescent="0.25">
      <c r="H163" s="1"/>
      <c r="Y163" s="1277"/>
      <c r="Z163" s="1277"/>
      <c r="AA163" s="1277"/>
      <c r="AB163" s="1277"/>
      <c r="AC163" s="1277"/>
      <c r="AD163" s="1277"/>
      <c r="AE163" s="1277"/>
      <c r="AF163" s="1277"/>
      <c r="AQ163" s="514"/>
      <c r="AR163" s="514"/>
      <c r="BO163" s="46"/>
      <c r="BP163" s="810"/>
      <c r="BQ163" s="810">
        <v>19</v>
      </c>
      <c r="BR163" s="946">
        <v>25.400200000000002</v>
      </c>
      <c r="BS163" s="1363">
        <v>2177.8382000000001</v>
      </c>
      <c r="BT163" s="550">
        <v>1.0107999999999999</v>
      </c>
      <c r="BU163" s="550">
        <v>6.0000000000000001E-3</v>
      </c>
      <c r="BV163" s="550">
        <v>5.5999999999999999E-3</v>
      </c>
      <c r="BW163" s="1318">
        <v>6.6100000000000006E-2</v>
      </c>
      <c r="BX163" s="945">
        <v>5.7000000000000002E-3</v>
      </c>
      <c r="BY163" s="48"/>
      <c r="CA163" s="46"/>
      <c r="CB163" s="810"/>
      <c r="CC163" s="810">
        <v>19</v>
      </c>
      <c r="CD163" s="946">
        <v>0.2162</v>
      </c>
      <c r="CE163" s="1363">
        <v>197.94579999999999</v>
      </c>
      <c r="CF163" s="550">
        <v>0.1124</v>
      </c>
      <c r="CG163" s="550">
        <v>8.0000000000000004E-4</v>
      </c>
      <c r="CH163" s="550">
        <v>1.6999999999999999E-3</v>
      </c>
      <c r="CI163" s="1318">
        <v>4.4000000000000003E-3</v>
      </c>
      <c r="CJ163" s="945">
        <v>6.9999999999999999E-4</v>
      </c>
      <c r="CK163" s="48"/>
    </row>
    <row r="164" spans="8:89" ht="14.25" customHeight="1" x14ac:dyDescent="0.25">
      <c r="H164" s="1"/>
      <c r="Y164" s="1277"/>
      <c r="Z164" s="1277"/>
      <c r="AA164" s="1277"/>
      <c r="AB164" s="1277"/>
      <c r="AC164" s="1277"/>
      <c r="AD164" s="1277"/>
      <c r="AE164" s="1277"/>
      <c r="AF164" s="1277"/>
      <c r="AQ164" s="514"/>
      <c r="AR164" s="514"/>
      <c r="BO164" s="46"/>
      <c r="BP164" s="810"/>
      <c r="BQ164" s="810">
        <v>20</v>
      </c>
      <c r="BR164" s="946">
        <v>27.925699999999999</v>
      </c>
      <c r="BS164" s="1363">
        <v>2125.3262</v>
      </c>
      <c r="BT164" s="550">
        <v>0.87309999999999999</v>
      </c>
      <c r="BU164" s="550">
        <v>4.5999999999999999E-3</v>
      </c>
      <c r="BV164" s="550">
        <v>4.7000000000000002E-3</v>
      </c>
      <c r="BW164" s="1318">
        <v>5.6300000000000003E-2</v>
      </c>
      <c r="BX164" s="945">
        <v>4.4000000000000003E-3</v>
      </c>
      <c r="BY164" s="48"/>
      <c r="CA164" s="46"/>
      <c r="CB164" s="810"/>
      <c r="CC164" s="810">
        <v>20</v>
      </c>
      <c r="CD164" s="946">
        <v>0.16</v>
      </c>
      <c r="CE164" s="1363">
        <v>153.18610000000001</v>
      </c>
      <c r="CF164" s="550">
        <v>8.6699999999999999E-2</v>
      </c>
      <c r="CG164" s="550">
        <v>5.9999999999999995E-4</v>
      </c>
      <c r="CH164" s="550">
        <v>1.2999999999999999E-3</v>
      </c>
      <c r="CI164" s="1318">
        <v>3.2000000000000002E-3</v>
      </c>
      <c r="CJ164" s="945">
        <v>5.0000000000000001E-4</v>
      </c>
      <c r="CK164" s="48"/>
    </row>
    <row r="165" spans="8:89" ht="14.25" customHeight="1" x14ac:dyDescent="0.25">
      <c r="H165" s="1"/>
      <c r="Y165" s="1277"/>
      <c r="Z165" s="1277"/>
      <c r="AA165" s="1277"/>
      <c r="AB165" s="1277"/>
      <c r="AC165" s="1277"/>
      <c r="AD165" s="1277"/>
      <c r="AQ165" s="514"/>
      <c r="AR165" s="514"/>
      <c r="BO165" s="46"/>
      <c r="BP165" s="810"/>
      <c r="BQ165" s="810">
        <v>21</v>
      </c>
      <c r="BR165" s="946">
        <v>21.3276</v>
      </c>
      <c r="BS165" s="1363">
        <v>1958.9477999999999</v>
      </c>
      <c r="BT165" s="550">
        <v>0.96619999999999995</v>
      </c>
      <c r="BU165" s="550">
        <v>5.5999999999999999E-3</v>
      </c>
      <c r="BV165" s="550">
        <v>5.4999999999999997E-3</v>
      </c>
      <c r="BW165" s="1318">
        <v>5.8900000000000001E-2</v>
      </c>
      <c r="BX165" s="945">
        <v>5.3E-3</v>
      </c>
      <c r="BY165" s="48"/>
      <c r="CA165" s="46"/>
      <c r="CB165" s="810"/>
      <c r="CC165" s="810">
        <v>21</v>
      </c>
      <c r="CD165" s="946">
        <v>0.19950000000000001</v>
      </c>
      <c r="CE165" s="1363">
        <v>195.50790000000001</v>
      </c>
      <c r="CF165" s="550">
        <v>0.11</v>
      </c>
      <c r="CG165" s="550">
        <v>6.9999999999999999E-4</v>
      </c>
      <c r="CH165" s="550">
        <v>1.6000000000000001E-3</v>
      </c>
      <c r="CI165" s="1318">
        <v>3.8999999999999998E-3</v>
      </c>
      <c r="CJ165" s="945">
        <v>6.9999999999999999E-4</v>
      </c>
      <c r="CK165" s="48"/>
    </row>
    <row r="166" spans="8:89" ht="14.25" customHeight="1" x14ac:dyDescent="0.25">
      <c r="H166" s="1"/>
      <c r="AQ166" s="514"/>
      <c r="AR166" s="514"/>
      <c r="BO166" s="46"/>
      <c r="BP166" s="810"/>
      <c r="BQ166" s="810">
        <v>22</v>
      </c>
      <c r="BR166" s="946">
        <v>16.288399999999999</v>
      </c>
      <c r="BS166" s="1363">
        <v>1805.5941</v>
      </c>
      <c r="BT166" s="550">
        <v>1.0691999999999999</v>
      </c>
      <c r="BU166" s="550">
        <v>6.7000000000000002E-3</v>
      </c>
      <c r="BV166" s="550">
        <v>6.4000000000000003E-3</v>
      </c>
      <c r="BW166" s="1318">
        <v>6.1600000000000002E-2</v>
      </c>
      <c r="BX166" s="945">
        <v>6.3E-3</v>
      </c>
      <c r="BY166" s="48"/>
      <c r="CA166" s="46"/>
      <c r="CB166" s="810"/>
      <c r="CC166" s="810">
        <v>22</v>
      </c>
      <c r="CD166" s="946">
        <v>0.2487</v>
      </c>
      <c r="CE166" s="1363">
        <v>249.5223</v>
      </c>
      <c r="CF166" s="550">
        <v>0.13950000000000001</v>
      </c>
      <c r="CG166" s="550">
        <v>8.9999999999999998E-4</v>
      </c>
      <c r="CH166" s="550">
        <v>2.0999999999999999E-3</v>
      </c>
      <c r="CI166" s="1318">
        <v>4.8999999999999998E-3</v>
      </c>
      <c r="CJ166" s="945">
        <v>8.9999999999999998E-4</v>
      </c>
      <c r="CK166" s="48"/>
    </row>
    <row r="167" spans="8:89" ht="14.25" customHeight="1" x14ac:dyDescent="0.25">
      <c r="H167" s="1"/>
      <c r="AQ167" s="514"/>
      <c r="AR167" s="514"/>
      <c r="BO167" s="46"/>
      <c r="BP167" s="810"/>
      <c r="BQ167" s="810">
        <v>23</v>
      </c>
      <c r="BR167" s="946">
        <v>12.4399</v>
      </c>
      <c r="BS167" s="1363">
        <v>1664.2455</v>
      </c>
      <c r="BT167" s="550">
        <v>1.1832</v>
      </c>
      <c r="BU167" s="550">
        <v>8.0000000000000002E-3</v>
      </c>
      <c r="BV167" s="550">
        <v>7.4999999999999997E-3</v>
      </c>
      <c r="BW167" s="1318">
        <v>6.4399999999999999E-2</v>
      </c>
      <c r="BX167" s="945">
        <v>7.6E-3</v>
      </c>
      <c r="BY167" s="48"/>
      <c r="CA167" s="46"/>
      <c r="CB167" s="810"/>
      <c r="CC167" s="810">
        <v>23</v>
      </c>
      <c r="CD167" s="946">
        <v>0.31</v>
      </c>
      <c r="CE167" s="1363">
        <v>318.45960000000002</v>
      </c>
      <c r="CF167" s="550">
        <v>0.17699999999999999</v>
      </c>
      <c r="CG167" s="550">
        <v>1.1999999999999999E-3</v>
      </c>
      <c r="CH167" s="550">
        <v>2.7000000000000001E-3</v>
      </c>
      <c r="CI167" s="1318">
        <v>6.1000000000000004E-3</v>
      </c>
      <c r="CJ167" s="945">
        <v>1.1000000000000001E-3</v>
      </c>
      <c r="CK167" s="48"/>
    </row>
    <row r="168" spans="8:89" ht="14.25" customHeight="1" x14ac:dyDescent="0.25">
      <c r="H168" s="1"/>
      <c r="AQ168" s="514"/>
      <c r="AR168" s="514"/>
      <c r="BO168" s="46"/>
      <c r="BP168" s="810"/>
      <c r="BQ168" s="810">
        <v>24</v>
      </c>
      <c r="BR168" s="946">
        <v>9.5006000000000004</v>
      </c>
      <c r="BS168" s="1363">
        <v>1533.9621</v>
      </c>
      <c r="BT168" s="550">
        <v>1.3093999999999999</v>
      </c>
      <c r="BU168" s="550">
        <v>9.4999999999999998E-3</v>
      </c>
      <c r="BV168" s="550">
        <v>8.6999999999999994E-3</v>
      </c>
      <c r="BW168" s="1318">
        <v>6.7299999999999999E-2</v>
      </c>
      <c r="BX168" s="945">
        <v>9.1000000000000004E-3</v>
      </c>
      <c r="BY168" s="48"/>
      <c r="CA168" s="46"/>
      <c r="CB168" s="810"/>
      <c r="CC168" s="810">
        <v>24</v>
      </c>
      <c r="CD168" s="946">
        <v>0.38640000000000002</v>
      </c>
      <c r="CE168" s="1363">
        <v>406.4427</v>
      </c>
      <c r="CF168" s="550">
        <v>0.22459999999999999</v>
      </c>
      <c r="CG168" s="550">
        <v>1.5E-3</v>
      </c>
      <c r="CH168" s="550">
        <v>3.3999999999999998E-3</v>
      </c>
      <c r="CI168" s="1318">
        <v>7.6E-3</v>
      </c>
      <c r="CJ168" s="945">
        <v>1.4E-3</v>
      </c>
      <c r="CK168" s="48"/>
    </row>
    <row r="169" spans="8:89" ht="14.25" customHeight="1" x14ac:dyDescent="0.25">
      <c r="H169" s="1"/>
      <c r="J169" s="34"/>
      <c r="K169" s="34"/>
      <c r="L169" s="34"/>
      <c r="M169" s="34"/>
      <c r="N169" s="34"/>
      <c r="O169" s="34"/>
      <c r="P169" s="34"/>
      <c r="Q169" s="34"/>
      <c r="AQ169" s="514"/>
      <c r="AR169" s="514"/>
      <c r="BO169" s="46"/>
      <c r="BP169" s="810"/>
      <c r="BQ169" s="810">
        <v>25</v>
      </c>
      <c r="BR169" s="946">
        <v>7.2558999999999996</v>
      </c>
      <c r="BS169" s="1363">
        <v>1413.8779</v>
      </c>
      <c r="BT169" s="550">
        <v>1.4490000000000001</v>
      </c>
      <c r="BU169" s="550">
        <v>1.14E-2</v>
      </c>
      <c r="BV169" s="550">
        <v>1.01E-2</v>
      </c>
      <c r="BW169" s="1318">
        <v>7.0400000000000004E-2</v>
      </c>
      <c r="BX169" s="945">
        <v>1.09E-2</v>
      </c>
      <c r="BY169" s="48"/>
      <c r="CA169" s="46"/>
      <c r="CB169" s="810"/>
      <c r="CC169" s="810">
        <v>25</v>
      </c>
      <c r="CD169" s="946">
        <v>0.48170000000000002</v>
      </c>
      <c r="CE169" s="1363">
        <v>518.73350000000005</v>
      </c>
      <c r="CF169" s="550">
        <v>0.28499999999999998</v>
      </c>
      <c r="CG169" s="550">
        <v>1.9E-3</v>
      </c>
      <c r="CH169" s="550">
        <v>4.4000000000000003E-3</v>
      </c>
      <c r="CI169" s="1318">
        <v>9.4000000000000004E-3</v>
      </c>
      <c r="CJ169" s="945">
        <v>1.8E-3</v>
      </c>
      <c r="CK169" s="48"/>
    </row>
    <row r="170" spans="8:89" ht="14.25" customHeight="1" x14ac:dyDescent="0.25">
      <c r="H170" s="1"/>
      <c r="J170" s="34"/>
      <c r="K170" s="34"/>
      <c r="L170" s="34"/>
      <c r="M170" s="34"/>
      <c r="N170" s="34"/>
      <c r="O170" s="34"/>
      <c r="P170" s="34"/>
      <c r="Q170" s="34"/>
      <c r="AQ170" s="514"/>
      <c r="AR170" s="514"/>
      <c r="BO170" s="46"/>
      <c r="BP170" s="810"/>
      <c r="BQ170" s="810">
        <v>26</v>
      </c>
      <c r="BR170" s="946">
        <v>7.1788999999999996</v>
      </c>
      <c r="BS170" s="1363">
        <v>1378.7891</v>
      </c>
      <c r="BT170" s="550">
        <v>1.4072</v>
      </c>
      <c r="BU170" s="550">
        <v>1.11E-2</v>
      </c>
      <c r="BV170" s="550">
        <v>9.9000000000000008E-3</v>
      </c>
      <c r="BW170" s="1318">
        <v>6.7699999999999996E-2</v>
      </c>
      <c r="BX170" s="945">
        <v>1.06E-2</v>
      </c>
      <c r="BY170" s="48"/>
      <c r="CA170" s="46"/>
      <c r="CB170" s="810"/>
      <c r="CC170" s="810">
        <v>26</v>
      </c>
      <c r="CD170" s="946">
        <v>0.45240000000000002</v>
      </c>
      <c r="CE170" s="1363">
        <v>503.87630000000001</v>
      </c>
      <c r="CF170" s="550">
        <v>0.27160000000000001</v>
      </c>
      <c r="CG170" s="550">
        <v>1.8E-3</v>
      </c>
      <c r="CH170" s="550">
        <v>4.3E-3</v>
      </c>
      <c r="CI170" s="1318">
        <v>8.8999999999999999E-3</v>
      </c>
      <c r="CJ170" s="945">
        <v>1.6999999999999999E-3</v>
      </c>
      <c r="CK170" s="48"/>
    </row>
    <row r="171" spans="8:89" ht="14.25" customHeight="1" x14ac:dyDescent="0.25">
      <c r="H171" s="1"/>
      <c r="J171" s="34"/>
      <c r="K171" s="34"/>
      <c r="L171" s="34"/>
      <c r="M171" s="34"/>
      <c r="N171" s="34"/>
      <c r="O171" s="34"/>
      <c r="P171" s="34"/>
      <c r="Q171" s="34"/>
      <c r="AQ171" s="514"/>
      <c r="AR171" s="514"/>
      <c r="BO171" s="46"/>
      <c r="BP171" s="810"/>
      <c r="BQ171" s="810">
        <v>27</v>
      </c>
      <c r="BR171" s="946">
        <v>7.1028000000000002</v>
      </c>
      <c r="BS171" s="1363">
        <v>1344.5709999999999</v>
      </c>
      <c r="BT171" s="550">
        <v>1.3666</v>
      </c>
      <c r="BU171" s="550">
        <v>1.0800000000000001E-2</v>
      </c>
      <c r="BV171" s="550">
        <v>9.7000000000000003E-3</v>
      </c>
      <c r="BW171" s="1318">
        <v>6.5100000000000005E-2</v>
      </c>
      <c r="BX171" s="945">
        <v>1.03E-2</v>
      </c>
      <c r="BY171" s="48"/>
      <c r="CA171" s="46"/>
      <c r="CB171" s="810"/>
      <c r="CC171" s="810">
        <v>27</v>
      </c>
      <c r="CD171" s="946">
        <v>0.4249</v>
      </c>
      <c r="CE171" s="1363">
        <v>489.44459999999998</v>
      </c>
      <c r="CF171" s="550">
        <v>0.25890000000000002</v>
      </c>
      <c r="CG171" s="550">
        <v>1.8E-3</v>
      </c>
      <c r="CH171" s="550">
        <v>4.1999999999999997E-3</v>
      </c>
      <c r="CI171" s="1318">
        <v>8.5000000000000006E-3</v>
      </c>
      <c r="CJ171" s="945">
        <v>1.6999999999999999E-3</v>
      </c>
      <c r="CK171" s="48"/>
    </row>
    <row r="172" spans="8:89" ht="14.25" customHeight="1" x14ac:dyDescent="0.25">
      <c r="H172" s="1"/>
      <c r="J172" s="34"/>
      <c r="K172" s="34"/>
      <c r="L172" s="34"/>
      <c r="M172" s="34"/>
      <c r="N172" s="34"/>
      <c r="O172" s="34"/>
      <c r="P172" s="34"/>
      <c r="Q172" s="34"/>
      <c r="AQ172" s="514"/>
      <c r="AR172" s="514"/>
      <c r="BO172" s="46"/>
      <c r="BP172" s="810"/>
      <c r="BQ172" s="810">
        <v>28</v>
      </c>
      <c r="BR172" s="946">
        <v>7.0274999999999999</v>
      </c>
      <c r="BS172" s="1363">
        <v>1311.2021999999999</v>
      </c>
      <c r="BT172" s="550">
        <v>1.3271999999999999</v>
      </c>
      <c r="BU172" s="550">
        <v>1.0500000000000001E-2</v>
      </c>
      <c r="BV172" s="550">
        <v>9.4999999999999998E-3</v>
      </c>
      <c r="BW172" s="1318">
        <v>6.2600000000000003E-2</v>
      </c>
      <c r="BX172" s="945">
        <v>0.01</v>
      </c>
      <c r="BY172" s="48"/>
      <c r="CA172" s="46"/>
      <c r="CB172" s="810"/>
      <c r="CC172" s="810">
        <v>28</v>
      </c>
      <c r="CD172" s="946">
        <v>0.39910000000000001</v>
      </c>
      <c r="CE172" s="1363">
        <v>475.42619999999999</v>
      </c>
      <c r="CF172" s="550">
        <v>0.24679999999999999</v>
      </c>
      <c r="CG172" s="550">
        <v>1.6999999999999999E-3</v>
      </c>
      <c r="CH172" s="550">
        <v>4.0000000000000001E-3</v>
      </c>
      <c r="CI172" s="1318">
        <v>8.0999999999999996E-3</v>
      </c>
      <c r="CJ172" s="945">
        <v>1.6999999999999999E-3</v>
      </c>
      <c r="CK172" s="48"/>
    </row>
    <row r="173" spans="8:89" ht="14.25" customHeight="1" x14ac:dyDescent="0.25">
      <c r="H173" s="1"/>
      <c r="J173" s="34"/>
      <c r="K173" s="1279"/>
      <c r="L173" s="1280"/>
      <c r="M173" s="1281"/>
      <c r="N173" s="1280"/>
      <c r="O173" s="1280"/>
      <c r="P173" s="1280"/>
      <c r="Q173" s="34"/>
      <c r="AQ173" s="514"/>
      <c r="AR173" s="514"/>
      <c r="BO173" s="46"/>
      <c r="BP173" s="810"/>
      <c r="BQ173" s="810">
        <v>29</v>
      </c>
      <c r="BR173" s="946">
        <v>6.9528999999999996</v>
      </c>
      <c r="BS173" s="1363">
        <v>1278.6614999999999</v>
      </c>
      <c r="BT173" s="550">
        <v>1.2889999999999999</v>
      </c>
      <c r="BU173" s="550">
        <v>1.0200000000000001E-2</v>
      </c>
      <c r="BV173" s="550">
        <v>9.4000000000000004E-3</v>
      </c>
      <c r="BW173" s="1318">
        <v>6.0199999999999997E-2</v>
      </c>
      <c r="BX173" s="945">
        <v>9.7000000000000003E-3</v>
      </c>
      <c r="BY173" s="48"/>
      <c r="CA173" s="46"/>
      <c r="CB173" s="810"/>
      <c r="CC173" s="810">
        <v>29</v>
      </c>
      <c r="CD173" s="946">
        <v>0.37480000000000002</v>
      </c>
      <c r="CE173" s="1363">
        <v>461.80939999999998</v>
      </c>
      <c r="CF173" s="550">
        <v>0.23519999999999999</v>
      </c>
      <c r="CG173" s="550">
        <v>1.6999999999999999E-3</v>
      </c>
      <c r="CH173" s="550">
        <v>3.8999999999999998E-3</v>
      </c>
      <c r="CI173" s="1318">
        <v>7.7000000000000002E-3</v>
      </c>
      <c r="CJ173" s="945">
        <v>1.6000000000000001E-3</v>
      </c>
      <c r="CK173" s="48"/>
    </row>
    <row r="174" spans="8:89" ht="14.25" customHeight="1" x14ac:dyDescent="0.25">
      <c r="H174" s="1"/>
      <c r="J174" s="34"/>
      <c r="K174" s="34"/>
      <c r="L174" s="34"/>
      <c r="M174" s="34"/>
      <c r="N174" s="34"/>
      <c r="O174" s="34"/>
      <c r="P174" s="34"/>
      <c r="Q174" s="34"/>
      <c r="AQ174" s="514"/>
      <c r="AR174" s="514"/>
      <c r="BO174" s="46"/>
      <c r="BP174" s="810"/>
      <c r="BQ174" s="810">
        <v>30</v>
      </c>
      <c r="BR174" s="946">
        <v>6.8792</v>
      </c>
      <c r="BS174" s="1363">
        <v>1246.9284</v>
      </c>
      <c r="BT174" s="550">
        <v>1.2518</v>
      </c>
      <c r="BU174" s="550">
        <v>9.9000000000000008E-3</v>
      </c>
      <c r="BV174" s="550">
        <v>9.1999999999999998E-3</v>
      </c>
      <c r="BW174" s="1318">
        <v>5.79E-2</v>
      </c>
      <c r="BX174" s="945">
        <v>9.4999999999999998E-3</v>
      </c>
      <c r="BY174" s="48"/>
      <c r="CA174" s="46"/>
      <c r="CB174" s="810"/>
      <c r="CC174" s="810">
        <v>30</v>
      </c>
      <c r="CD174" s="946">
        <v>0.35199999999999998</v>
      </c>
      <c r="CE174" s="1363">
        <v>448.58260000000001</v>
      </c>
      <c r="CF174" s="550">
        <v>0.22420000000000001</v>
      </c>
      <c r="CG174" s="550">
        <v>1.6999999999999999E-3</v>
      </c>
      <c r="CH174" s="550">
        <v>3.8E-3</v>
      </c>
      <c r="CI174" s="1318">
        <v>7.3000000000000001E-3</v>
      </c>
      <c r="CJ174" s="945">
        <v>1.6000000000000001E-3</v>
      </c>
      <c r="CK174" s="48"/>
    </row>
    <row r="175" spans="8:89" ht="14.25" customHeight="1" x14ac:dyDescent="0.25">
      <c r="H175" s="1"/>
      <c r="J175" s="34"/>
      <c r="K175" s="34"/>
      <c r="L175" s="34"/>
      <c r="M175" s="34"/>
      <c r="N175" s="34"/>
      <c r="O175" s="34"/>
      <c r="P175" s="34"/>
      <c r="Q175" s="34"/>
      <c r="AQ175" s="514"/>
      <c r="AR175" s="514"/>
      <c r="BO175" s="46"/>
      <c r="BP175" s="810"/>
      <c r="BQ175" s="810">
        <v>31</v>
      </c>
      <c r="BR175" s="946">
        <v>6.6943999999999999</v>
      </c>
      <c r="BS175" s="1363">
        <v>1222.2643</v>
      </c>
      <c r="BT175" s="550">
        <v>1.234</v>
      </c>
      <c r="BU175" s="550">
        <v>0.01</v>
      </c>
      <c r="BV175" s="550">
        <v>9.1000000000000004E-3</v>
      </c>
      <c r="BW175" s="1318">
        <v>5.6399999999999999E-2</v>
      </c>
      <c r="BX175" s="945">
        <v>9.4999999999999998E-3</v>
      </c>
      <c r="BY175" s="48"/>
      <c r="CA175" s="46"/>
      <c r="CB175" s="810"/>
      <c r="CC175" s="810">
        <v>31</v>
      </c>
      <c r="CD175" s="946">
        <v>0.3357</v>
      </c>
      <c r="CE175" s="1363">
        <v>444.99340000000001</v>
      </c>
      <c r="CF175" s="550">
        <v>0.218</v>
      </c>
      <c r="CG175" s="550">
        <v>1.6999999999999999E-3</v>
      </c>
      <c r="CH175" s="550">
        <v>3.8E-3</v>
      </c>
      <c r="CI175" s="1318">
        <v>7.1000000000000004E-3</v>
      </c>
      <c r="CJ175" s="945">
        <v>1.6000000000000001E-3</v>
      </c>
      <c r="CK175" s="48"/>
    </row>
    <row r="176" spans="8:89" ht="14.25" customHeight="1" x14ac:dyDescent="0.25">
      <c r="H176" s="1"/>
      <c r="J176" s="34"/>
      <c r="K176" s="34"/>
      <c r="L176" s="34"/>
      <c r="M176" s="34"/>
      <c r="N176" s="34"/>
      <c r="O176" s="34"/>
      <c r="P176" s="34"/>
      <c r="Q176" s="34"/>
      <c r="AQ176" s="514"/>
      <c r="AR176" s="514"/>
      <c r="BO176" s="46"/>
      <c r="BP176" s="810"/>
      <c r="BQ176" s="810">
        <v>32</v>
      </c>
      <c r="BR176" s="946">
        <v>6.5145999999999997</v>
      </c>
      <c r="BS176" s="1363">
        <v>1198.088</v>
      </c>
      <c r="BT176" s="550">
        <v>1.2164999999999999</v>
      </c>
      <c r="BU176" s="550">
        <v>0.01</v>
      </c>
      <c r="BV176" s="550">
        <v>8.9999999999999993E-3</v>
      </c>
      <c r="BW176" s="1318">
        <v>5.5E-2</v>
      </c>
      <c r="BX176" s="945">
        <v>9.5999999999999992E-3</v>
      </c>
      <c r="BY176" s="48"/>
      <c r="CA176" s="46"/>
      <c r="CB176" s="810"/>
      <c r="CC176" s="810">
        <v>32</v>
      </c>
      <c r="CD176" s="946">
        <v>0.32019999999999998</v>
      </c>
      <c r="CE176" s="1363">
        <v>441.43290000000002</v>
      </c>
      <c r="CF176" s="550">
        <v>0.21210000000000001</v>
      </c>
      <c r="CG176" s="550">
        <v>1.6999999999999999E-3</v>
      </c>
      <c r="CH176" s="550">
        <v>3.8E-3</v>
      </c>
      <c r="CI176" s="1318">
        <v>7.0000000000000001E-3</v>
      </c>
      <c r="CJ176" s="945">
        <v>1.6000000000000001E-3</v>
      </c>
      <c r="CK176" s="48"/>
    </row>
    <row r="177" spans="8:89" ht="14.25" customHeight="1" x14ac:dyDescent="0.25">
      <c r="H177" s="1"/>
      <c r="J177" s="34"/>
      <c r="K177" s="34"/>
      <c r="L177" s="34"/>
      <c r="M177" s="34"/>
      <c r="N177" s="34"/>
      <c r="O177" s="34"/>
      <c r="P177" s="34"/>
      <c r="Q177" s="34"/>
      <c r="AQ177" s="514"/>
      <c r="AR177" s="514"/>
      <c r="BO177" s="46"/>
      <c r="BP177" s="810"/>
      <c r="BQ177" s="810">
        <v>33</v>
      </c>
      <c r="BR177" s="946">
        <v>6.3395999999999999</v>
      </c>
      <c r="BS177" s="1363">
        <v>1174.3900000000001</v>
      </c>
      <c r="BT177" s="550">
        <v>1.1992</v>
      </c>
      <c r="BU177" s="550">
        <v>1.01E-2</v>
      </c>
      <c r="BV177" s="550">
        <v>8.8999999999999999E-3</v>
      </c>
      <c r="BW177" s="1318">
        <v>5.3600000000000002E-2</v>
      </c>
      <c r="BX177" s="945">
        <v>9.5999999999999992E-3</v>
      </c>
      <c r="BY177" s="48"/>
      <c r="CA177" s="46"/>
      <c r="CB177" s="810"/>
      <c r="CC177" s="810">
        <v>33</v>
      </c>
      <c r="CD177" s="946">
        <v>0.3054</v>
      </c>
      <c r="CE177" s="1363">
        <v>437.90089999999998</v>
      </c>
      <c r="CF177" s="550">
        <v>0.20619999999999999</v>
      </c>
      <c r="CG177" s="550">
        <v>1.8E-3</v>
      </c>
      <c r="CH177" s="550">
        <v>3.8E-3</v>
      </c>
      <c r="CI177" s="1318">
        <v>6.7999999999999996E-3</v>
      </c>
      <c r="CJ177" s="945">
        <v>1.6999999999999999E-3</v>
      </c>
      <c r="CK177" s="48"/>
    </row>
    <row r="178" spans="8:89" ht="14.25" customHeight="1" x14ac:dyDescent="0.25">
      <c r="J178" s="34"/>
      <c r="K178" s="34"/>
      <c r="L178" s="34"/>
      <c r="M178" s="34"/>
      <c r="N178" s="34"/>
      <c r="O178" s="34"/>
      <c r="P178" s="34"/>
      <c r="Q178" s="34"/>
      <c r="AQ178" s="514"/>
      <c r="AR178" s="514"/>
      <c r="BO178" s="46"/>
      <c r="BP178" s="810"/>
      <c r="BQ178" s="810">
        <v>34</v>
      </c>
      <c r="BR178" s="946">
        <v>6.1692999999999998</v>
      </c>
      <c r="BS178" s="1363">
        <v>1151.1606999999999</v>
      </c>
      <c r="BT178" s="550">
        <v>1.1821999999999999</v>
      </c>
      <c r="BU178" s="550">
        <v>1.01E-2</v>
      </c>
      <c r="BV178" s="550">
        <v>8.8000000000000005E-3</v>
      </c>
      <c r="BW178" s="1318">
        <v>5.2299999999999999E-2</v>
      </c>
      <c r="BX178" s="945">
        <v>9.7000000000000003E-3</v>
      </c>
      <c r="BY178" s="48"/>
      <c r="CA178" s="46"/>
      <c r="CB178" s="810"/>
      <c r="CC178" s="810">
        <v>34</v>
      </c>
      <c r="CD178" s="946">
        <v>0.2913</v>
      </c>
      <c r="CE178" s="1363">
        <v>434.3972</v>
      </c>
      <c r="CF178" s="550">
        <v>0.2006</v>
      </c>
      <c r="CG178" s="550">
        <v>1.8E-3</v>
      </c>
      <c r="CH178" s="550">
        <v>3.8E-3</v>
      </c>
      <c r="CI178" s="1318">
        <v>6.6E-3</v>
      </c>
      <c r="CJ178" s="945">
        <v>1.6999999999999999E-3</v>
      </c>
      <c r="CK178" s="48"/>
    </row>
    <row r="179" spans="8:89" ht="14.25" customHeight="1" x14ac:dyDescent="0.25">
      <c r="AQ179" s="514"/>
      <c r="AR179" s="514"/>
      <c r="BO179" s="46"/>
      <c r="BP179" s="810"/>
      <c r="BQ179" s="810">
        <v>35</v>
      </c>
      <c r="BR179" s="946">
        <v>6.0034999999999998</v>
      </c>
      <c r="BS179" s="1363">
        <v>1128.3909000000001</v>
      </c>
      <c r="BT179" s="550">
        <v>1.1654</v>
      </c>
      <c r="BU179" s="550">
        <v>1.0200000000000001E-2</v>
      </c>
      <c r="BV179" s="550">
        <v>8.6999999999999994E-3</v>
      </c>
      <c r="BW179" s="1318">
        <v>5.0999999999999997E-2</v>
      </c>
      <c r="BX179" s="945">
        <v>9.7000000000000003E-3</v>
      </c>
      <c r="BY179" s="48"/>
      <c r="CA179" s="46"/>
      <c r="CB179" s="810"/>
      <c r="CC179" s="810">
        <v>35</v>
      </c>
      <c r="CD179" s="946">
        <v>0.27789999999999998</v>
      </c>
      <c r="CE179" s="1363">
        <v>430.92149999999998</v>
      </c>
      <c r="CF179" s="550">
        <v>0.1951</v>
      </c>
      <c r="CG179" s="550">
        <v>1.8E-3</v>
      </c>
      <c r="CH179" s="550">
        <v>3.7000000000000002E-3</v>
      </c>
      <c r="CI179" s="1318">
        <v>6.4999999999999997E-3</v>
      </c>
      <c r="CJ179" s="945">
        <v>1.6999999999999999E-3</v>
      </c>
      <c r="CK179" s="48"/>
    </row>
    <row r="180" spans="8:89" ht="14.25" customHeight="1" x14ac:dyDescent="0.25">
      <c r="AQ180" s="514"/>
      <c r="AR180" s="514"/>
      <c r="BO180" s="46"/>
      <c r="BP180" s="810"/>
      <c r="BQ180" s="810">
        <v>36</v>
      </c>
      <c r="BR180" s="946">
        <v>5.7911999999999999</v>
      </c>
      <c r="BS180" s="1363">
        <v>1115.9713999999999</v>
      </c>
      <c r="BT180" s="550">
        <v>1.1584000000000001</v>
      </c>
      <c r="BU180" s="550">
        <v>1.03E-2</v>
      </c>
      <c r="BV180" s="550">
        <v>8.6999999999999994E-3</v>
      </c>
      <c r="BW180" s="1318">
        <v>4.9799999999999997E-2</v>
      </c>
      <c r="BX180" s="945">
        <v>9.9000000000000008E-3</v>
      </c>
      <c r="BY180" s="48"/>
      <c r="CA180" s="46"/>
      <c r="CB180" s="810"/>
      <c r="CC180" s="810">
        <v>36</v>
      </c>
      <c r="CD180" s="946">
        <v>0.26729999999999998</v>
      </c>
      <c r="CE180" s="1363">
        <v>436.44970000000001</v>
      </c>
      <c r="CF180" s="550">
        <v>0.19259999999999999</v>
      </c>
      <c r="CG180" s="550">
        <v>1.9E-3</v>
      </c>
      <c r="CH180" s="550">
        <v>3.8E-3</v>
      </c>
      <c r="CI180" s="1318">
        <v>6.4000000000000003E-3</v>
      </c>
      <c r="CJ180" s="945">
        <v>1.8E-3</v>
      </c>
      <c r="CK180" s="48"/>
    </row>
    <row r="181" spans="8:89" ht="14.25" customHeight="1" x14ac:dyDescent="0.25">
      <c r="AQ181" s="514"/>
      <c r="AR181" s="514"/>
      <c r="BO181" s="46"/>
      <c r="BP181" s="810"/>
      <c r="BQ181" s="810">
        <v>37</v>
      </c>
      <c r="BR181" s="946">
        <v>5.5864000000000003</v>
      </c>
      <c r="BS181" s="1363">
        <v>1103.6886</v>
      </c>
      <c r="BT181" s="550">
        <v>1.1514</v>
      </c>
      <c r="BU181" s="550">
        <v>1.04E-2</v>
      </c>
      <c r="BV181" s="550">
        <v>8.6999999999999994E-3</v>
      </c>
      <c r="BW181" s="1318">
        <v>4.87E-2</v>
      </c>
      <c r="BX181" s="945">
        <v>0.01</v>
      </c>
      <c r="BY181" s="48"/>
      <c r="CA181" s="46"/>
      <c r="CB181" s="810"/>
      <c r="CC181" s="810">
        <v>37</v>
      </c>
      <c r="CD181" s="946">
        <v>0.2571</v>
      </c>
      <c r="CE181" s="1363">
        <v>442.04880000000003</v>
      </c>
      <c r="CF181" s="550">
        <v>0.19020000000000001</v>
      </c>
      <c r="CG181" s="550">
        <v>2E-3</v>
      </c>
      <c r="CH181" s="550">
        <v>3.8999999999999998E-3</v>
      </c>
      <c r="CI181" s="1318">
        <v>6.4000000000000003E-3</v>
      </c>
      <c r="CJ181" s="945">
        <v>1.9E-3</v>
      </c>
      <c r="CK181" s="48"/>
    </row>
    <row r="182" spans="8:89" ht="14.25" customHeight="1" x14ac:dyDescent="0.25">
      <c r="AQ182" s="514"/>
      <c r="AR182" s="514"/>
      <c r="BO182" s="46"/>
      <c r="BP182" s="810"/>
      <c r="BQ182" s="810">
        <v>38</v>
      </c>
      <c r="BR182" s="946">
        <v>5.3888999999999996</v>
      </c>
      <c r="BS182" s="1363">
        <v>1091.5409999999999</v>
      </c>
      <c r="BT182" s="550">
        <v>1.1445000000000001</v>
      </c>
      <c r="BU182" s="550">
        <v>1.06E-2</v>
      </c>
      <c r="BV182" s="550">
        <v>8.6999999999999994E-3</v>
      </c>
      <c r="BW182" s="1318">
        <v>4.7600000000000003E-2</v>
      </c>
      <c r="BX182" s="945">
        <v>1.01E-2</v>
      </c>
      <c r="BY182" s="48"/>
      <c r="CA182" s="46"/>
      <c r="CB182" s="810"/>
      <c r="CC182" s="810">
        <v>38</v>
      </c>
      <c r="CD182" s="946">
        <v>0.24729999999999999</v>
      </c>
      <c r="CE182" s="1363">
        <v>447.71980000000002</v>
      </c>
      <c r="CF182" s="550">
        <v>0.18770000000000001</v>
      </c>
      <c r="CG182" s="550">
        <v>2.0999999999999999E-3</v>
      </c>
      <c r="CH182" s="550">
        <v>3.8999999999999998E-3</v>
      </c>
      <c r="CI182" s="1318">
        <v>6.3E-3</v>
      </c>
      <c r="CJ182" s="945">
        <v>2E-3</v>
      </c>
      <c r="CK182" s="48"/>
    </row>
    <row r="183" spans="8:89" ht="14.25" customHeight="1" x14ac:dyDescent="0.25">
      <c r="AQ183" s="514"/>
      <c r="AR183" s="514"/>
      <c r="BO183" s="46"/>
      <c r="BP183" s="810"/>
      <c r="BQ183" s="810">
        <v>39</v>
      </c>
      <c r="BR183" s="946">
        <v>5.1982999999999997</v>
      </c>
      <c r="BS183" s="1363">
        <v>1079.5271</v>
      </c>
      <c r="BT183" s="550">
        <v>1.1375999999999999</v>
      </c>
      <c r="BU183" s="550">
        <v>1.0699999999999999E-2</v>
      </c>
      <c r="BV183" s="550">
        <v>8.6999999999999994E-3</v>
      </c>
      <c r="BW183" s="1318">
        <v>4.6600000000000003E-2</v>
      </c>
      <c r="BX183" s="945">
        <v>1.0200000000000001E-2</v>
      </c>
      <c r="BY183" s="48"/>
      <c r="CA183" s="46"/>
      <c r="CB183" s="810"/>
      <c r="CC183" s="810">
        <v>39</v>
      </c>
      <c r="CD183" s="946">
        <v>0.23780000000000001</v>
      </c>
      <c r="CE183" s="1363">
        <v>453.46339999999998</v>
      </c>
      <c r="CF183" s="550">
        <v>0.18540000000000001</v>
      </c>
      <c r="CG183" s="550">
        <v>2.2000000000000001E-3</v>
      </c>
      <c r="CH183" s="550">
        <v>4.0000000000000001E-3</v>
      </c>
      <c r="CI183" s="1318">
        <v>6.3E-3</v>
      </c>
      <c r="CJ183" s="945">
        <v>2.0999999999999999E-3</v>
      </c>
      <c r="CK183" s="48"/>
    </row>
    <row r="184" spans="8:89" ht="14.25" customHeight="1" x14ac:dyDescent="0.25">
      <c r="AQ184" s="514"/>
      <c r="AR184" s="514"/>
      <c r="BO184" s="46"/>
      <c r="BP184" s="810"/>
      <c r="BQ184" s="810">
        <v>40</v>
      </c>
      <c r="BR184" s="946">
        <v>5.0145</v>
      </c>
      <c r="BS184" s="1363">
        <v>1067.6455000000001</v>
      </c>
      <c r="BT184" s="550">
        <v>1.1308</v>
      </c>
      <c r="BU184" s="550">
        <v>1.0800000000000001E-2</v>
      </c>
      <c r="BV184" s="550">
        <v>8.6999999999999994E-3</v>
      </c>
      <c r="BW184" s="1318">
        <v>4.5499999999999999E-2</v>
      </c>
      <c r="BX184" s="945">
        <v>1.03E-2</v>
      </c>
      <c r="BY184" s="48"/>
      <c r="CA184" s="46"/>
      <c r="CB184" s="810"/>
      <c r="CC184" s="810">
        <v>40</v>
      </c>
      <c r="CD184" s="946">
        <v>0.2288</v>
      </c>
      <c r="CE184" s="1363">
        <v>459.2808</v>
      </c>
      <c r="CF184" s="550">
        <v>0.183</v>
      </c>
      <c r="CG184" s="550">
        <v>2.3E-3</v>
      </c>
      <c r="CH184" s="550">
        <v>4.1000000000000003E-3</v>
      </c>
      <c r="CI184" s="1318">
        <v>6.1999999999999998E-3</v>
      </c>
      <c r="CJ184" s="945">
        <v>2.2000000000000001E-3</v>
      </c>
      <c r="CK184" s="48"/>
    </row>
    <row r="185" spans="8:89" ht="14.25" customHeight="1" x14ac:dyDescent="0.25">
      <c r="AQ185" s="514"/>
      <c r="AR185" s="514"/>
      <c r="BO185" s="46"/>
      <c r="BP185" s="810"/>
      <c r="BQ185" s="810">
        <v>41</v>
      </c>
      <c r="BR185" s="946">
        <v>4.8803999999999998</v>
      </c>
      <c r="BS185" s="1363">
        <v>1062.5605</v>
      </c>
      <c r="BT185" s="550">
        <v>1.1354</v>
      </c>
      <c r="BU185" s="550">
        <v>1.09E-2</v>
      </c>
      <c r="BV185" s="550">
        <v>8.6999999999999994E-3</v>
      </c>
      <c r="BW185" s="1318">
        <v>4.4600000000000001E-2</v>
      </c>
      <c r="BX185" s="945">
        <v>1.04E-2</v>
      </c>
      <c r="BY185" s="48"/>
      <c r="CA185" s="46"/>
      <c r="CB185" s="810"/>
      <c r="CC185" s="810">
        <v>41</v>
      </c>
      <c r="CD185" s="946">
        <v>0.2233</v>
      </c>
      <c r="CE185" s="1363">
        <v>464.4658</v>
      </c>
      <c r="CF185" s="550">
        <v>0.1794</v>
      </c>
      <c r="CG185" s="550">
        <v>2.3E-3</v>
      </c>
      <c r="CH185" s="550">
        <v>4.1000000000000003E-3</v>
      </c>
      <c r="CI185" s="1318">
        <v>6.1000000000000004E-3</v>
      </c>
      <c r="CJ185" s="945">
        <v>2.2000000000000001E-3</v>
      </c>
      <c r="CK185" s="48"/>
    </row>
    <row r="186" spans="8:89" ht="14.25" customHeight="1" x14ac:dyDescent="0.25">
      <c r="AQ186" s="514"/>
      <c r="AR186" s="514"/>
      <c r="BO186" s="46"/>
      <c r="BP186" s="810"/>
      <c r="BQ186" s="810">
        <v>42</v>
      </c>
      <c r="BR186" s="946">
        <v>4.7499000000000002</v>
      </c>
      <c r="BS186" s="1363">
        <v>1057.4997000000001</v>
      </c>
      <c r="BT186" s="550">
        <v>1.1398999999999999</v>
      </c>
      <c r="BU186" s="550">
        <v>1.09E-2</v>
      </c>
      <c r="BV186" s="550">
        <v>8.6999999999999994E-3</v>
      </c>
      <c r="BW186" s="1318">
        <v>4.36E-2</v>
      </c>
      <c r="BX186" s="945">
        <v>1.0500000000000001E-2</v>
      </c>
      <c r="BY186" s="48"/>
      <c r="CA186" s="46"/>
      <c r="CB186" s="810"/>
      <c r="CC186" s="810">
        <v>42</v>
      </c>
      <c r="CD186" s="946">
        <v>0.21790000000000001</v>
      </c>
      <c r="CE186" s="1363">
        <v>469.70920000000001</v>
      </c>
      <c r="CF186" s="550">
        <v>0.1759</v>
      </c>
      <c r="CG186" s="550">
        <v>2.3999999999999998E-3</v>
      </c>
      <c r="CH186" s="550">
        <v>4.1999999999999997E-3</v>
      </c>
      <c r="CI186" s="1318">
        <v>6.0000000000000001E-3</v>
      </c>
      <c r="CJ186" s="945">
        <v>2.3E-3</v>
      </c>
      <c r="CK186" s="48"/>
    </row>
    <row r="187" spans="8:89" ht="14.25" customHeight="1" x14ac:dyDescent="0.25">
      <c r="AQ187" s="514"/>
      <c r="AR187" s="514"/>
      <c r="BO187" s="46"/>
      <c r="BP187" s="810"/>
      <c r="BQ187" s="810">
        <v>43</v>
      </c>
      <c r="BR187" s="946">
        <v>4.6228999999999996</v>
      </c>
      <c r="BS187" s="1363">
        <v>1052.463</v>
      </c>
      <c r="BT187" s="550">
        <v>1.1446000000000001</v>
      </c>
      <c r="BU187" s="550">
        <v>1.0999999999999999E-2</v>
      </c>
      <c r="BV187" s="550">
        <v>8.6999999999999994E-3</v>
      </c>
      <c r="BW187" s="1318">
        <v>4.2700000000000002E-2</v>
      </c>
      <c r="BX187" s="945">
        <v>1.0500000000000001E-2</v>
      </c>
      <c r="BY187" s="48"/>
      <c r="CA187" s="46"/>
      <c r="CB187" s="810"/>
      <c r="CC187" s="810">
        <v>43</v>
      </c>
      <c r="CD187" s="946">
        <v>0.2127</v>
      </c>
      <c r="CE187" s="1363">
        <v>475.01190000000003</v>
      </c>
      <c r="CF187" s="550">
        <v>0.1724</v>
      </c>
      <c r="CG187" s="550">
        <v>2.5000000000000001E-3</v>
      </c>
      <c r="CH187" s="550">
        <v>4.1999999999999997E-3</v>
      </c>
      <c r="CI187" s="1318">
        <v>5.8999999999999999E-3</v>
      </c>
      <c r="CJ187" s="945">
        <v>2.3999999999999998E-3</v>
      </c>
      <c r="CK187" s="48"/>
    </row>
    <row r="188" spans="8:89" ht="14.25" customHeight="1" x14ac:dyDescent="0.25">
      <c r="AQ188" s="514"/>
      <c r="AR188" s="514"/>
      <c r="BO188" s="46"/>
      <c r="BP188" s="810"/>
      <c r="BQ188" s="810">
        <v>44</v>
      </c>
      <c r="BR188" s="946">
        <v>4.4992999999999999</v>
      </c>
      <c r="BS188" s="1363">
        <v>1047.4503</v>
      </c>
      <c r="BT188" s="550">
        <v>1.1492</v>
      </c>
      <c r="BU188" s="550">
        <v>1.11E-2</v>
      </c>
      <c r="BV188" s="550">
        <v>8.6999999999999994E-3</v>
      </c>
      <c r="BW188" s="1318">
        <v>4.1799999999999997E-2</v>
      </c>
      <c r="BX188" s="945">
        <v>1.06E-2</v>
      </c>
      <c r="BY188" s="48"/>
      <c r="CA188" s="46"/>
      <c r="CB188" s="810"/>
      <c r="CC188" s="810">
        <v>44</v>
      </c>
      <c r="CD188" s="946">
        <v>0.20760000000000001</v>
      </c>
      <c r="CE188" s="1363">
        <v>480.37439999999998</v>
      </c>
      <c r="CF188" s="550">
        <v>0.1691</v>
      </c>
      <c r="CG188" s="550">
        <v>2.5999999999999999E-3</v>
      </c>
      <c r="CH188" s="550">
        <v>4.3E-3</v>
      </c>
      <c r="CI188" s="1318">
        <v>5.8999999999999999E-3</v>
      </c>
      <c r="CJ188" s="945">
        <v>2.5000000000000001E-3</v>
      </c>
      <c r="CK188" s="48"/>
    </row>
    <row r="189" spans="8:89" ht="14.25" customHeight="1" x14ac:dyDescent="0.25">
      <c r="AQ189" s="514"/>
      <c r="AR189" s="514"/>
      <c r="BO189" s="46"/>
      <c r="BP189" s="810"/>
      <c r="BQ189" s="810">
        <v>45</v>
      </c>
      <c r="BR189" s="946">
        <v>4.3791000000000002</v>
      </c>
      <c r="BS189" s="1363">
        <v>1042.4614999999999</v>
      </c>
      <c r="BT189" s="550">
        <v>1.1537999999999999</v>
      </c>
      <c r="BU189" s="550">
        <v>1.11E-2</v>
      </c>
      <c r="BV189" s="550">
        <v>8.8000000000000005E-3</v>
      </c>
      <c r="BW189" s="1318">
        <v>4.0899999999999999E-2</v>
      </c>
      <c r="BX189" s="945">
        <v>1.06E-2</v>
      </c>
      <c r="BY189" s="48"/>
      <c r="CA189" s="46"/>
      <c r="CB189" s="810"/>
      <c r="CC189" s="810">
        <v>45</v>
      </c>
      <c r="CD189" s="946">
        <v>0.2026</v>
      </c>
      <c r="CE189" s="1363">
        <v>485.79750000000001</v>
      </c>
      <c r="CF189" s="550">
        <v>0.16569999999999999</v>
      </c>
      <c r="CG189" s="550">
        <v>2.7000000000000001E-3</v>
      </c>
      <c r="CH189" s="550">
        <v>4.4000000000000003E-3</v>
      </c>
      <c r="CI189" s="1318">
        <v>5.7999999999999996E-3</v>
      </c>
      <c r="CJ189" s="945">
        <v>2.5999999999999999E-3</v>
      </c>
      <c r="CK189" s="48"/>
    </row>
    <row r="190" spans="8:89" ht="14.25" customHeight="1" x14ac:dyDescent="0.25">
      <c r="AQ190" s="514"/>
      <c r="AR190" s="514"/>
      <c r="BO190" s="46"/>
      <c r="BP190" s="810"/>
      <c r="BQ190" s="810">
        <v>46</v>
      </c>
      <c r="BR190" s="946">
        <v>4.3262</v>
      </c>
      <c r="BS190" s="1363">
        <v>1046.1259</v>
      </c>
      <c r="BT190" s="550">
        <v>1.1439999999999999</v>
      </c>
      <c r="BU190" s="550">
        <v>1.0999999999999999E-2</v>
      </c>
      <c r="BV190" s="550">
        <v>8.8000000000000005E-3</v>
      </c>
      <c r="BW190" s="1318">
        <v>4.0099999999999997E-2</v>
      </c>
      <c r="BX190" s="945">
        <v>1.0500000000000001E-2</v>
      </c>
      <c r="BY190" s="48"/>
      <c r="CA190" s="46"/>
      <c r="CB190" s="810"/>
      <c r="CC190" s="810">
        <v>46</v>
      </c>
      <c r="CD190" s="946">
        <v>0.20119999999999999</v>
      </c>
      <c r="CE190" s="1363">
        <v>489.00839999999999</v>
      </c>
      <c r="CF190" s="550">
        <v>0.1615</v>
      </c>
      <c r="CG190" s="550">
        <v>2.8E-3</v>
      </c>
      <c r="CH190" s="550">
        <v>4.4000000000000003E-3</v>
      </c>
      <c r="CI190" s="1318">
        <v>5.7000000000000002E-3</v>
      </c>
      <c r="CJ190" s="945">
        <v>2.5999999999999999E-3</v>
      </c>
      <c r="CK190" s="48"/>
    </row>
    <row r="191" spans="8:89" ht="14.25" customHeight="1" x14ac:dyDescent="0.25">
      <c r="AQ191" s="514"/>
      <c r="AR191" s="514"/>
      <c r="BO191" s="46"/>
      <c r="BP191" s="810"/>
      <c r="BQ191" s="810">
        <v>47</v>
      </c>
      <c r="BR191" s="946">
        <v>4.274</v>
      </c>
      <c r="BS191" s="1363">
        <v>1049.8033</v>
      </c>
      <c r="BT191" s="550">
        <v>1.1342000000000001</v>
      </c>
      <c r="BU191" s="550">
        <v>1.09E-2</v>
      </c>
      <c r="BV191" s="550">
        <v>8.8999999999999999E-3</v>
      </c>
      <c r="BW191" s="1318">
        <v>3.9199999999999999E-2</v>
      </c>
      <c r="BX191" s="945">
        <v>1.04E-2</v>
      </c>
      <c r="BY191" s="48"/>
      <c r="CA191" s="46"/>
      <c r="CB191" s="810"/>
      <c r="CC191" s="810">
        <v>47</v>
      </c>
      <c r="CD191" s="946">
        <v>0.19969999999999999</v>
      </c>
      <c r="CE191" s="1363">
        <v>492.24059999999997</v>
      </c>
      <c r="CF191" s="550">
        <v>0.1573</v>
      </c>
      <c r="CG191" s="550">
        <v>2.8E-3</v>
      </c>
      <c r="CH191" s="550">
        <v>4.4000000000000003E-3</v>
      </c>
      <c r="CI191" s="1318">
        <v>5.5999999999999999E-3</v>
      </c>
      <c r="CJ191" s="945">
        <v>2.7000000000000001E-3</v>
      </c>
      <c r="CK191" s="48"/>
    </row>
    <row r="192" spans="8:89" ht="14.25" customHeight="1" x14ac:dyDescent="0.25">
      <c r="AQ192" s="514"/>
      <c r="AR192" s="514"/>
      <c r="BO192" s="46"/>
      <c r="BP192" s="810"/>
      <c r="BQ192" s="810">
        <v>48</v>
      </c>
      <c r="BR192" s="946">
        <v>4.2222999999999997</v>
      </c>
      <c r="BS192" s="1363">
        <v>1053.4936</v>
      </c>
      <c r="BT192" s="550">
        <v>1.1245000000000001</v>
      </c>
      <c r="BU192" s="550">
        <v>1.0699999999999999E-2</v>
      </c>
      <c r="BV192" s="550">
        <v>8.8999999999999999E-3</v>
      </c>
      <c r="BW192" s="1318">
        <v>3.8399999999999997E-2</v>
      </c>
      <c r="BX192" s="945">
        <v>1.03E-2</v>
      </c>
      <c r="BY192" s="48"/>
      <c r="CA192" s="46"/>
      <c r="CB192" s="810"/>
      <c r="CC192" s="810">
        <v>48</v>
      </c>
      <c r="CD192" s="946">
        <v>0.1983</v>
      </c>
      <c r="CE192" s="1363">
        <v>495.49419999999998</v>
      </c>
      <c r="CF192" s="550">
        <v>0.1532</v>
      </c>
      <c r="CG192" s="550">
        <v>2.8999999999999998E-3</v>
      </c>
      <c r="CH192" s="550">
        <v>4.4999999999999997E-3</v>
      </c>
      <c r="CI192" s="1318">
        <v>5.4999999999999997E-3</v>
      </c>
      <c r="CJ192" s="945">
        <v>2.8E-3</v>
      </c>
      <c r="CK192" s="48"/>
    </row>
    <row r="193" spans="43:89" ht="14.25" customHeight="1" x14ac:dyDescent="0.25">
      <c r="AQ193" s="514"/>
      <c r="AR193" s="514"/>
      <c r="BO193" s="46"/>
      <c r="BP193" s="810"/>
      <c r="BQ193" s="810">
        <v>49</v>
      </c>
      <c r="BR193" s="946">
        <v>4.1714000000000002</v>
      </c>
      <c r="BS193" s="1363">
        <v>1057.1968999999999</v>
      </c>
      <c r="BT193" s="550">
        <v>1.1148</v>
      </c>
      <c r="BU193" s="550">
        <v>1.06E-2</v>
      </c>
      <c r="BV193" s="550">
        <v>8.9999999999999993E-3</v>
      </c>
      <c r="BW193" s="1318">
        <v>3.7699999999999997E-2</v>
      </c>
      <c r="BX193" s="945">
        <v>1.01E-2</v>
      </c>
      <c r="BY193" s="48"/>
      <c r="CA193" s="46"/>
      <c r="CB193" s="810"/>
      <c r="CC193" s="810">
        <v>49</v>
      </c>
      <c r="CD193" s="946">
        <v>0.19689999999999999</v>
      </c>
      <c r="CE193" s="1363">
        <v>498.76929999999999</v>
      </c>
      <c r="CF193" s="550">
        <v>0.14929999999999999</v>
      </c>
      <c r="CG193" s="550">
        <v>3.0000000000000001E-3</v>
      </c>
      <c r="CH193" s="550">
        <v>4.4999999999999997E-3</v>
      </c>
      <c r="CI193" s="1318">
        <v>5.4000000000000003E-3</v>
      </c>
      <c r="CJ193" s="945">
        <v>2.8E-3</v>
      </c>
      <c r="CK193" s="48"/>
    </row>
    <row r="194" spans="43:89" ht="14.25" customHeight="1" x14ac:dyDescent="0.25">
      <c r="AQ194" s="514"/>
      <c r="AR194" s="514"/>
      <c r="BO194" s="46"/>
      <c r="BP194" s="810"/>
      <c r="BQ194" s="810">
        <v>50</v>
      </c>
      <c r="BR194" s="946">
        <v>4.1210000000000004</v>
      </c>
      <c r="BS194" s="1363">
        <v>1060.9131</v>
      </c>
      <c r="BT194" s="550">
        <v>1.1052999999999999</v>
      </c>
      <c r="BU194" s="550">
        <v>1.0500000000000001E-2</v>
      </c>
      <c r="BV194" s="550">
        <v>8.9999999999999993E-3</v>
      </c>
      <c r="BW194" s="1318">
        <v>3.6900000000000002E-2</v>
      </c>
      <c r="BX194" s="945">
        <v>0.01</v>
      </c>
      <c r="BY194" s="48"/>
      <c r="CA194" s="46"/>
      <c r="CB194" s="810"/>
      <c r="CC194" s="810">
        <v>50</v>
      </c>
      <c r="CD194" s="946">
        <v>0.19550000000000001</v>
      </c>
      <c r="CE194" s="1363">
        <v>502.06599999999997</v>
      </c>
      <c r="CF194" s="550">
        <v>0.1454</v>
      </c>
      <c r="CG194" s="550">
        <v>3.0000000000000001E-3</v>
      </c>
      <c r="CH194" s="550">
        <v>4.4999999999999997E-3</v>
      </c>
      <c r="CI194" s="1318">
        <v>5.4000000000000003E-3</v>
      </c>
      <c r="CJ194" s="945">
        <v>2.8999999999999998E-3</v>
      </c>
      <c r="CK194" s="48"/>
    </row>
    <row r="195" spans="43:89" ht="14.25" customHeight="1" x14ac:dyDescent="0.25">
      <c r="AQ195" s="514"/>
      <c r="AR195" s="514"/>
      <c r="BO195" s="46"/>
      <c r="BP195" s="810"/>
      <c r="BQ195" s="810">
        <v>51</v>
      </c>
      <c r="BR195" s="946">
        <v>4.0545</v>
      </c>
      <c r="BS195" s="1363">
        <v>1079.6318000000001</v>
      </c>
      <c r="BT195" s="550">
        <v>1.1102000000000001</v>
      </c>
      <c r="BU195" s="550">
        <v>1.0699999999999999E-2</v>
      </c>
      <c r="BV195" s="550">
        <v>9.1999999999999998E-3</v>
      </c>
      <c r="BW195" s="1318">
        <v>3.7100000000000001E-2</v>
      </c>
      <c r="BX195" s="945">
        <v>1.0200000000000001E-2</v>
      </c>
      <c r="BY195" s="48"/>
      <c r="CA195" s="46"/>
      <c r="CB195" s="810"/>
      <c r="CC195" s="810">
        <v>51</v>
      </c>
      <c r="CD195" s="946">
        <v>0.19739999999999999</v>
      </c>
      <c r="CE195" s="1363">
        <v>514.7106</v>
      </c>
      <c r="CF195" s="550">
        <v>0.1497</v>
      </c>
      <c r="CG195" s="550">
        <v>3.2000000000000002E-3</v>
      </c>
      <c r="CH195" s="550">
        <v>4.7000000000000002E-3</v>
      </c>
      <c r="CI195" s="1318">
        <v>5.4000000000000003E-3</v>
      </c>
      <c r="CJ195" s="945">
        <v>3.0999999999999999E-3</v>
      </c>
      <c r="CK195" s="48"/>
    </row>
    <row r="196" spans="43:89" ht="14.25" customHeight="1" x14ac:dyDescent="0.25">
      <c r="AQ196" s="514"/>
      <c r="AR196" s="514"/>
      <c r="BO196" s="46"/>
      <c r="BP196" s="810"/>
      <c r="BQ196" s="810">
        <v>52</v>
      </c>
      <c r="BR196" s="946">
        <v>3.9891000000000001</v>
      </c>
      <c r="BS196" s="1363">
        <v>1098.6808000000001</v>
      </c>
      <c r="BT196" s="550">
        <v>1.115</v>
      </c>
      <c r="BU196" s="550">
        <v>1.0800000000000001E-2</v>
      </c>
      <c r="BV196" s="550">
        <v>9.4000000000000004E-3</v>
      </c>
      <c r="BW196" s="1318">
        <v>3.73E-2</v>
      </c>
      <c r="BX196" s="945">
        <v>1.04E-2</v>
      </c>
      <c r="BY196" s="48"/>
      <c r="CA196" s="46"/>
      <c r="CB196" s="810"/>
      <c r="CC196" s="810">
        <v>52</v>
      </c>
      <c r="CD196" s="946">
        <v>0.19950000000000001</v>
      </c>
      <c r="CE196" s="1363">
        <v>527.67370000000005</v>
      </c>
      <c r="CF196" s="550">
        <v>0.154</v>
      </c>
      <c r="CG196" s="550">
        <v>3.3999999999999998E-3</v>
      </c>
      <c r="CH196" s="550">
        <v>4.7999999999999996E-3</v>
      </c>
      <c r="CI196" s="1318">
        <v>5.4999999999999997E-3</v>
      </c>
      <c r="CJ196" s="945">
        <v>3.3E-3</v>
      </c>
      <c r="CK196" s="48"/>
    </row>
    <row r="197" spans="43:89" ht="14.25" customHeight="1" x14ac:dyDescent="0.25">
      <c r="AQ197" s="514"/>
      <c r="AR197" s="514"/>
      <c r="BO197" s="46"/>
      <c r="BP197" s="810"/>
      <c r="BQ197" s="810">
        <v>53</v>
      </c>
      <c r="BR197" s="946">
        <v>3.9247999999999998</v>
      </c>
      <c r="BS197" s="1363">
        <v>1118.0659000000001</v>
      </c>
      <c r="BT197" s="550">
        <v>1.1198999999999999</v>
      </c>
      <c r="BU197" s="550">
        <v>1.0999999999999999E-2</v>
      </c>
      <c r="BV197" s="550">
        <v>9.5999999999999992E-3</v>
      </c>
      <c r="BW197" s="1318">
        <v>3.7400000000000003E-2</v>
      </c>
      <c r="BX197" s="945">
        <v>1.0500000000000001E-2</v>
      </c>
      <c r="BY197" s="48"/>
      <c r="CA197" s="46"/>
      <c r="CB197" s="810"/>
      <c r="CC197" s="810">
        <v>53</v>
      </c>
      <c r="CD197" s="946">
        <v>0.20150000000000001</v>
      </c>
      <c r="CE197" s="1363">
        <v>540.9633</v>
      </c>
      <c r="CF197" s="550">
        <v>0.1585</v>
      </c>
      <c r="CG197" s="550">
        <v>3.7000000000000002E-3</v>
      </c>
      <c r="CH197" s="550">
        <v>4.8999999999999998E-3</v>
      </c>
      <c r="CI197" s="1318">
        <v>5.5999999999999999E-3</v>
      </c>
      <c r="CJ197" s="945">
        <v>3.5000000000000001E-3</v>
      </c>
      <c r="CK197" s="48"/>
    </row>
    <row r="198" spans="43:89" ht="14.25" customHeight="1" x14ac:dyDescent="0.25">
      <c r="AQ198" s="514"/>
      <c r="AR198" s="514"/>
      <c r="BO198" s="46"/>
      <c r="BP198" s="810"/>
      <c r="BQ198" s="810">
        <v>54</v>
      </c>
      <c r="BR198" s="946">
        <v>3.8614999999999999</v>
      </c>
      <c r="BS198" s="1363">
        <v>1137.7928999999999</v>
      </c>
      <c r="BT198" s="550">
        <v>1.1249</v>
      </c>
      <c r="BU198" s="550">
        <v>1.12E-2</v>
      </c>
      <c r="BV198" s="550">
        <v>9.7999999999999997E-3</v>
      </c>
      <c r="BW198" s="1318">
        <v>3.7600000000000001E-2</v>
      </c>
      <c r="BX198" s="945">
        <v>1.0699999999999999E-2</v>
      </c>
      <c r="BY198" s="48"/>
      <c r="CA198" s="46"/>
      <c r="CB198" s="810"/>
      <c r="CC198" s="810">
        <v>54</v>
      </c>
      <c r="CD198" s="946">
        <v>0.2036</v>
      </c>
      <c r="CE198" s="1363">
        <v>554.58759999999995</v>
      </c>
      <c r="CF198" s="550">
        <v>0.16320000000000001</v>
      </c>
      <c r="CG198" s="550">
        <v>3.8999999999999998E-3</v>
      </c>
      <c r="CH198" s="550">
        <v>5.0000000000000001E-3</v>
      </c>
      <c r="CI198" s="1318">
        <v>5.7000000000000002E-3</v>
      </c>
      <c r="CJ198" s="945">
        <v>3.7000000000000002E-3</v>
      </c>
      <c r="CK198" s="48"/>
    </row>
    <row r="199" spans="43:89" ht="14.25" customHeight="1" x14ac:dyDescent="0.25">
      <c r="AQ199" s="514"/>
      <c r="AR199" s="514"/>
      <c r="BO199" s="46"/>
      <c r="BP199" s="810"/>
      <c r="BQ199" s="810">
        <v>55</v>
      </c>
      <c r="BR199" s="946">
        <v>3.7991999999999999</v>
      </c>
      <c r="BS199" s="1363">
        <v>1157.8680999999999</v>
      </c>
      <c r="BT199" s="550">
        <v>1.1297999999999999</v>
      </c>
      <c r="BU199" s="550">
        <v>1.14E-2</v>
      </c>
      <c r="BV199" s="550">
        <v>1.01E-2</v>
      </c>
      <c r="BW199" s="1318">
        <v>3.78E-2</v>
      </c>
      <c r="BX199" s="945">
        <v>1.09E-2</v>
      </c>
      <c r="BY199" s="48"/>
      <c r="CA199" s="46"/>
      <c r="CB199" s="810"/>
      <c r="CC199" s="810">
        <v>55</v>
      </c>
      <c r="CD199" s="946">
        <v>0.2056</v>
      </c>
      <c r="CE199" s="1363">
        <v>568.55499999999995</v>
      </c>
      <c r="CF199" s="550">
        <v>0.16800000000000001</v>
      </c>
      <c r="CG199" s="550">
        <v>4.1000000000000003E-3</v>
      </c>
      <c r="CH199" s="550">
        <v>5.1999999999999998E-3</v>
      </c>
      <c r="CI199" s="1318">
        <v>5.7999999999999996E-3</v>
      </c>
      <c r="CJ199" s="945">
        <v>3.8999999999999998E-3</v>
      </c>
      <c r="CK199" s="48"/>
    </row>
    <row r="200" spans="43:89" ht="14.25" customHeight="1" x14ac:dyDescent="0.25">
      <c r="AQ200" s="514"/>
      <c r="AR200" s="514"/>
      <c r="BO200" s="46"/>
      <c r="BP200" s="810"/>
      <c r="BQ200" s="810">
        <v>56</v>
      </c>
      <c r="BR200" s="946">
        <v>3.6829999999999998</v>
      </c>
      <c r="BS200" s="1363">
        <v>1184.1948</v>
      </c>
      <c r="BT200" s="550">
        <v>1.1318999999999999</v>
      </c>
      <c r="BU200" s="550">
        <v>1.18E-2</v>
      </c>
      <c r="BV200" s="550">
        <v>1.03E-2</v>
      </c>
      <c r="BW200" s="1318">
        <v>3.7999999999999999E-2</v>
      </c>
      <c r="BX200" s="945">
        <v>1.1299999999999999E-2</v>
      </c>
      <c r="BY200" s="48"/>
      <c r="CA200" s="46"/>
      <c r="CB200" s="810"/>
      <c r="CC200" s="810">
        <v>56</v>
      </c>
      <c r="CD200" s="946">
        <v>0.19969999999999999</v>
      </c>
      <c r="CE200" s="1363">
        <v>594.13630000000001</v>
      </c>
      <c r="CF200" s="550">
        <v>0.18210000000000001</v>
      </c>
      <c r="CG200" s="550">
        <v>4.5999999999999999E-3</v>
      </c>
      <c r="CH200" s="550">
        <v>5.4000000000000003E-3</v>
      </c>
      <c r="CI200" s="1318">
        <v>6.0000000000000001E-3</v>
      </c>
      <c r="CJ200" s="945">
        <v>4.4000000000000003E-3</v>
      </c>
      <c r="CK200" s="48"/>
    </row>
    <row r="201" spans="43:89" ht="14.25" customHeight="1" x14ac:dyDescent="0.25">
      <c r="AQ201" s="514"/>
      <c r="AR201" s="514"/>
      <c r="BO201" s="46"/>
      <c r="BP201" s="810"/>
      <c r="BQ201" s="810">
        <v>57</v>
      </c>
      <c r="BR201" s="946">
        <v>3.5703</v>
      </c>
      <c r="BS201" s="1363">
        <v>1211.1202000000001</v>
      </c>
      <c r="BT201" s="550">
        <v>1.1338999999999999</v>
      </c>
      <c r="BU201" s="550">
        <v>1.2200000000000001E-2</v>
      </c>
      <c r="BV201" s="550">
        <v>1.06E-2</v>
      </c>
      <c r="BW201" s="1318">
        <v>3.8199999999999998E-2</v>
      </c>
      <c r="BX201" s="945">
        <v>1.17E-2</v>
      </c>
      <c r="BY201" s="48"/>
      <c r="CA201" s="46"/>
      <c r="CB201" s="810"/>
      <c r="CC201" s="810">
        <v>57</v>
      </c>
      <c r="CD201" s="946">
        <v>0.19400000000000001</v>
      </c>
      <c r="CE201" s="1363">
        <v>620.86860000000001</v>
      </c>
      <c r="CF201" s="550">
        <v>0.19750000000000001</v>
      </c>
      <c r="CG201" s="550">
        <v>5.1000000000000004E-3</v>
      </c>
      <c r="CH201" s="550">
        <v>5.7000000000000002E-3</v>
      </c>
      <c r="CI201" s="1318">
        <v>6.1999999999999998E-3</v>
      </c>
      <c r="CJ201" s="945">
        <v>4.7999999999999996E-3</v>
      </c>
      <c r="CK201" s="48"/>
    </row>
    <row r="202" spans="43:89" ht="14.25" customHeight="1" x14ac:dyDescent="0.25">
      <c r="AQ202" s="514"/>
      <c r="AR202" s="514"/>
      <c r="BO202" s="46"/>
      <c r="BP202" s="810"/>
      <c r="BQ202" s="810">
        <v>58</v>
      </c>
      <c r="BR202" s="946">
        <v>3.4611000000000001</v>
      </c>
      <c r="BS202" s="1363">
        <v>1238.6578</v>
      </c>
      <c r="BT202" s="550">
        <v>1.1359999999999999</v>
      </c>
      <c r="BU202" s="550">
        <v>1.2699999999999999E-2</v>
      </c>
      <c r="BV202" s="550">
        <v>1.09E-2</v>
      </c>
      <c r="BW202" s="1318">
        <v>3.8399999999999997E-2</v>
      </c>
      <c r="BX202" s="945">
        <v>1.21E-2</v>
      </c>
      <c r="BY202" s="48"/>
      <c r="CA202" s="46"/>
      <c r="CB202" s="810"/>
      <c r="CC202" s="810">
        <v>58</v>
      </c>
      <c r="CD202" s="946">
        <v>0.1885</v>
      </c>
      <c r="CE202" s="1363">
        <v>648.80370000000005</v>
      </c>
      <c r="CF202" s="550">
        <v>0.21410000000000001</v>
      </c>
      <c r="CG202" s="550">
        <v>5.5999999999999999E-3</v>
      </c>
      <c r="CH202" s="550">
        <v>5.8999999999999999E-3</v>
      </c>
      <c r="CI202" s="1318">
        <v>6.4999999999999997E-3</v>
      </c>
      <c r="CJ202" s="945">
        <v>5.3E-3</v>
      </c>
      <c r="CK202" s="48"/>
    </row>
    <row r="203" spans="43:89" ht="14.25" customHeight="1" x14ac:dyDescent="0.25">
      <c r="AQ203" s="514"/>
      <c r="AR203" s="514"/>
      <c r="BO203" s="46"/>
      <c r="BP203" s="810"/>
      <c r="BQ203" s="810">
        <v>59</v>
      </c>
      <c r="BR203" s="946">
        <v>3.3552</v>
      </c>
      <c r="BS203" s="1363">
        <v>1266.8214</v>
      </c>
      <c r="BT203" s="550">
        <v>1.1379999999999999</v>
      </c>
      <c r="BU203" s="550">
        <v>1.3100000000000001E-2</v>
      </c>
      <c r="BV203" s="550">
        <v>1.1299999999999999E-2</v>
      </c>
      <c r="BW203" s="1318">
        <v>3.8600000000000002E-2</v>
      </c>
      <c r="BX203" s="945">
        <v>1.2500000000000001E-2</v>
      </c>
      <c r="BY203" s="48"/>
      <c r="CA203" s="46"/>
      <c r="CB203" s="810"/>
      <c r="CC203" s="810">
        <v>59</v>
      </c>
      <c r="CD203" s="946">
        <v>0.18310000000000001</v>
      </c>
      <c r="CE203" s="1363">
        <v>677.99570000000006</v>
      </c>
      <c r="CF203" s="550">
        <v>0.2321</v>
      </c>
      <c r="CG203" s="550">
        <v>6.1999999999999998E-3</v>
      </c>
      <c r="CH203" s="550">
        <v>6.1999999999999998E-3</v>
      </c>
      <c r="CI203" s="1318">
        <v>6.7000000000000002E-3</v>
      </c>
      <c r="CJ203" s="945">
        <v>5.8999999999999999E-3</v>
      </c>
      <c r="CK203" s="48"/>
    </row>
    <row r="204" spans="43:89" ht="14.25" customHeight="1" x14ac:dyDescent="0.25">
      <c r="AQ204" s="514"/>
      <c r="AR204" s="514"/>
      <c r="BO204" s="46"/>
      <c r="BP204" s="810"/>
      <c r="BQ204" s="810">
        <v>60</v>
      </c>
      <c r="BR204" s="946">
        <v>3.2524999999999999</v>
      </c>
      <c r="BS204" s="1363">
        <v>1295.6255000000001</v>
      </c>
      <c r="BT204" s="550">
        <v>1.1400999999999999</v>
      </c>
      <c r="BU204" s="550">
        <v>1.3599999999999999E-2</v>
      </c>
      <c r="BV204" s="550">
        <v>1.1599999999999999E-2</v>
      </c>
      <c r="BW204" s="1318">
        <v>3.8800000000000001E-2</v>
      </c>
      <c r="BX204" s="945">
        <v>1.2999999999999999E-2</v>
      </c>
      <c r="BY204" s="48"/>
      <c r="CA204" s="46"/>
      <c r="CB204" s="810"/>
      <c r="CC204" s="810">
        <v>60</v>
      </c>
      <c r="CD204" s="946">
        <v>0.17780000000000001</v>
      </c>
      <c r="CE204" s="1363">
        <v>708.50120000000004</v>
      </c>
      <c r="CF204" s="550">
        <v>0.25169999999999998</v>
      </c>
      <c r="CG204" s="550">
        <v>6.7999999999999996E-3</v>
      </c>
      <c r="CH204" s="550">
        <v>6.4999999999999997E-3</v>
      </c>
      <c r="CI204" s="1318">
        <v>7.0000000000000001E-3</v>
      </c>
      <c r="CJ204" s="945">
        <v>6.4999999999999997E-3</v>
      </c>
      <c r="CK204" s="48"/>
    </row>
    <row r="205" spans="43:89" ht="14.25" customHeight="1" x14ac:dyDescent="0.25">
      <c r="AQ205" s="514"/>
      <c r="AR205" s="514"/>
      <c r="BO205" s="46"/>
      <c r="BP205" s="810"/>
      <c r="BQ205" s="810">
        <v>61</v>
      </c>
      <c r="BR205" s="946">
        <v>3.1682000000000001</v>
      </c>
      <c r="BS205" s="1363">
        <v>1321.8235</v>
      </c>
      <c r="BT205" s="550">
        <v>1.1445000000000001</v>
      </c>
      <c r="BU205" s="550">
        <v>1.41E-2</v>
      </c>
      <c r="BV205" s="550">
        <v>1.1900000000000001E-2</v>
      </c>
      <c r="BW205" s="1318">
        <v>3.9300000000000002E-2</v>
      </c>
      <c r="BX205" s="945">
        <v>1.35E-2</v>
      </c>
      <c r="BY205" s="48"/>
      <c r="CA205" s="46"/>
      <c r="CB205" s="810"/>
      <c r="CC205" s="810">
        <v>61</v>
      </c>
      <c r="CD205" s="946">
        <v>0.17460000000000001</v>
      </c>
      <c r="CE205" s="1363">
        <v>731.12099999999998</v>
      </c>
      <c r="CF205" s="550">
        <v>0.27350000000000002</v>
      </c>
      <c r="CG205" s="550">
        <v>7.4000000000000003E-3</v>
      </c>
      <c r="CH205" s="550">
        <v>6.7999999999999996E-3</v>
      </c>
      <c r="CI205" s="1318">
        <v>7.1999999999999998E-3</v>
      </c>
      <c r="CJ205" s="945">
        <v>7.1000000000000004E-3</v>
      </c>
      <c r="CK205" s="48"/>
    </row>
    <row r="206" spans="43:89" ht="14.25" customHeight="1" x14ac:dyDescent="0.25">
      <c r="AQ206" s="514"/>
      <c r="AR206" s="514"/>
      <c r="BO206" s="46"/>
      <c r="BP206" s="810"/>
      <c r="BQ206" s="810">
        <v>62</v>
      </c>
      <c r="BR206" s="946">
        <v>3.0859999999999999</v>
      </c>
      <c r="BS206" s="1363">
        <v>1348.5512000000001</v>
      </c>
      <c r="BT206" s="550">
        <v>1.149</v>
      </c>
      <c r="BU206" s="550">
        <v>1.46E-2</v>
      </c>
      <c r="BV206" s="550">
        <v>1.2200000000000001E-2</v>
      </c>
      <c r="BW206" s="1318">
        <v>3.9699999999999999E-2</v>
      </c>
      <c r="BX206" s="945">
        <v>1.3899999999999999E-2</v>
      </c>
      <c r="BY206" s="48"/>
      <c r="CA206" s="46"/>
      <c r="CB206" s="810"/>
      <c r="CC206" s="810">
        <v>62</v>
      </c>
      <c r="CD206" s="946">
        <v>0.17150000000000001</v>
      </c>
      <c r="CE206" s="1363">
        <v>754.46299999999997</v>
      </c>
      <c r="CF206" s="550">
        <v>0.29709999999999998</v>
      </c>
      <c r="CG206" s="550">
        <v>8.0999999999999996E-3</v>
      </c>
      <c r="CH206" s="550">
        <v>7.0000000000000001E-3</v>
      </c>
      <c r="CI206" s="1318">
        <v>7.4999999999999997E-3</v>
      </c>
      <c r="CJ206" s="945">
        <v>7.7000000000000002E-3</v>
      </c>
      <c r="CK206" s="48"/>
    </row>
    <row r="207" spans="43:89" ht="14.25" customHeight="1" x14ac:dyDescent="0.25">
      <c r="AQ207" s="514"/>
      <c r="AR207" s="514"/>
      <c r="BO207" s="46"/>
      <c r="BP207" s="810"/>
      <c r="BQ207" s="810">
        <v>63</v>
      </c>
      <c r="BR207" s="946">
        <v>3.0059999999999998</v>
      </c>
      <c r="BS207" s="1363">
        <v>1375.8194000000001</v>
      </c>
      <c r="BT207" s="550">
        <v>1.1535</v>
      </c>
      <c r="BU207" s="550">
        <v>1.5100000000000001E-2</v>
      </c>
      <c r="BV207" s="550">
        <v>1.2500000000000001E-2</v>
      </c>
      <c r="BW207" s="1318">
        <v>4.02E-2</v>
      </c>
      <c r="BX207" s="945">
        <v>1.44E-2</v>
      </c>
      <c r="BY207" s="48"/>
      <c r="CA207" s="46"/>
      <c r="CB207" s="810"/>
      <c r="CC207" s="810">
        <v>63</v>
      </c>
      <c r="CD207" s="946">
        <v>0.16839999999999999</v>
      </c>
      <c r="CE207" s="1363">
        <v>778.55029999999999</v>
      </c>
      <c r="CF207" s="550">
        <v>0.32279999999999998</v>
      </c>
      <c r="CG207" s="550">
        <v>8.8000000000000005E-3</v>
      </c>
      <c r="CH207" s="550">
        <v>7.1999999999999998E-3</v>
      </c>
      <c r="CI207" s="1318">
        <v>7.7999999999999996E-3</v>
      </c>
      <c r="CJ207" s="945">
        <v>8.3999999999999995E-3</v>
      </c>
      <c r="CK207" s="48"/>
    </row>
    <row r="208" spans="43:89" ht="14.25" customHeight="1" x14ac:dyDescent="0.25">
      <c r="AQ208" s="514"/>
      <c r="AR208" s="514"/>
      <c r="BO208" s="46"/>
      <c r="BP208" s="810"/>
      <c r="BQ208" s="810">
        <v>64</v>
      </c>
      <c r="BR208" s="946">
        <v>2.9279999999999999</v>
      </c>
      <c r="BS208" s="1363">
        <v>1403.6388999999999</v>
      </c>
      <c r="BT208" s="550">
        <v>1.1579999999999999</v>
      </c>
      <c r="BU208" s="550">
        <v>1.5599999999999999E-2</v>
      </c>
      <c r="BV208" s="550">
        <v>1.2800000000000001E-2</v>
      </c>
      <c r="BW208" s="1318">
        <v>4.07E-2</v>
      </c>
      <c r="BX208" s="945">
        <v>1.49E-2</v>
      </c>
      <c r="BY208" s="48"/>
      <c r="CA208" s="46"/>
      <c r="CB208" s="810"/>
      <c r="CC208" s="810">
        <v>64</v>
      </c>
      <c r="CD208" s="946">
        <v>0.16539999999999999</v>
      </c>
      <c r="CE208" s="1363">
        <v>803.40650000000005</v>
      </c>
      <c r="CF208" s="550">
        <v>0.3508</v>
      </c>
      <c r="CG208" s="550">
        <v>9.4999999999999998E-3</v>
      </c>
      <c r="CH208" s="550">
        <v>7.4999999999999997E-3</v>
      </c>
      <c r="CI208" s="1318">
        <v>8.0999999999999996E-3</v>
      </c>
      <c r="CJ208" s="945">
        <v>9.1000000000000004E-3</v>
      </c>
      <c r="CK208" s="48"/>
    </row>
    <row r="209" spans="43:89" ht="14.25" customHeight="1" x14ac:dyDescent="0.25">
      <c r="AQ209" s="514"/>
      <c r="AR209" s="514"/>
      <c r="BO209" s="46"/>
      <c r="BP209" s="810"/>
      <c r="BQ209" s="810">
        <v>65</v>
      </c>
      <c r="BR209" s="946">
        <v>2.8521000000000001</v>
      </c>
      <c r="BS209" s="1363">
        <v>1432.0209</v>
      </c>
      <c r="BT209" s="550">
        <v>1.1625000000000001</v>
      </c>
      <c r="BU209" s="550">
        <v>1.6199999999999999E-2</v>
      </c>
      <c r="BV209" s="550">
        <v>1.3100000000000001E-2</v>
      </c>
      <c r="BW209" s="1318">
        <v>4.1200000000000001E-2</v>
      </c>
      <c r="BX209" s="945">
        <v>1.54E-2</v>
      </c>
      <c r="BY209" s="48"/>
      <c r="CA209" s="46"/>
      <c r="CB209" s="810"/>
      <c r="CC209" s="810">
        <v>65</v>
      </c>
      <c r="CD209" s="946">
        <v>0.16239999999999999</v>
      </c>
      <c r="CE209" s="1363">
        <v>829.05629999999996</v>
      </c>
      <c r="CF209" s="550">
        <v>0.38109999999999999</v>
      </c>
      <c r="CG209" s="550">
        <v>1.03E-2</v>
      </c>
      <c r="CH209" s="550">
        <v>7.7999999999999996E-3</v>
      </c>
      <c r="CI209" s="1318">
        <v>8.3999999999999995E-3</v>
      </c>
      <c r="CJ209" s="945">
        <v>9.9000000000000008E-3</v>
      </c>
      <c r="CK209" s="48"/>
    </row>
    <row r="210" spans="43:89" ht="14.25" customHeight="1" x14ac:dyDescent="0.25">
      <c r="AQ210" s="514"/>
      <c r="AR210" s="514"/>
      <c r="BO210" s="46"/>
      <c r="BP210" s="810"/>
      <c r="BQ210" s="810">
        <v>66</v>
      </c>
      <c r="BR210" s="946">
        <v>2.7292999999999998</v>
      </c>
      <c r="BS210" s="1363">
        <v>1425.6288</v>
      </c>
      <c r="BT210" s="550">
        <v>1.1936</v>
      </c>
      <c r="BU210" s="550">
        <v>1.7299999999999999E-2</v>
      </c>
      <c r="BV210" s="550">
        <v>1.2999999999999999E-2</v>
      </c>
      <c r="BW210" s="1318">
        <v>3.78E-2</v>
      </c>
      <c r="BX210" s="945">
        <v>1.6500000000000001E-2</v>
      </c>
      <c r="BY210" s="48"/>
      <c r="CA210" s="46"/>
      <c r="CB210" s="810"/>
      <c r="CC210" s="810">
        <v>66</v>
      </c>
      <c r="CD210" s="946">
        <v>0.16689999999999999</v>
      </c>
      <c r="CE210" s="1363">
        <v>857.61479999999995</v>
      </c>
      <c r="CF210" s="550">
        <v>0.4042</v>
      </c>
      <c r="CG210" s="550">
        <v>1.12E-2</v>
      </c>
      <c r="CH210" s="550">
        <v>8.0000000000000002E-3</v>
      </c>
      <c r="CI210" s="1318">
        <v>8.3000000000000001E-3</v>
      </c>
      <c r="CJ210" s="945">
        <v>1.0699999999999999E-2</v>
      </c>
      <c r="CK210" s="48"/>
    </row>
    <row r="211" spans="43:89" ht="14.25" customHeight="1" x14ac:dyDescent="0.25">
      <c r="AQ211" s="514"/>
      <c r="AR211" s="514"/>
      <c r="BO211" s="46"/>
      <c r="BP211" s="810"/>
      <c r="BQ211" s="810">
        <v>67</v>
      </c>
      <c r="BR211" s="946">
        <v>2.6118999999999999</v>
      </c>
      <c r="BS211" s="1363">
        <v>1419.2653</v>
      </c>
      <c r="BT211" s="550">
        <v>1.2256</v>
      </c>
      <c r="BU211" s="550">
        <v>1.84E-2</v>
      </c>
      <c r="BV211" s="550">
        <v>1.29E-2</v>
      </c>
      <c r="BW211" s="1318">
        <v>3.4799999999999998E-2</v>
      </c>
      <c r="BX211" s="945">
        <v>1.7600000000000001E-2</v>
      </c>
      <c r="BY211" s="48"/>
      <c r="CA211" s="46"/>
      <c r="CB211" s="810"/>
      <c r="CC211" s="810">
        <v>67</v>
      </c>
      <c r="CD211" s="946">
        <v>0.17150000000000001</v>
      </c>
      <c r="CE211" s="1363">
        <v>887.15700000000004</v>
      </c>
      <c r="CF211" s="550">
        <v>0.42880000000000001</v>
      </c>
      <c r="CG211" s="550">
        <v>1.21E-2</v>
      </c>
      <c r="CH211" s="550">
        <v>8.3000000000000001E-3</v>
      </c>
      <c r="CI211" s="1318">
        <v>8.2000000000000007E-3</v>
      </c>
      <c r="CJ211" s="945">
        <v>1.15E-2</v>
      </c>
      <c r="CK211" s="48"/>
    </row>
    <row r="212" spans="43:89" ht="14.25" customHeight="1" x14ac:dyDescent="0.25">
      <c r="BO212" s="46"/>
      <c r="BP212" s="810"/>
      <c r="BQ212" s="810">
        <v>68</v>
      </c>
      <c r="BR212" s="946">
        <v>2.4994000000000001</v>
      </c>
      <c r="BS212" s="1363">
        <v>1412.9301</v>
      </c>
      <c r="BT212" s="550">
        <v>1.2584</v>
      </c>
      <c r="BU212" s="550">
        <v>1.9699999999999999E-2</v>
      </c>
      <c r="BV212" s="550">
        <v>1.2800000000000001E-2</v>
      </c>
      <c r="BW212" s="1318">
        <v>3.2000000000000001E-2</v>
      </c>
      <c r="BX212" s="945">
        <v>1.8800000000000001E-2</v>
      </c>
      <c r="BY212" s="48"/>
      <c r="CA212" s="46"/>
      <c r="CB212" s="810"/>
      <c r="CC212" s="810">
        <v>68</v>
      </c>
      <c r="CD212" s="946">
        <v>0.1762</v>
      </c>
      <c r="CE212" s="1363">
        <v>917.71690000000001</v>
      </c>
      <c r="CF212" s="550">
        <v>0.45479999999999998</v>
      </c>
      <c r="CG212" s="550">
        <v>1.2999999999999999E-2</v>
      </c>
      <c r="CH212" s="550">
        <v>8.5000000000000006E-3</v>
      </c>
      <c r="CI212" s="1318">
        <v>8.0999999999999996E-3</v>
      </c>
      <c r="CJ212" s="945">
        <v>1.2500000000000001E-2</v>
      </c>
      <c r="CK212" s="48"/>
    </row>
    <row r="213" spans="43:89" ht="14.25" customHeight="1" x14ac:dyDescent="0.25">
      <c r="BO213" s="46"/>
      <c r="BP213" s="810"/>
      <c r="BQ213" s="810">
        <v>69</v>
      </c>
      <c r="BR213" s="946">
        <v>2.3919000000000001</v>
      </c>
      <c r="BS213" s="1363">
        <v>1406.6232</v>
      </c>
      <c r="BT213" s="550">
        <v>1.2922</v>
      </c>
      <c r="BU213" s="550">
        <v>2.1000000000000001E-2</v>
      </c>
      <c r="BV213" s="550">
        <v>1.2699999999999999E-2</v>
      </c>
      <c r="BW213" s="1318">
        <v>2.9399999999999999E-2</v>
      </c>
      <c r="BX213" s="945">
        <v>2.01E-2</v>
      </c>
      <c r="BY213" s="48"/>
      <c r="CA213" s="46"/>
      <c r="CB213" s="810"/>
      <c r="CC213" s="810">
        <v>69</v>
      </c>
      <c r="CD213" s="946">
        <v>0.18110000000000001</v>
      </c>
      <c r="CE213" s="1363">
        <v>949.32939999999996</v>
      </c>
      <c r="CF213" s="550">
        <v>0.4824</v>
      </c>
      <c r="CG213" s="550">
        <v>1.41E-2</v>
      </c>
      <c r="CH213" s="550">
        <v>8.8000000000000005E-3</v>
      </c>
      <c r="CI213" s="1318">
        <v>8.0999999999999996E-3</v>
      </c>
      <c r="CJ213" s="945">
        <v>1.35E-2</v>
      </c>
      <c r="CK213" s="48"/>
    </row>
    <row r="214" spans="43:89" ht="14.25" customHeight="1" x14ac:dyDescent="0.25">
      <c r="BO214" s="46"/>
      <c r="BP214" s="812"/>
      <c r="BQ214" s="812">
        <v>70</v>
      </c>
      <c r="BR214" s="947">
        <v>2.2888999999999999</v>
      </c>
      <c r="BS214" s="1364">
        <v>1400.3444999999999</v>
      </c>
      <c r="BT214" s="948">
        <v>1.3268</v>
      </c>
      <c r="BU214" s="948">
        <v>2.2499999999999999E-2</v>
      </c>
      <c r="BV214" s="948">
        <v>1.26E-2</v>
      </c>
      <c r="BW214" s="1319">
        <v>2.7E-2</v>
      </c>
      <c r="BX214" s="949">
        <v>2.1499999999999998E-2</v>
      </c>
      <c r="BY214" s="48"/>
      <c r="CA214" s="46"/>
      <c r="CB214" s="812"/>
      <c r="CC214" s="812">
        <v>70</v>
      </c>
      <c r="CD214" s="947">
        <v>0.18609999999999999</v>
      </c>
      <c r="CE214" s="1364">
        <v>982.03099999999995</v>
      </c>
      <c r="CF214" s="948">
        <v>0.51160000000000005</v>
      </c>
      <c r="CG214" s="948">
        <v>1.52E-2</v>
      </c>
      <c r="CH214" s="948">
        <v>9.1000000000000004E-3</v>
      </c>
      <c r="CI214" s="1319">
        <v>8.0000000000000002E-3</v>
      </c>
      <c r="CJ214" s="949">
        <v>1.46E-2</v>
      </c>
      <c r="CK214" s="48"/>
    </row>
    <row r="215" spans="43:89" ht="14.25" customHeight="1" thickBot="1" x14ac:dyDescent="0.3">
      <c r="BO215" s="50"/>
      <c r="BP215" s="237"/>
      <c r="BQ215" s="237"/>
      <c r="BR215" s="237"/>
      <c r="BS215" s="237"/>
      <c r="BT215" s="237"/>
      <c r="BU215" s="237"/>
      <c r="BV215" s="237"/>
      <c r="BW215" s="237"/>
      <c r="BX215" s="237"/>
      <c r="BY215" s="52"/>
      <c r="CA215" s="50"/>
      <c r="CB215" s="237"/>
      <c r="CC215" s="237"/>
      <c r="CD215" s="237"/>
      <c r="CE215" s="237"/>
      <c r="CF215" s="237"/>
      <c r="CG215" s="237"/>
      <c r="CH215" s="237"/>
      <c r="CI215" s="237"/>
      <c r="CJ215" s="237"/>
      <c r="CK215" s="52"/>
    </row>
    <row r="216" spans="43:89" ht="14.25" customHeight="1" thickTop="1" x14ac:dyDescent="0.25"/>
    <row r="217" spans="43:89" ht="14.25" customHeight="1" x14ac:dyDescent="0.3">
      <c r="BO217" s="554" t="s">
        <v>847</v>
      </c>
    </row>
    <row r="218" spans="43:89" ht="14.25" customHeight="1" x14ac:dyDescent="0.25"/>
    <row r="219" spans="43:89" ht="14.25" customHeight="1" x14ac:dyDescent="0.3">
      <c r="BO219" s="554" t="s">
        <v>620</v>
      </c>
    </row>
    <row r="220" spans="43:89" ht="14.25" customHeight="1" x14ac:dyDescent="0.25"/>
    <row r="221" spans="43:89" ht="14.25" customHeight="1" x14ac:dyDescent="0.25"/>
    <row r="222" spans="43:89" ht="14.25" customHeight="1" x14ac:dyDescent="0.25"/>
    <row r="223" spans="43:89" ht="14.25" customHeight="1" x14ac:dyDescent="0.25"/>
    <row r="224" spans="43:89" ht="14.25" customHeight="1" x14ac:dyDescent="0.25"/>
    <row r="225" spans="10:14" ht="14.25" customHeight="1" x14ac:dyDescent="0.25"/>
    <row r="226" spans="10:14" ht="14.25" customHeight="1" x14ac:dyDescent="0.25"/>
    <row r="227" spans="10:14" ht="14.25" customHeight="1" x14ac:dyDescent="0.25"/>
    <row r="228" spans="10:14" ht="14.25" customHeight="1" x14ac:dyDescent="0.25"/>
    <row r="229" spans="10:14" ht="14.25" customHeight="1" x14ac:dyDescent="0.25"/>
    <row r="230" spans="10:14" ht="14.25" customHeight="1" x14ac:dyDescent="0.25"/>
    <row r="231" spans="10:14" ht="14.25" customHeight="1" x14ac:dyDescent="0.25"/>
    <row r="232" spans="10:14" ht="14.25" customHeight="1" x14ac:dyDescent="0.35">
      <c r="J232" s="1271"/>
      <c r="K232" s="1271"/>
      <c r="L232" s="1271"/>
      <c r="M232" s="1271"/>
      <c r="N232" s="1271"/>
    </row>
    <row r="233" spans="10:14" ht="14.25" customHeight="1" x14ac:dyDescent="0.25"/>
    <row r="234" spans="10:14" ht="14.25" customHeight="1" x14ac:dyDescent="0.25"/>
    <row r="235" spans="10:14" ht="14.25" customHeight="1" x14ac:dyDescent="0.25"/>
    <row r="236" spans="10:14" ht="14.25" customHeight="1" x14ac:dyDescent="0.25"/>
    <row r="237" spans="10:14" ht="14.25" customHeight="1" x14ac:dyDescent="0.25"/>
    <row r="238" spans="10:14" ht="14.25" customHeight="1" x14ac:dyDescent="0.25"/>
    <row r="239" spans="10:14" ht="14.25" customHeight="1" x14ac:dyDescent="0.25"/>
    <row r="240" spans="10:14"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sheetData>
  <printOptions horizontalCentered="1"/>
  <pageMargins left="0" right="0" top="0.5" bottom="0.75" header="0.5" footer="0.5"/>
  <pageSetup scale="40" orientation="portrait" r:id="rId1"/>
  <headerFooter alignWithMargins="0">
    <oddFooter>&amp;L&amp;8Transportation Economics
Caltrans DOTP&amp;C&amp;8Cal-B/C &amp;A&amp;R&amp;8Page &amp;P
&amp;D</oddFooter>
  </headerFooter>
  <rowBreaks count="2" manualBreakCount="2">
    <brk id="79" min="65" max="89" man="1"/>
    <brk id="147" min="65" max="89" man="1"/>
  </rowBreaks>
  <colBreaks count="8" manualBreakCount="8">
    <brk id="17" max="102" man="1"/>
    <brk id="24" max="99" man="1"/>
    <brk id="41" max="99" man="1"/>
    <brk id="48" max="99" man="1"/>
    <brk id="65" max="81" man="1"/>
    <brk id="103" max="62" man="1"/>
    <brk id="117" max="62" man="1"/>
    <brk id="137" max="62"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9879A7D33A6BF45A8C1C5CD8A6D04AB" ma:contentTypeVersion="4" ma:contentTypeDescription="Create a new document." ma:contentTypeScope="" ma:versionID="891d7f9a69a4276e19ed46777bdf3559">
  <xsd:schema xmlns:xsd="http://www.w3.org/2001/XMLSchema" xmlns:xs="http://www.w3.org/2001/XMLSchema" xmlns:p="http://schemas.microsoft.com/office/2006/metadata/properties" xmlns:ns2="d58405a0-ed7a-4395-a758-57a9102ce822" targetNamespace="http://schemas.microsoft.com/office/2006/metadata/properties" ma:root="true" ma:fieldsID="3d325bc201abc9ff5f265f6af04854c3" ns2:_="">
    <xsd:import namespace="d58405a0-ed7a-4395-a758-57a9102ce82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58405a0-ed7a-4395-a758-57a9102ce82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3E451F0-01F3-47DF-A851-4F8461408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58405a0-ed7a-4395-a758-57a9102ce8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6CB5D41-476D-4A77-A757-83F3B21B9E51}">
  <ds:schemaRefs>
    <ds:schemaRef ds:uri="http://purl.org/dc/dcmitype/"/>
    <ds:schemaRef ds:uri="http://purl.org/dc/elements/1.1/"/>
    <ds:schemaRef ds:uri="http://schemas.microsoft.com/office/2006/documentManagement/types"/>
    <ds:schemaRef ds:uri="http://schemas.microsoft.com/office/infopath/2007/PartnerControls"/>
    <ds:schemaRef ds:uri="http://www.w3.org/XML/1998/namespace"/>
    <ds:schemaRef ds:uri="http://purl.org/dc/terms/"/>
    <ds:schemaRef ds:uri="http://schemas.openxmlformats.org/package/2006/metadata/core-properties"/>
    <ds:schemaRef ds:uri="d58405a0-ed7a-4395-a758-57a9102ce822"/>
    <ds:schemaRef ds:uri="http://schemas.microsoft.com/office/2006/metadata/properties"/>
  </ds:schemaRefs>
</ds:datastoreItem>
</file>

<file path=customXml/itemProps3.xml><?xml version="1.0" encoding="utf-8"?>
<ds:datastoreItem xmlns:ds="http://schemas.openxmlformats.org/officeDocument/2006/customXml" ds:itemID="{891A9505-10AE-424A-BD98-2D77E9E2709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399</vt:i4>
      </vt:variant>
    </vt:vector>
  </HeadingPairs>
  <TitlesOfParts>
    <vt:vector size="411" baseType="lpstr">
      <vt:lpstr>Title</vt:lpstr>
      <vt:lpstr>Instructions</vt:lpstr>
      <vt:lpstr>1) Project Information</vt:lpstr>
      <vt:lpstr>2) Model Inputs</vt:lpstr>
      <vt:lpstr>3) Results</vt:lpstr>
      <vt:lpstr>Travel Time</vt:lpstr>
      <vt:lpstr>Reliability</vt:lpstr>
      <vt:lpstr>Vehicle Operating Costs</vt:lpstr>
      <vt:lpstr>Accident Costs</vt:lpstr>
      <vt:lpstr>Emissions</vt:lpstr>
      <vt:lpstr>Final Calculations</vt:lpstr>
      <vt:lpstr>PARAMETERS</vt:lpstr>
      <vt:lpstr>Accidents</vt:lpstr>
      <vt:lpstr>AccReduceFac</vt:lpstr>
      <vt:lpstr>AccStAvgB</vt:lpstr>
      <vt:lpstr>AccStAvgNB</vt:lpstr>
      <vt:lpstr>ADT0</vt:lpstr>
      <vt:lpstr>ADT1B</vt:lpstr>
      <vt:lpstr>ADT1NB</vt:lpstr>
      <vt:lpstr>ADT20B</vt:lpstr>
      <vt:lpstr>ADT20NB</vt:lpstr>
      <vt:lpstr>AlphaSTD</vt:lpstr>
      <vt:lpstr>AlphaTTI</vt:lpstr>
      <vt:lpstr>AM</vt:lpstr>
      <vt:lpstr>AnnSickDays</vt:lpstr>
      <vt:lpstr>AnnualFactor</vt:lpstr>
      <vt:lpstr>ArrRate1</vt:lpstr>
      <vt:lpstr>ArrRate20</vt:lpstr>
      <vt:lpstr>ASM</vt:lpstr>
      <vt:lpstr>AuxLane</vt:lpstr>
      <vt:lpstr>AvgAccCost</vt:lpstr>
      <vt:lpstr>AvgAccCostA</vt:lpstr>
      <vt:lpstr>AvgAccCostR</vt:lpstr>
      <vt:lpstr>AvgAccCostS</vt:lpstr>
      <vt:lpstr>AvgAccCostU</vt:lpstr>
      <vt:lpstr>AVL</vt:lpstr>
      <vt:lpstr>AVLCapSaving</vt:lpstr>
      <vt:lpstr>AvlOMsaving</vt:lpstr>
      <vt:lpstr>AVLTTsaving</vt:lpstr>
      <vt:lpstr>AVOHovB</vt:lpstr>
      <vt:lpstr>AVOHovNB</vt:lpstr>
      <vt:lpstr>AVONonB</vt:lpstr>
      <vt:lpstr>AVONonNB</vt:lpstr>
      <vt:lpstr>AVOPeakB</vt:lpstr>
      <vt:lpstr>AVOPeakNB</vt:lpstr>
      <vt:lpstr>BeneCostRatio</vt:lpstr>
      <vt:lpstr>BetaSTD</vt:lpstr>
      <vt:lpstr>BetaTTI</vt:lpstr>
      <vt:lpstr>BRT</vt:lpstr>
      <vt:lpstr>BrtTTsaving</vt:lpstr>
      <vt:lpstr>Bus</vt:lpstr>
      <vt:lpstr>BusAccCost</vt:lpstr>
      <vt:lpstr>Bypass</vt:lpstr>
      <vt:lpstr>CLASS1MRS</vt:lpstr>
      <vt:lpstr>CLASS2MRS</vt:lpstr>
      <vt:lpstr>CLASS3MRS</vt:lpstr>
      <vt:lpstr>CLASS4MRS</vt:lpstr>
      <vt:lpstr>CO2Uprater</vt:lpstr>
      <vt:lpstr>Construct</vt:lpstr>
      <vt:lpstr>CycDistPerTrip</vt:lpstr>
      <vt:lpstr>CycleDays</vt:lpstr>
      <vt:lpstr>CycSpeed</vt:lpstr>
      <vt:lpstr>CycTripPurpose</vt:lpstr>
      <vt:lpstr>DepRate1</vt:lpstr>
      <vt:lpstr>DepRate20</vt:lpstr>
      <vt:lpstr>DepRateConv</vt:lpstr>
      <vt:lpstr>DepRateExp</vt:lpstr>
      <vt:lpstr>DepRateFwy</vt:lpstr>
      <vt:lpstr>DiscRate</vt:lpstr>
      <vt:lpstr>DivCycAutoNB</vt:lpstr>
      <vt:lpstr>DivPedAutoNB</vt:lpstr>
      <vt:lpstr>EmAuto1</vt:lpstr>
      <vt:lpstr>EmAuto20</vt:lpstr>
      <vt:lpstr>EmBus1</vt:lpstr>
      <vt:lpstr>EmBus20</vt:lpstr>
      <vt:lpstr>EmCost</vt:lpstr>
      <vt:lpstr>EmFreightTrain</vt:lpstr>
      <vt:lpstr>Emissions</vt:lpstr>
      <vt:lpstr>EmLRT</vt:lpstr>
      <vt:lpstr>EmPassTrain</vt:lpstr>
      <vt:lpstr>EmTruck1</vt:lpstr>
      <vt:lpstr>EmTruck20</vt:lpstr>
      <vt:lpstr>ExciseTaxDieselFed</vt:lpstr>
      <vt:lpstr>ExciseTaxDieselState</vt:lpstr>
      <vt:lpstr>ExciseTaxGasFed</vt:lpstr>
      <vt:lpstr>ExciseTaxGasState</vt:lpstr>
      <vt:lpstr>Exclusive</vt:lpstr>
      <vt:lpstr>Fat3Yr</vt:lpstr>
      <vt:lpstr>FatalRateB</vt:lpstr>
      <vt:lpstr>FatalRateNB</vt:lpstr>
      <vt:lpstr>FatValue</vt:lpstr>
      <vt:lpstr>FFSpeedB</vt:lpstr>
      <vt:lpstr>FFSpeedNB</vt:lpstr>
      <vt:lpstr>FreeConn</vt:lpstr>
      <vt:lpstr>FreightRailAccCost</vt:lpstr>
      <vt:lpstr>FringeTruck</vt:lpstr>
      <vt:lpstr>FuelAuto</vt:lpstr>
      <vt:lpstr>FuelCon</vt:lpstr>
      <vt:lpstr>FuelConPavAdj</vt:lpstr>
      <vt:lpstr>FuelFreightRail</vt:lpstr>
      <vt:lpstr>FuelPriceAuto</vt:lpstr>
      <vt:lpstr>FuelPriceTruck</vt:lpstr>
      <vt:lpstr>FuelTruck</vt:lpstr>
      <vt:lpstr>GateTime0</vt:lpstr>
      <vt:lpstr>GateTime1</vt:lpstr>
      <vt:lpstr>GateTime20</vt:lpstr>
      <vt:lpstr>GenAlphaB</vt:lpstr>
      <vt:lpstr>GenAlphaNB</vt:lpstr>
      <vt:lpstr>GenBetaB</vt:lpstr>
      <vt:lpstr>GenBetaNB</vt:lpstr>
      <vt:lpstr>GenHwy</vt:lpstr>
      <vt:lpstr>GenLaneCapB</vt:lpstr>
      <vt:lpstr>GenLaneCapNB</vt:lpstr>
      <vt:lpstr>GenLanesB</vt:lpstr>
      <vt:lpstr>GenLanesNB</vt:lpstr>
      <vt:lpstr>HOT</vt:lpstr>
      <vt:lpstr>HOTConv</vt:lpstr>
      <vt:lpstr>HOV</vt:lpstr>
      <vt:lpstr>HOV2to3</vt:lpstr>
      <vt:lpstr>HOVAlpha</vt:lpstr>
      <vt:lpstr>HOVBeta</vt:lpstr>
      <vt:lpstr>HOVConn</vt:lpstr>
      <vt:lpstr>HOVDrop</vt:lpstr>
      <vt:lpstr>HOVLaneCap</vt:lpstr>
      <vt:lpstr>HOVLanesB</vt:lpstr>
      <vt:lpstr>HOVLanesNB</vt:lpstr>
      <vt:lpstr>HOVRest</vt:lpstr>
      <vt:lpstr>HOVvolB</vt:lpstr>
      <vt:lpstr>HOVvolNB</vt:lpstr>
      <vt:lpstr>HwyFatCost</vt:lpstr>
      <vt:lpstr>HwyFatCostA</vt:lpstr>
      <vt:lpstr>HwyFatCostR</vt:lpstr>
      <vt:lpstr>HwyFatCostS</vt:lpstr>
      <vt:lpstr>HwyFatCostU</vt:lpstr>
      <vt:lpstr>HwyInjCost</vt:lpstr>
      <vt:lpstr>HwyInjCostA</vt:lpstr>
      <vt:lpstr>HwyInjCostR</vt:lpstr>
      <vt:lpstr>HwyInjCostS</vt:lpstr>
      <vt:lpstr>HwyInjCostU</vt:lpstr>
      <vt:lpstr>HwyPDOCost</vt:lpstr>
      <vt:lpstr>HwyPDOCostA</vt:lpstr>
      <vt:lpstr>HwyPDOCostR</vt:lpstr>
      <vt:lpstr>HwyPDOCostS</vt:lpstr>
      <vt:lpstr>HwyPDOCostU</vt:lpstr>
      <vt:lpstr>HwyRail</vt:lpstr>
      <vt:lpstr>IdleFreightRail</vt:lpstr>
      <vt:lpstr>IdleSpeed</vt:lpstr>
      <vt:lpstr>IM</vt:lpstr>
      <vt:lpstr>ImpactedB</vt:lpstr>
      <vt:lpstr>ImpactedNB</vt:lpstr>
      <vt:lpstr>Induced</vt:lpstr>
      <vt:lpstr>Inj3Yr</vt:lpstr>
      <vt:lpstr>InjAValue</vt:lpstr>
      <vt:lpstr>InjBValue</vt:lpstr>
      <vt:lpstr>InjCValue</vt:lpstr>
      <vt:lpstr>InjuryRateB</vt:lpstr>
      <vt:lpstr>InjuryRateNB</vt:lpstr>
      <vt:lpstr>Intersect</vt:lpstr>
      <vt:lpstr>IRI1B</vt:lpstr>
      <vt:lpstr>IRI1NB</vt:lpstr>
      <vt:lpstr>IRI20B</vt:lpstr>
      <vt:lpstr>IRI20NB</vt:lpstr>
      <vt:lpstr>JQValCyc</vt:lpstr>
      <vt:lpstr>JQValPed</vt:lpstr>
      <vt:lpstr>LifeCycleAcc</vt:lpstr>
      <vt:lpstr>LifeCycleBene</vt:lpstr>
      <vt:lpstr>LifeCycleCost</vt:lpstr>
      <vt:lpstr>LifeCycleEm</vt:lpstr>
      <vt:lpstr>LifeCycleRel</vt:lpstr>
      <vt:lpstr>LifeCycleTT</vt:lpstr>
      <vt:lpstr>LifeCycleTTHrs</vt:lpstr>
      <vt:lpstr>LifeCycleVOC</vt:lpstr>
      <vt:lpstr>LRT</vt:lpstr>
      <vt:lpstr>LRTAccCost</vt:lpstr>
      <vt:lpstr>MaxVC</vt:lpstr>
      <vt:lpstr>MeterStrat</vt:lpstr>
      <vt:lpstr>Modes</vt:lpstr>
      <vt:lpstr>MortRateCyc</vt:lpstr>
      <vt:lpstr>MortRatePed</vt:lpstr>
      <vt:lpstr>NetPresentValue</vt:lpstr>
      <vt:lpstr>NNRAdj</vt:lpstr>
      <vt:lpstr>NNS1B</vt:lpstr>
      <vt:lpstr>NNS1NB</vt:lpstr>
      <vt:lpstr>NNS20B</vt:lpstr>
      <vt:lpstr>NNS20NB</vt:lpstr>
      <vt:lpstr>NNT1Ind</vt:lpstr>
      <vt:lpstr>NNT20Ind</vt:lpstr>
      <vt:lpstr>NNV1B</vt:lpstr>
      <vt:lpstr>NNV1NB</vt:lpstr>
      <vt:lpstr>NNV20B</vt:lpstr>
      <vt:lpstr>NNV20NB</vt:lpstr>
      <vt:lpstr>NoInjValue</vt:lpstr>
      <vt:lpstr>NonFuelAuto</vt:lpstr>
      <vt:lpstr>NonFuelPavAdj</vt:lpstr>
      <vt:lpstr>NonFuelTruck</vt:lpstr>
      <vt:lpstr>NonFwyAccRate</vt:lpstr>
      <vt:lpstr>NTRAdj</vt:lpstr>
      <vt:lpstr>NTS1B</vt:lpstr>
      <vt:lpstr>NTS1NB</vt:lpstr>
      <vt:lpstr>NTS20B</vt:lpstr>
      <vt:lpstr>NTS20NB</vt:lpstr>
      <vt:lpstr>NTT1Ind</vt:lpstr>
      <vt:lpstr>NTT20Ind</vt:lpstr>
      <vt:lpstr>NTV1B</vt:lpstr>
      <vt:lpstr>NTV1NB</vt:lpstr>
      <vt:lpstr>NTV20B</vt:lpstr>
      <vt:lpstr>NTV20NB</vt:lpstr>
      <vt:lpstr>NumDirections</vt:lpstr>
      <vt:lpstr>NumTrain0</vt:lpstr>
      <vt:lpstr>NumTrain1</vt:lpstr>
      <vt:lpstr>NumTrain20</vt:lpstr>
      <vt:lpstr>NWRAdj</vt:lpstr>
      <vt:lpstr>NWS1B</vt:lpstr>
      <vt:lpstr>NWS1NB</vt:lpstr>
      <vt:lpstr>NWS20B</vt:lpstr>
      <vt:lpstr>NWS20NB</vt:lpstr>
      <vt:lpstr>NWV1B</vt:lpstr>
      <vt:lpstr>NWV1NB</vt:lpstr>
      <vt:lpstr>NWV20B</vt:lpstr>
      <vt:lpstr>NWV20NB</vt:lpstr>
      <vt:lpstr>OffRamp</vt:lpstr>
      <vt:lpstr>Instructions!OLE_LINK6</vt:lpstr>
      <vt:lpstr>OnRamp</vt:lpstr>
      <vt:lpstr>PAS1B</vt:lpstr>
      <vt:lpstr>PAS1NB</vt:lpstr>
      <vt:lpstr>PAS20B</vt:lpstr>
      <vt:lpstr>PAS20NB</vt:lpstr>
      <vt:lpstr>PassAccReduce</vt:lpstr>
      <vt:lpstr>Passing</vt:lpstr>
      <vt:lpstr>PassRail</vt:lpstr>
      <vt:lpstr>PassRailAccCost</vt:lpstr>
      <vt:lpstr>PAV1B</vt:lpstr>
      <vt:lpstr>PAV1NB</vt:lpstr>
      <vt:lpstr>PAV20B</vt:lpstr>
      <vt:lpstr>PAV20NB</vt:lpstr>
      <vt:lpstr>PaveDet</vt:lpstr>
      <vt:lpstr>Pavement</vt:lpstr>
      <vt:lpstr>Payback</vt:lpstr>
      <vt:lpstr>Pdo3Yr</vt:lpstr>
      <vt:lpstr>PDORateB</vt:lpstr>
      <vt:lpstr>PDORateNB</vt:lpstr>
      <vt:lpstr>PeakLngthNB</vt:lpstr>
      <vt:lpstr>PedDistPerTrip</vt:lpstr>
      <vt:lpstr>PedSpeed</vt:lpstr>
      <vt:lpstr>PedTripPurpose</vt:lpstr>
      <vt:lpstr>PerCycAge</vt:lpstr>
      <vt:lpstr>PerCycRiskRed</vt:lpstr>
      <vt:lpstr>PerIndHOV</vt:lpstr>
      <vt:lpstr>PerPeakADT</vt:lpstr>
      <vt:lpstr>PerPeakAvgHr</vt:lpstr>
      <vt:lpstr>PerPeakTable</vt:lpstr>
      <vt:lpstr>PerPedAge</vt:lpstr>
      <vt:lpstr>PerPedRiskRed</vt:lpstr>
      <vt:lpstr>PerSickDaysLeave</vt:lpstr>
      <vt:lpstr>PerSickDaysRed</vt:lpstr>
      <vt:lpstr>PerTruckB</vt:lpstr>
      <vt:lpstr>PerTruckNB</vt:lpstr>
      <vt:lpstr>PerWeaveB</vt:lpstr>
      <vt:lpstr>PerWeaveNB</vt:lpstr>
      <vt:lpstr>PFatStAvgB</vt:lpstr>
      <vt:lpstr>PFatStAvgNB</vt:lpstr>
      <vt:lpstr>PHRAdj</vt:lpstr>
      <vt:lpstr>PHS1B</vt:lpstr>
      <vt:lpstr>PHS1NB</vt:lpstr>
      <vt:lpstr>PHS20B</vt:lpstr>
      <vt:lpstr>PHS20NB</vt:lpstr>
      <vt:lpstr>PHV1B</vt:lpstr>
      <vt:lpstr>PHV1NB</vt:lpstr>
      <vt:lpstr>PHV20B</vt:lpstr>
      <vt:lpstr>PHV20NB</vt:lpstr>
      <vt:lpstr>PInjStAvgB</vt:lpstr>
      <vt:lpstr>PInjStAvgNB</vt:lpstr>
      <vt:lpstr>PNRAdj</vt:lpstr>
      <vt:lpstr>PNS1B</vt:lpstr>
      <vt:lpstr>PNS1NB</vt:lpstr>
      <vt:lpstr>PNS20B</vt:lpstr>
      <vt:lpstr>PNS20NB</vt:lpstr>
      <vt:lpstr>PNT1Ind</vt:lpstr>
      <vt:lpstr>PNT20Ind</vt:lpstr>
      <vt:lpstr>PNV1B</vt:lpstr>
      <vt:lpstr>PNV1NB</vt:lpstr>
      <vt:lpstr>PNV20B</vt:lpstr>
      <vt:lpstr>PNV20NB</vt:lpstr>
      <vt:lpstr>'1) Project Information'!Print_Area</vt:lpstr>
      <vt:lpstr>'3) Results'!Print_Area</vt:lpstr>
      <vt:lpstr>'Accident Costs'!Print_Area</vt:lpstr>
      <vt:lpstr>Emissions!Print_Area</vt:lpstr>
      <vt:lpstr>'Final Calculations'!Print_Area</vt:lpstr>
      <vt:lpstr>Instructions!Print_Area</vt:lpstr>
      <vt:lpstr>PARAMETERS!Print_Area</vt:lpstr>
      <vt:lpstr>Title!Print_Area</vt:lpstr>
      <vt:lpstr>'Travel Time'!Print_Area</vt:lpstr>
      <vt:lpstr>'Vehicle Operating Costs'!Print_Area</vt:lpstr>
      <vt:lpstr>Emissions!Print_Titles</vt:lpstr>
      <vt:lpstr>PARAMETERS!Print_Titles</vt:lpstr>
      <vt:lpstr>'Travel Time'!Print_Titles</vt:lpstr>
      <vt:lpstr>ProjLoc</vt:lpstr>
      <vt:lpstr>ProjName</vt:lpstr>
      <vt:lpstr>ProjType</vt:lpstr>
      <vt:lpstr>ProjTypeList</vt:lpstr>
      <vt:lpstr>PRS1B</vt:lpstr>
      <vt:lpstr>PRS1NB</vt:lpstr>
      <vt:lpstr>PRS20B</vt:lpstr>
      <vt:lpstr>PRS20NB</vt:lpstr>
      <vt:lpstr>PRV1B</vt:lpstr>
      <vt:lpstr>PRV1NB</vt:lpstr>
      <vt:lpstr>PRV20B</vt:lpstr>
      <vt:lpstr>PRV20NB</vt:lpstr>
      <vt:lpstr>PTRAdj</vt:lpstr>
      <vt:lpstr>PTS1B</vt:lpstr>
      <vt:lpstr>PTS1NB</vt:lpstr>
      <vt:lpstr>PTS20B</vt:lpstr>
      <vt:lpstr>PTS20NB</vt:lpstr>
      <vt:lpstr>PTT1Ind</vt:lpstr>
      <vt:lpstr>PTT20Ind</vt:lpstr>
      <vt:lpstr>PTV1B</vt:lpstr>
      <vt:lpstr>PTV1NB</vt:lpstr>
      <vt:lpstr>PTV20B</vt:lpstr>
      <vt:lpstr>PTV20NB</vt:lpstr>
      <vt:lpstr>PWRAdj</vt:lpstr>
      <vt:lpstr>PWS1B</vt:lpstr>
      <vt:lpstr>PWS1NB</vt:lpstr>
      <vt:lpstr>PWS20B</vt:lpstr>
      <vt:lpstr>PWS20NB</vt:lpstr>
      <vt:lpstr>PWV1B</vt:lpstr>
      <vt:lpstr>PWV1NB</vt:lpstr>
      <vt:lpstr>PWV20B</vt:lpstr>
      <vt:lpstr>PWV20NB</vt:lpstr>
      <vt:lpstr>Queuing</vt:lpstr>
      <vt:lpstr>RADataAvail</vt:lpstr>
      <vt:lpstr>RailFatCost</vt:lpstr>
      <vt:lpstr>RailGradeFatRate</vt:lpstr>
      <vt:lpstr>RailGradeInjRate</vt:lpstr>
      <vt:lpstr>RailInjCost</vt:lpstr>
      <vt:lpstr>RampFFSpdB</vt:lpstr>
      <vt:lpstr>RampFFSpdNB</vt:lpstr>
      <vt:lpstr>RampVolNP</vt:lpstr>
      <vt:lpstr>RampVolP</vt:lpstr>
      <vt:lpstr>RateGroupB</vt:lpstr>
      <vt:lpstr>RateGroupNB</vt:lpstr>
      <vt:lpstr>Reliability</vt:lpstr>
      <vt:lpstr>ReturnOnInvest</vt:lpstr>
      <vt:lpstr>RM</vt:lpstr>
      <vt:lpstr>RoadTypeB</vt:lpstr>
      <vt:lpstr>RoadTypeNB</vt:lpstr>
      <vt:lpstr>RTCycNB</vt:lpstr>
      <vt:lpstr>RTPedNB</vt:lpstr>
      <vt:lpstr>SalesTaxDieselState</vt:lpstr>
      <vt:lpstr>SalesTaxGasState</vt:lpstr>
      <vt:lpstr>SalesTaxLocal</vt:lpstr>
      <vt:lpstr>SchDays</vt:lpstr>
      <vt:lpstr>SegmentA</vt:lpstr>
      <vt:lpstr>SegmentB</vt:lpstr>
      <vt:lpstr>SegmentNB</vt:lpstr>
      <vt:lpstr>SegmentR</vt:lpstr>
      <vt:lpstr>SigPriority</vt:lpstr>
      <vt:lpstr>SigTTsaving</vt:lpstr>
      <vt:lpstr>SpeedPavAdj</vt:lpstr>
      <vt:lpstr>SpeedWeaveAdj</vt:lpstr>
      <vt:lpstr>StateFatRate</vt:lpstr>
      <vt:lpstr>StateInjRate</vt:lpstr>
      <vt:lpstr>StatePDORate</vt:lpstr>
      <vt:lpstr>TAccReductPer</vt:lpstr>
      <vt:lpstr>TAPT1B</vt:lpstr>
      <vt:lpstr>TAPT1NB</vt:lpstr>
      <vt:lpstr>TAPT20B</vt:lpstr>
      <vt:lpstr>TAPT20NB</vt:lpstr>
      <vt:lpstr>TCapCostB</vt:lpstr>
      <vt:lpstr>TCapCostNB</vt:lpstr>
      <vt:lpstr>TI</vt:lpstr>
      <vt:lpstr>TInTimeBN</vt:lpstr>
      <vt:lpstr>TInTimeBP</vt:lpstr>
      <vt:lpstr>TInTimeNBN</vt:lpstr>
      <vt:lpstr>TInTimeNBP</vt:lpstr>
      <vt:lpstr>TMSAdj</vt:lpstr>
      <vt:lpstr>TMSLookup</vt:lpstr>
      <vt:lpstr>TOMCostB</vt:lpstr>
      <vt:lpstr>TOMCostNB</vt:lpstr>
      <vt:lpstr>Tot3Yr</vt:lpstr>
      <vt:lpstr>TOutTimeBN</vt:lpstr>
      <vt:lpstr>TOutTimeBP</vt:lpstr>
      <vt:lpstr>TOutTimeNBN</vt:lpstr>
      <vt:lpstr>TOutTimeNBP</vt:lpstr>
      <vt:lpstr>TPerHwy</vt:lpstr>
      <vt:lpstr>TPerPeak</vt:lpstr>
      <vt:lpstr>TruckLane</vt:lpstr>
      <vt:lpstr>TruckSpeed</vt:lpstr>
      <vt:lpstr>TTUprater</vt:lpstr>
      <vt:lpstr>TVehMi1B</vt:lpstr>
      <vt:lpstr>TVehMi1NB</vt:lpstr>
      <vt:lpstr>TVehMi20B</vt:lpstr>
      <vt:lpstr>TVehMi20NB</vt:lpstr>
      <vt:lpstr>TVehPerTrainB</vt:lpstr>
      <vt:lpstr>TVehPerTrainNB</vt:lpstr>
      <vt:lpstr>UserAdjInputs</vt:lpstr>
      <vt:lpstr>ValRelAuto</vt:lpstr>
      <vt:lpstr>ValRelTruck</vt:lpstr>
      <vt:lpstr>ValTimeAT</vt:lpstr>
      <vt:lpstr>ValTimeAuto</vt:lpstr>
      <vt:lpstr>ValTimeChild</vt:lpstr>
      <vt:lpstr>ValTimeIMFactor</vt:lpstr>
      <vt:lpstr>ValTimeOVFactor</vt:lpstr>
      <vt:lpstr>ValTimeTransit</vt:lpstr>
      <vt:lpstr>ValTimeTruck</vt:lpstr>
      <vt:lpstr>ValueUpdate</vt:lpstr>
      <vt:lpstr>VehOcc</vt:lpstr>
      <vt:lpstr>VehOp</vt:lpstr>
      <vt:lpstr>VehSpeed</vt:lpstr>
      <vt:lpstr>WageStatewide</vt:lpstr>
      <vt:lpstr>WageTruck</vt:lpstr>
      <vt:lpstr>WalkDays</vt:lpstr>
    </vt:vector>
  </TitlesOfParts>
  <Company>HDR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California Life-Cycle Benefit/Cost Analysis Model</dc:title>
  <dc:subject>Cal-B/C Version 8.1</dc:subject>
  <dc:creator>HDR Engineering</dc:creator>
  <dc:description>Accessibility Assistance: Caltrans makes every attempt to ensure our documents are accessible. Due to variances between assistive technologies, there may be portions of this document which are not accessible. Where documents cannot be made accessible, we are committed to providing alternative access to the content. Should you need additional assistance, please contact us at (916) 654-2852 (and/or a division contact) or visit https://dot.ca.gov/request-ada-compliant-documents.</dc:description>
  <cp:lastModifiedBy>Wilson, Michael@DOT</cp:lastModifiedBy>
  <cp:lastPrinted>2019-11-26T01:58:07Z</cp:lastPrinted>
  <dcterms:created xsi:type="dcterms:W3CDTF">1999-06-06T17:37:27Z</dcterms:created>
  <dcterms:modified xsi:type="dcterms:W3CDTF">2023-02-02T21:08:42Z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0x01010009879A7D33A6BF45A8C1C5CD8A6D04AB</vt:lpwstr>
  </property>
</Properties>
</file>